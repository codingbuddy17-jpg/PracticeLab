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Chart Register" sheetId="3" state="visible" r:id="rId3"/>
    <sheet xmlns:r="http://schemas.openxmlformats.org/officeDocument/2006/relationships" name="Issues Log" sheetId="4" state="visible" r:id="rId4"/>
    <sheet xmlns:r="http://schemas.openxmlformats.org/officeDocument/2006/relationships" name="Topic Plan" sheetId="5" state="visible" r:id="rId5"/>
    <sheet xmlns:r="http://schemas.openxmlformats.org/officeDocument/2006/relationships" name="Specialty View" sheetId="6" state="visible" r:id="rId6"/>
    <sheet xmlns:r="http://schemas.openxmlformats.org/officeDocument/2006/relationships" name="Schedule Model" sheetId="7" state="visible" r:id="rId7"/>
    <sheet xmlns:r="http://schemas.openxmlformats.org/officeDocument/2006/relationships" name="Refresh &amp; Retirement" sheetId="8" state="visible" r:id="rId8"/>
    <sheet xmlns:r="http://schemas.openxmlformats.org/officeDocument/2006/relationships" name="Lists" sheetId="9" state="visible" r:id="rId9"/>
  </sheets>
  <definedNames>
    <definedName name="_xlnm._FilterDatabase" localSheetId="2" hidden="1">'Chart Register'!$A$4:$Z$1004</definedName>
    <definedName name="_xlnm._FilterDatabase" localSheetId="3" hidden="1">'Issues Log'!$A$4:$P$504</definedName>
    <definedName name="_xlnm._FilterDatabase" localSheetId="4" hidden="1">'Topic Plan'!$A$4:$S$115</definedName>
  </definedNames>
  <calcPr calcId="124519" fullCalcOnLoad="1"/>
</workbook>
</file>

<file path=xl/styles.xml><?xml version="1.0" encoding="utf-8"?>
<styleSheet xmlns="http://schemas.openxmlformats.org/spreadsheetml/2006/main">
  <numFmts count="4">
    <numFmt numFmtId="164" formatCode="yyyy-mm-dd"/>
    <numFmt numFmtId="165" formatCode="dd-mmm-yy"/>
    <numFmt numFmtId="166" formatCode="0.0"/>
    <numFmt numFmtId="167" formatCode="0.0%"/>
  </numFmts>
  <fonts count="20">
    <font>
      <name val="Calibri"/>
      <family val="2"/>
      <color theme="1"/>
      <sz val="11"/>
      <scheme val="minor"/>
    </font>
    <font>
      <name val="Calibri"/>
      <b val="1"/>
      <color rgb="001F3864"/>
      <sz val="16"/>
    </font>
    <font>
      <name val="Calibri"/>
      <i val="1"/>
      <color rgb="00595959"/>
      <sz val="10"/>
    </font>
    <font>
      <name val="Calibri"/>
      <b val="1"/>
      <color rgb="00FFFFFF"/>
      <sz val="11"/>
    </font>
    <font>
      <name val="Calibri"/>
      <b val="1"/>
      <color rgb="00212121"/>
      <sz val="10"/>
    </font>
    <font>
      <name val="Calibri"/>
      <color rgb="00595959"/>
      <sz val="9"/>
    </font>
    <font>
      <name val="Calibri"/>
      <b val="1"/>
      <color rgb="00FFFFFF"/>
      <sz val="10"/>
    </font>
    <font>
      <name val="Calibri"/>
      <color rgb="00212121"/>
      <sz val="10"/>
    </font>
    <font>
      <b val="1"/>
      <color rgb="00A4262C"/>
      <sz val="9"/>
    </font>
    <font>
      <b val="1"/>
      <color rgb="00000000"/>
      <sz val="9"/>
    </font>
    <font>
      <b val="1"/>
      <color rgb="00595959"/>
      <sz val="9"/>
    </font>
    <font>
      <name val="Calibri"/>
      <i val="1"/>
      <color rgb="00595959"/>
      <sz val="9"/>
    </font>
    <font>
      <name val="Calibri"/>
      <b val="1"/>
      <color rgb="001F3864"/>
      <sz val="10"/>
    </font>
    <font>
      <name val="Calibri"/>
      <b val="1"/>
      <color rgb="001F3864"/>
      <sz val="14"/>
    </font>
    <font>
      <name val="Calibri"/>
      <b val="1"/>
      <color rgb="001F3864"/>
      <sz val="11"/>
    </font>
    <font>
      <name val="Calibri"/>
      <b val="1"/>
      <color rgb="001B6B3A"/>
      <sz val="10"/>
    </font>
    <font>
      <name val="Calibri"/>
      <b val="1"/>
      <color rgb="001F5C99"/>
      <sz val="10"/>
    </font>
    <font>
      <name val="Calibri"/>
      <b val="1"/>
      <color rgb="009C6500"/>
      <sz val="10"/>
    </font>
    <font>
      <name val="Calibri"/>
      <b val="1"/>
      <color rgb="00A4262C"/>
      <sz val="10"/>
    </font>
    <font>
      <name val="Calibri"/>
      <b val="1"/>
      <color rgb="00595959"/>
      <sz val="10"/>
    </font>
  </fonts>
  <fills count="15">
    <fill>
      <patternFill/>
    </fill>
    <fill>
      <patternFill patternType="gray125"/>
    </fill>
    <fill>
      <patternFill patternType="solid">
        <fgColor rgb="002E75B6"/>
      </patternFill>
    </fill>
    <fill>
      <patternFill patternType="solid">
        <fgColor rgb="002F5597"/>
      </patternFill>
    </fill>
    <fill>
      <patternFill patternType="solid">
        <fgColor rgb="00DCE6F1"/>
      </patternFill>
    </fill>
    <fill>
      <patternFill patternType="solid">
        <fgColor rgb="00FFF8E1"/>
      </patternFill>
    </fill>
    <fill>
      <patternFill patternType="solid">
        <fgColor rgb="001F3864"/>
      </patternFill>
    </fill>
    <fill>
      <patternFill patternType="solid">
        <fgColor rgb="00FFF4E5"/>
      </patternFill>
    </fill>
    <fill>
      <patternFill patternType="solid">
        <fgColor rgb="00FDECEA"/>
      </patternFill>
    </fill>
    <fill>
      <patternFill patternType="solid">
        <fgColor rgb="00EEF3F9"/>
      </patternFill>
    </fill>
    <fill>
      <patternFill patternType="solid">
        <fgColor rgb="00F4F8FC"/>
      </patternFill>
    </fill>
    <fill>
      <patternFill patternType="solid">
        <fgColor rgb="00E6F4EA"/>
      </patternFill>
    </fill>
    <fill>
      <patternFill patternType="solid">
        <fgColor rgb="00E7F0FA"/>
      </patternFill>
    </fill>
    <fill>
      <patternFill patternType="solid">
        <fgColor rgb="00FFF4D6"/>
      </patternFill>
    </fill>
    <fill>
      <patternFill patternType="solid">
        <fgColor rgb="00FCE8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style="thin">
        <color rgb="001F3864"/>
      </left>
      <right style="thin">
        <color rgb="001F3864"/>
      </right>
      <top style="thin">
        <color rgb="001F3864"/>
      </top>
      <bottom style="medium">
        <color rgb="002E75B6"/>
      </bottom>
    </border>
  </borders>
  <cellStyleXfs count="1">
    <xf numFmtId="0" fontId="0" fillId="0" borderId="0"/>
  </cellStyleXfs>
  <cellXfs count="61">
    <xf numFmtId="0" fontId="0" fillId="0" borderId="0" pivotButton="0" quotePrefix="0" xfId="0"/>
    <xf numFmtId="0" fontId="1" fillId="0" borderId="0" applyAlignment="1" pivotButton="0" quotePrefix="0" xfId="0">
      <alignment vertical="center"/>
    </xf>
    <xf numFmtId="0" fontId="2" fillId="0" borderId="0" pivotButton="0" quotePrefix="0" xfId="0"/>
    <xf numFmtId="0" fontId="0" fillId="2" borderId="0" pivotButton="0" quotePrefix="0" xfId="0"/>
    <xf numFmtId="0" fontId="14" fillId="0" borderId="0" pivotButton="0" quotePrefix="0" xfId="0"/>
    <xf numFmtId="0" fontId="7" fillId="0" borderId="0" applyAlignment="1" pivotButton="0" quotePrefix="0" xfId="0">
      <alignment vertical="top" wrapText="1"/>
    </xf>
    <xf numFmtId="0" fontId="4" fillId="9" borderId="0" applyAlignment="1" pivotButton="0" quotePrefix="0" xfId="0">
      <alignment vertical="top" wrapText="1"/>
    </xf>
    <xf numFmtId="0" fontId="15" fillId="11" borderId="1" applyAlignment="1" pivotButton="0" quotePrefix="0" xfId="0">
      <alignment horizontal="center" vertical="center"/>
    </xf>
    <xf numFmtId="0" fontId="16" fillId="12" borderId="1" applyAlignment="1" pivotButton="0" quotePrefix="0" xfId="0">
      <alignment horizontal="center" vertical="center"/>
    </xf>
    <xf numFmtId="0" fontId="17" fillId="13" borderId="1" applyAlignment="1" pivotButton="0" quotePrefix="0" xfId="0">
      <alignment horizontal="center" vertical="center"/>
    </xf>
    <xf numFmtId="0" fontId="18" fillId="14" borderId="1" applyAlignment="1" pivotButton="0" quotePrefix="0" xfId="0">
      <alignment horizontal="center" vertical="center"/>
    </xf>
    <xf numFmtId="0" fontId="4" fillId="5" borderId="1" applyAlignment="1" pivotButton="0" quotePrefix="0" xfId="0">
      <alignment horizontal="center" vertical="center"/>
    </xf>
    <xf numFmtId="0" fontId="19" fillId="9" borderId="1" applyAlignment="1" pivotButton="0" quotePrefix="0" xfId="0">
      <alignment horizontal="center" vertical="center"/>
    </xf>
    <xf numFmtId="0" fontId="5" fillId="7" borderId="0" applyAlignment="1" pivotButton="0" quotePrefix="0" xfId="0">
      <alignment vertical="top" wrapText="1"/>
    </xf>
    <xf numFmtId="0" fontId="12" fillId="10" borderId="1" applyAlignment="1" pivotButton="0" quotePrefix="0" xfId="0">
      <alignment vertical="center" indent="1"/>
    </xf>
    <xf numFmtId="3" fontId="13" fillId="10" borderId="1" applyAlignment="1" pivotButton="0" quotePrefix="0" xfId="0">
      <alignment horizontal="center" vertical="center"/>
    </xf>
    <xf numFmtId="0" fontId="5" fillId="10" borderId="0" applyAlignment="1" pivotButton="0" quotePrefix="0" xfId="0">
      <alignment vertical="top" wrapText="1"/>
    </xf>
    <xf numFmtId="0" fontId="0" fillId="10" borderId="0" pivotButton="0" quotePrefix="0" xfId="0"/>
    <xf numFmtId="0" fontId="0" fillId="10" borderId="1" pivotButton="0" quotePrefix="0" xfId="0"/>
    <xf numFmtId="167" fontId="13" fillId="10" borderId="1" applyAlignment="1" pivotButton="0" quotePrefix="0" xfId="0">
      <alignment horizontal="center" vertical="center"/>
    </xf>
    <xf numFmtId="0" fontId="3" fillId="3" borderId="0" applyAlignment="1" pivotButton="0" quotePrefix="0" xfId="0">
      <alignment vertical="center"/>
    </xf>
    <xf numFmtId="0" fontId="6" fillId="6" borderId="5" applyAlignment="1" pivotButton="0" quotePrefix="0" xfId="0">
      <alignment horizontal="center" vertical="center" wrapText="1"/>
    </xf>
    <xf numFmtId="0" fontId="4" fillId="0" borderId="1" applyAlignment="1" pivotButton="0" quotePrefix="0" xfId="0">
      <alignment vertical="top"/>
    </xf>
    <xf numFmtId="0" fontId="7" fillId="0" borderId="1" applyAlignment="1" pivotButton="0" quotePrefix="0" xfId="0">
      <alignment horizontal="center" vertical="center"/>
    </xf>
    <xf numFmtId="167" fontId="7" fillId="0" borderId="1" applyAlignment="1" pivotButton="0" quotePrefix="0" xfId="0">
      <alignment horizontal="center" vertical="center"/>
    </xf>
    <xf numFmtId="0" fontId="5" fillId="0" borderId="0" applyAlignment="1" pivotButton="0" quotePrefix="0" xfId="0">
      <alignment vertical="top" wrapText="1"/>
    </xf>
    <xf numFmtId="0" fontId="5" fillId="8" borderId="0" applyAlignment="1" pivotButton="0" quotePrefix="0" xfId="0">
      <alignment vertical="top" wrapText="1"/>
    </xf>
    <xf numFmtId="0" fontId="7" fillId="0" borderId="1" applyAlignment="1" pivotButton="0" quotePrefix="0" xfId="0">
      <alignment vertical="top"/>
    </xf>
    <xf numFmtId="0" fontId="11" fillId="9" borderId="1" applyAlignment="1" pivotButton="0" quotePrefix="0" xfId="0">
      <alignment vertical="top"/>
    </xf>
    <xf numFmtId="165" fontId="7" fillId="0" borderId="1" applyAlignment="1" pivotButton="0" quotePrefix="0" xfId="0">
      <alignment horizontal="center" vertical="center"/>
    </xf>
    <xf numFmtId="0" fontId="11" fillId="9" borderId="1" applyAlignment="1" pivotButton="0" quotePrefix="0" xfId="0">
      <alignment horizontal="center" vertical="center"/>
    </xf>
    <xf numFmtId="0" fontId="4" fillId="0" borderId="1" applyAlignment="1" pivotButton="0" quotePrefix="0" xfId="0">
      <alignment horizontal="center" vertical="center"/>
    </xf>
    <xf numFmtId="0" fontId="7" fillId="0" borderId="1"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horizontal="center" vertical="center"/>
    </xf>
    <xf numFmtId="9" fontId="7" fillId="0" borderId="1"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0" fontId="6" fillId="6" borderId="1" applyAlignment="1" pivotButton="0" quotePrefix="0" xfId="0">
      <alignment vertical="top"/>
    </xf>
    <xf numFmtId="0" fontId="0" fillId="6" borderId="1" pivotButton="0" quotePrefix="0" xfId="0"/>
    <xf numFmtId="0" fontId="6" fillId="6" borderId="1" applyAlignment="1" pivotButton="0" quotePrefix="0" xfId="0">
      <alignment horizontal="center" vertical="center"/>
    </xf>
    <xf numFmtId="9" fontId="6" fillId="6" borderId="1" applyAlignment="1" pivotButton="0" quotePrefix="0" xfId="0">
      <alignment horizontal="center" vertical="center"/>
    </xf>
    <xf numFmtId="0" fontId="6" fillId="6" borderId="1" applyAlignment="1" pivotButton="0" quotePrefix="0" xfId="0">
      <alignment vertical="top" wrapText="1"/>
    </xf>
    <xf numFmtId="167" fontId="6" fillId="6" borderId="1" applyAlignment="1" pivotButton="0" quotePrefix="0" xfId="0">
      <alignment horizontal="center" vertical="center"/>
    </xf>
    <xf numFmtId="165" fontId="6" fillId="6" borderId="1" applyAlignment="1" pivotButton="0" quotePrefix="0" xfId="0">
      <alignment horizontal="center" vertical="center"/>
    </xf>
    <xf numFmtId="0" fontId="4" fillId="4" borderId="1" applyAlignment="1" pivotButton="0" quotePrefix="0" xfId="0">
      <alignment vertical="top"/>
    </xf>
    <xf numFmtId="0" fontId="0" fillId="0" borderId="4" pivotButton="0" quotePrefix="0" xfId="0"/>
    <xf numFmtId="165" fontId="4" fillId="5" borderId="1" applyAlignment="1" pivotButton="0" quotePrefix="0" xfId="0">
      <alignment horizontal="center" vertical="center"/>
    </xf>
    <xf numFmtId="9" fontId="4" fillId="5" borderId="1" applyAlignment="1" pivotButton="0" quotePrefix="0" xfId="0">
      <alignment horizontal="center" vertical="center"/>
    </xf>
    <xf numFmtId="0" fontId="7" fillId="5" borderId="1" applyAlignment="1" pivotButton="0" quotePrefix="0" xfId="0">
      <alignment horizontal="center" vertical="center"/>
    </xf>
    <xf numFmtId="3" fontId="7" fillId="0" borderId="1" applyAlignment="1" pivotButton="0" quotePrefix="0" xfId="0">
      <alignment horizontal="center" vertical="center"/>
    </xf>
    <xf numFmtId="166" fontId="7" fillId="0" borderId="1" applyAlignment="1" pivotButton="0" quotePrefix="0" xfId="0">
      <alignment horizontal="center" vertical="center"/>
    </xf>
    <xf numFmtId="0" fontId="4" fillId="4" borderId="1" applyAlignment="1" pivotButton="0" quotePrefix="0" xfId="0">
      <alignment horizontal="center" vertical="center"/>
    </xf>
    <xf numFmtId="0" fontId="0" fillId="4" borderId="1" pivotButton="0" quotePrefix="0" xfId="0"/>
    <xf numFmtId="3" fontId="4" fillId="4" borderId="1" applyAlignment="1" pivotButton="0" quotePrefix="0" xfId="0">
      <alignment horizontal="center" vertical="center"/>
    </xf>
    <xf numFmtId="166" fontId="4" fillId="4" borderId="1" applyAlignment="1" pivotButton="0" quotePrefix="0" xfId="0">
      <alignment horizontal="center" vertical="center"/>
    </xf>
    <xf numFmtId="165" fontId="4" fillId="4" borderId="1" applyAlignment="1" pivotButton="0" quotePrefix="0" xfId="0">
      <alignment horizontal="center" vertical="center"/>
    </xf>
    <xf numFmtId="0" fontId="5" fillId="4" borderId="1" applyAlignment="1" pivotButton="0" quotePrefix="0" xfId="0">
      <alignment vertical="top" wrapText="1"/>
    </xf>
    <xf numFmtId="0" fontId="6" fillId="6" borderId="1" pivotButton="0" quotePrefix="0" xfId="0"/>
    <xf numFmtId="0" fontId="6" fillId="6" borderId="1" applyAlignment="1" pivotButton="0" quotePrefix="0" xfId="0">
      <alignment horizontal="center" vertical="center" wrapText="1"/>
    </xf>
    <xf numFmtId="0" fontId="7" fillId="0" borderId="1" pivotButton="0" quotePrefix="0" xfId="0"/>
  </cellXfs>
  <cellStyles count="1">
    <cellStyle name="Normal" xfId="0" builtinId="0" hidden="0"/>
  </cellStyles>
  <dxfs count="15">
    <dxf>
      <font>
        <name val="Calibri"/>
        <b val="1"/>
        <color rgb="001B6B3A"/>
        <sz val="14"/>
      </font>
      <fill>
        <patternFill patternType="solid">
          <fgColor rgb="00E6F4EA"/>
        </patternFill>
      </fill>
    </dxf>
    <dxf>
      <font>
        <name val="Calibri"/>
        <b val="1"/>
        <color rgb="001F5C99"/>
        <sz val="14"/>
      </font>
      <fill>
        <patternFill patternType="solid">
          <fgColor rgb="00E7F0FA"/>
        </patternFill>
      </fill>
    </dxf>
    <dxf>
      <font>
        <name val="Calibri"/>
        <b val="1"/>
        <color rgb="009C6500"/>
        <sz val="14"/>
      </font>
      <fill>
        <patternFill patternType="solid">
          <fgColor rgb="00FFF4D6"/>
        </patternFill>
      </fill>
    </dxf>
    <dxf>
      <font>
        <name val="Calibri"/>
        <b val="1"/>
        <color rgb="00A4262C"/>
        <sz val="14"/>
      </font>
      <fill>
        <patternFill patternType="solid">
          <fgColor rgb="00FCE8E6"/>
        </patternFill>
      </fill>
    </dxf>
    <dxf>
      <font>
        <name val="Calibri"/>
        <b val="1"/>
        <color rgb="009C6500"/>
        <sz val="10"/>
      </font>
      <fill>
        <patternFill patternType="solid">
          <fgColor rgb="00FFF4D6"/>
        </patternFill>
      </fill>
    </dxf>
    <dxf>
      <fill>
        <patternFill patternType="solid">
          <fgColor rgb="00F7FAFD"/>
        </patternFill>
      </fill>
    </dxf>
    <dxf>
      <font>
        <b val="1"/>
        <color rgb="001B6B3A"/>
        <sz val="10"/>
      </font>
      <fill>
        <patternFill patternType="solid">
          <fgColor rgb="00E6F4EA"/>
        </patternFill>
      </fill>
    </dxf>
    <dxf>
      <font>
        <b val="1"/>
        <color rgb="009C6500"/>
        <sz val="10"/>
      </font>
      <fill>
        <patternFill patternType="solid">
          <fgColor rgb="00FFF4D6"/>
        </patternFill>
      </fill>
    </dxf>
    <dxf>
      <font>
        <b val="1"/>
        <color rgb="00595959"/>
        <sz val="10"/>
      </font>
      <fill>
        <patternFill patternType="solid">
          <fgColor rgb="00EEF3F9"/>
        </patternFill>
      </fill>
    </dxf>
    <dxf>
      <font>
        <b val="1"/>
        <color rgb="001F5C99"/>
        <sz val="10"/>
      </font>
      <fill>
        <patternFill patternType="solid">
          <fgColor rgb="00E7F0FA"/>
        </patternFill>
      </fill>
    </dxf>
    <dxf>
      <font>
        <b val="1"/>
        <color rgb="00A4262C"/>
        <sz val="10"/>
      </font>
      <fill>
        <patternFill patternType="solid">
          <fgColor rgb="00FCE8E6"/>
        </patternFill>
      </fill>
    </dxf>
    <dxf>
      <font>
        <b val="1"/>
        <color rgb="00A4262C"/>
        <sz val="9"/>
      </font>
      <fill>
        <patternFill patternType="solid">
          <fgColor rgb="00FCE8E6"/>
        </patternFill>
      </fill>
    </dxf>
    <dxf>
      <font>
        <b val="1"/>
        <color rgb="001B6B3A"/>
        <sz val="9"/>
      </font>
      <fill>
        <patternFill patternType="solid">
          <fgColor rgb="00E6F4EA"/>
        </patternFill>
      </fill>
    </dxf>
    <dxf>
      <font>
        <b val="1"/>
        <color rgb="001F5C99"/>
        <sz val="9"/>
      </font>
      <fill>
        <patternFill patternType="solid">
          <fgColor rgb="00E7F0FA"/>
        </patternFill>
      </fill>
    </dxf>
    <dxf>
      <font>
        <b val="1"/>
        <color rgb="009C6500"/>
        <sz val="9"/>
      </font>
      <fill>
        <patternFill patternType="solid">
          <fgColor rgb="00FFF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595959"/>
    <outlinePr summaryBelow="1" summaryRight="1"/>
    <pageSetUpPr/>
  </sheetPr>
  <dimension ref="A1:C48"/>
  <sheetViews>
    <sheetView showGridLines="0" zoomScale="90" workbookViewId="0">
      <selection activeCell="A1" sqref="A1"/>
    </sheetView>
  </sheetViews>
  <sheetFormatPr baseColWidth="8" defaultRowHeight="15"/>
  <cols>
    <col width="3" customWidth="1" min="1" max="1"/>
    <col width="32" customWidth="1" min="2" max="2"/>
    <col width="98" customWidth="1" min="3" max="3"/>
  </cols>
  <sheetData>
    <row r="1" ht="26" customHeight="1">
      <c r="A1" s="1" t="inlineStr">
        <is>
          <t>PracticeLab Chart Inventory Tracker</t>
        </is>
      </c>
    </row>
    <row r="2" ht="14" customHeight="1">
      <c r="A2" s="2" t="inlineStr">
        <is>
          <t>End-to-end tracking for every chart, from candidate to retirement · built 15 October 2026</t>
        </is>
      </c>
    </row>
    <row r="3" ht="3" customHeight="1">
      <c r="A3" s="3" t="n"/>
      <c r="B3" s="3" t="n"/>
      <c r="C3" s="3" t="n"/>
    </row>
    <row r="5">
      <c r="B5" s="4" t="inlineStr">
        <is>
          <t>What this is</t>
        </is>
      </c>
    </row>
    <row r="6" ht="39" customHeight="1">
      <c r="B6" s="5" t="inlineStr">
        <is>
          <t>The operational companion to PracticeLab_Chart_Composition_Taxonomy.xlsx. That workbook is the standard: what the pool should contain, topic by topic. This one is the record: what it actually contains, who is building it, and how far behind the build is.</t>
        </is>
      </c>
    </row>
    <row r="7" ht="39" customHeight="1">
      <c r="B7" s="5" t="inlineStr">
        <is>
          <t>The register starts empty on purpose. A row exists once a chart exists, so nothing in this file is a placeholder somebody has to maintain. What is not yet sourced is a number on the dashboard, computed against the plan — not two thousand blank rows.</t>
        </is>
      </c>
    </row>
    <row r="9">
      <c r="B9" s="4" t="inlineStr">
        <is>
          <t>The sheets, in the order you need them</t>
        </is>
      </c>
    </row>
    <row r="10" ht="26" customHeight="1">
      <c r="B10" s="6" t="inlineStr">
        <is>
          <t>Dashboard</t>
        </is>
      </c>
      <c r="C10" s="5" t="inlineStr">
        <is>
          <t>Read-only. Fourteen figures, a stage funnel and the difficulty mix, all formulas. Start here, then follow whatever is red.</t>
        </is>
      </c>
    </row>
    <row r="11" ht="26" customHeight="1">
      <c r="B11" s="6" t="inlineStr">
        <is>
          <t>Chart Register</t>
        </is>
      </c>
      <c r="C11" s="5" t="inlineStr">
        <is>
          <t>Where the work is recorded. One row per chart, five dated stages, dropdowns on every classified field. The only sheet most people type into.</t>
        </is>
      </c>
    </row>
    <row r="12" ht="26" customHeight="1">
      <c r="B12" s="6" t="inlineStr">
        <is>
          <t>Topic Plan</t>
        </is>
      </c>
      <c r="C12" s="5" t="inlineStr">
        <is>
          <t>All 103 topics with their targets, and live counts beside them. This is where a coverage gap shows up at the level sourcing actually works at.</t>
        </is>
      </c>
    </row>
    <row r="13" ht="26" customHeight="1">
      <c r="B13" s="6" t="inlineStr">
        <is>
          <t>Specialty View</t>
        </is>
      </c>
      <c r="C13" s="5" t="inlineStr">
        <is>
          <t>The same thing one level up: progress, slippage and status per specialty. The view for a weekly update.</t>
        </is>
      </c>
    </row>
    <row r="14" ht="26" customHeight="1">
      <c r="B14" s="6" t="inlineStr">
        <is>
          <t>Schedule Model</t>
        </is>
      </c>
      <c r="C14" s="5" t="inlineStr">
        <is>
          <t>Where every expected date comes from. Two editable columns — build hours per chart and FTE assigned — drive the whole schedule.</t>
        </is>
      </c>
    </row>
    <row r="15" ht="26" customHeight="1">
      <c r="B15" s="6" t="inlineStr">
        <is>
          <t>Issues Log</t>
        </is>
      </c>
      <c r="C15" s="5" t="inlineStr">
        <is>
          <t>Anything blocking a chart or casting doubt on one already live. Severity, owner, target resolution date, overdue flag.</t>
        </is>
      </c>
    </row>
    <row r="16" ht="13" customHeight="1">
      <c r="B16" s="6" t="inlineStr">
        <is>
          <t>Refresh &amp; Retirement</t>
        </is>
      </c>
      <c r="C16" s="5" t="inlineStr">
        <is>
          <t>Sizes the next half-yearly refresh and flags charts past the usage or age limit.</t>
        </is>
      </c>
    </row>
    <row r="17" ht="13" customHeight="1">
      <c r="B17" s="6" t="inlineStr">
        <is>
          <t>Lists</t>
        </is>
      </c>
      <c r="C17" s="5" t="inlineStr">
        <is>
          <t>The source of every dropdown. Add a value here, never straight into a cell.</t>
        </is>
      </c>
    </row>
    <row r="19">
      <c r="B19" s="4" t="inlineStr">
        <is>
          <t>The five stages</t>
        </is>
      </c>
    </row>
    <row r="20" ht="39" customHeight="1">
      <c r="B20" s="5" t="inlineStr">
        <is>
          <t>Identified, De-identified, Built, Validated, Live — then Retired, or On hold while an issue runs. Each has its own date column, which is what makes the stage funnel on the dashboard meaningful: a stage holding more charts than the ones after it is the bottleneck, and the Days in stage column names the individual charts stuck there.</t>
        </is>
      </c>
    </row>
    <row r="21" ht="26" customHeight="1">
      <c r="B21" s="5" t="inlineStr">
        <is>
          <t>Set the Status column to where a chart is now, and fill the date column for each stage as it is reached. The two are not the same field and both are needed: the status drives every count, the dates drive the ageing.</t>
        </is>
      </c>
    </row>
    <row r="23">
      <c r="B23" s="4" t="inlineStr">
        <is>
          <t>How a delay is measured</t>
        </is>
      </c>
    </row>
    <row r="24" ht="39" customHeight="1">
      <c r="B24" s="6" t="inlineStr">
        <is>
          <t>Where expected dates come from</t>
        </is>
      </c>
      <c r="C24" s="5" t="inlineStr">
        <is>
          <t>The Schedule Model multiplies a specialty's target by its build hours per chart, divides by the hours one FTE has in a week, and lays the result out from the programme start date. Topics within a specialty are sequenced by build priority, so the P1 topics carry the earliest dates.</t>
        </is>
      </c>
    </row>
    <row r="25" ht="39" customHeight="1">
      <c r="B25" s="6" t="inlineStr">
        <is>
          <t>What a slipping date means</t>
        </is>
      </c>
      <c r="C25" s="5" t="inlineStr">
        <is>
          <t>Either the build rate is wrong or the staffing is. Both are editable columns on that sheet, so a date that cannot be met should be met by changing the assumption on the record rather than by quietly missing it.</t>
        </is>
      </c>
    </row>
    <row r="26" ht="26" customHeight="1">
      <c r="B26" s="6" t="inlineStr">
        <is>
          <t>Per chart</t>
        </is>
      </c>
      <c r="C26" s="5" t="inlineStr">
        <is>
          <t>Days late on the register compares the expected live date with today, or with the actual live date once the chart is live. Positive means late.</t>
        </is>
      </c>
    </row>
    <row r="27" ht="26" customHeight="1">
      <c r="B27" s="6" t="inlineStr">
        <is>
          <t>Per topic and specialty</t>
        </is>
      </c>
      <c r="C27" s="5" t="inlineStr">
        <is>
          <t>Days vs expected compares today with the modelled completion date, and reads On target as soon as live reaches target.</t>
        </is>
      </c>
    </row>
    <row r="29">
      <c r="B29" s="4" t="inlineStr">
        <is>
          <t>What this file cannot do</t>
        </is>
      </c>
    </row>
    <row r="30" ht="39" customHeight="1">
      <c r="B30" s="5" t="inlineStr">
        <is>
          <t>It has no native PivotTables — the tool that writes it cannot create them. The summary views are formulas instead, which need no refresh and survive being emailed. If you want ad-hoc pivoting, select the register and insert a PivotTable; it is a flat table with a header row, which is all a pivot needs.</t>
        </is>
      </c>
    </row>
    <row r="31" ht="39" customHeight="1">
      <c r="B31" s="5" t="inlineStr">
        <is>
          <t>Formulas cover register rows 5 to 1004 and issue rows 5 to 504. That is headroom for a pool of 2,942 across several refresh cycles, but it is not infinite: paste past the end and the dashboard will quietly stop counting the overflow. Extend the formulas, do not type past them.</t>
        </is>
      </c>
    </row>
    <row r="32" ht="26" customHeight="1">
      <c r="B32" s="5" t="inlineStr">
        <is>
          <t>Nothing here is connected to the platform. It is a planning and governance record maintained by hand, and the moment Topic ID exists as a field on the chart record in the application, the counts in it should come from there instead.</t>
        </is>
      </c>
    </row>
    <row r="34">
      <c r="B34" s="4" t="inlineStr">
        <is>
          <t>Rules worth keeping</t>
        </is>
      </c>
    </row>
    <row r="35" ht="26" customHeight="1">
      <c r="B35" s="5" t="inlineStr">
        <is>
          <t>A suspected answer-key problem puts the chart On hold, not Live-with-a-note. A wrong key silently grades everyone against it, which is worse than a missing chart.</t>
        </is>
      </c>
    </row>
    <row r="36" ht="26" customHeight="1">
      <c r="B36" s="5" t="inlineStr">
        <is>
          <t>Retiring a chart keeps its row. Deleting the row loses the history that lets the dashboard say what left the pool and when.</t>
        </is>
      </c>
    </row>
    <row r="37" ht="26" customHeight="1">
      <c r="B37" s="5" t="inlineStr">
        <is>
          <t>Every rate on the dashboard carries its denominator in the description beside it. Pool complete is live over planned; the difficulty mix is over live charts only, because that is the pool a coder actually meets.</t>
        </is>
      </c>
    </row>
    <row r="38" ht="26" customHeight="1">
      <c r="B38" s="5" t="inlineStr">
        <is>
          <t>A topic with no target reads NA, not 0%. They are different statements: one means no target was set, the other means nothing was built against one.</t>
        </is>
      </c>
    </row>
    <row r="40">
      <c r="B40" s="4" t="inlineStr">
        <is>
          <t>What the colours mean</t>
        </is>
      </c>
    </row>
    <row r="41" ht="15" customHeight="1">
      <c r="B41" s="7" t="inlineStr">
        <is>
          <t>Green</t>
        </is>
      </c>
      <c r="C41" s="5" t="inlineStr">
        <is>
          <t>Done or healthy: live, complete, on track, a closed issue.</t>
        </is>
      </c>
    </row>
    <row r="42" ht="15" customHeight="1">
      <c r="B42" s="8" t="inlineStr">
        <is>
          <t>Blue</t>
        </is>
      </c>
      <c r="C42" s="5" t="inlineStr">
        <is>
          <t>In flight: a chart moving through the stages, or a topic at or above the gap threshold.</t>
        </is>
      </c>
    </row>
    <row r="43" ht="26" customHeight="1">
      <c r="B43" s="9" t="inlineStr">
        <is>
          <t>Amber</t>
        </is>
      </c>
      <c r="C43" s="5" t="inlineStr">
        <is>
          <t>Watch it: on hold, stalled over 30 days, a coverage gap, a P1 topic, more charts qualifying to retire than policy removes.</t>
        </is>
      </c>
    </row>
    <row r="44" ht="26" customHeight="1">
      <c r="B44" s="10" t="inlineStr">
        <is>
          <t>Red</t>
        </is>
      </c>
      <c r="C44" s="5" t="inlineStr">
        <is>
          <t>Act now: past the expected date, below the gap threshold, a blocker, an overdue issue, an unrecognised Topic ID.</t>
        </is>
      </c>
    </row>
    <row r="45" ht="15" customHeight="1">
      <c r="B45" s="11" t="inlineStr">
        <is>
          <t>Cream</t>
        </is>
      </c>
      <c r="C45" s="5" t="inlineStr">
        <is>
          <t>You type here. Build hours, FTE, the start date, the retirement limits.</t>
        </is>
      </c>
    </row>
    <row r="46" ht="15" customHeight="1">
      <c r="B46" s="12" t="inlineStr">
        <is>
          <t>Grey-blue</t>
        </is>
      </c>
      <c r="C46" s="5" t="inlineStr">
        <is>
          <t>Computed — do not type. These columns fill themselves from the Topic ID or the dates.</t>
        </is>
      </c>
    </row>
    <row r="48">
      <c r="B48" s="13" t="inlineStr">
        <is>
          <t>Colour is never the only signal: every highlighted cell also carries the words, so the workbook still reads correctly printed in black and white or to anyone who cannot distinguish the hues.</t>
        </is>
      </c>
    </row>
  </sheetData>
  <mergeCells count="21">
    <mergeCell ref="B7:C7"/>
    <mergeCell ref="B31:C31"/>
    <mergeCell ref="A2:C2"/>
    <mergeCell ref="B21:C21"/>
    <mergeCell ref="B48:C48"/>
    <mergeCell ref="B23:C23"/>
    <mergeCell ref="B38:C38"/>
    <mergeCell ref="B29:C29"/>
    <mergeCell ref="B19:C19"/>
    <mergeCell ref="B34:C34"/>
    <mergeCell ref="B37:C37"/>
    <mergeCell ref="B40:C40"/>
    <mergeCell ref="B9:C9"/>
    <mergeCell ref="B6:C6"/>
    <mergeCell ref="B30:C30"/>
    <mergeCell ref="A1:C1"/>
    <mergeCell ref="B5:C5"/>
    <mergeCell ref="B20:C20"/>
    <mergeCell ref="B36:C36"/>
    <mergeCell ref="B32:C32"/>
    <mergeCell ref="B35:C35"/>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37"/>
  <sheetViews>
    <sheetView showGridLines="0" zoomScale="90"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3" customWidth="1" min="9" max="9"/>
    <col width="30" customWidth="1" min="10" max="10"/>
  </cols>
  <sheetData>
    <row r="1" ht="26" customHeight="1">
      <c r="A1" s="1" t="inlineStr">
        <is>
          <t>PracticeLab chart inventory — dashboard</t>
        </is>
      </c>
    </row>
    <row r="2" ht="14" customHeight="1">
      <c r="A2" s="2" t="inlineStr">
        <is>
          <t>Everything here is a formula over the register, the plan and the issues log. Nothing is typed. Built 15 October 2026; the figures are live whenever the file is opened.</t>
        </is>
      </c>
    </row>
    <row r="3" ht="3" customHeight="1">
      <c r="A3" s="3" t="n"/>
      <c r="B3" s="3" t="n"/>
      <c r="C3" s="3" t="n"/>
      <c r="D3" s="3" t="n"/>
      <c r="E3" s="3" t="n"/>
      <c r="F3" s="3" t="n"/>
      <c r="G3" s="3" t="n"/>
      <c r="H3" s="3" t="n"/>
      <c r="I3" s="3" t="n"/>
      <c r="J3" s="3" t="n"/>
    </row>
    <row r="5" ht="20" customHeight="1">
      <c r="A5" s="14" t="inlineStr">
        <is>
          <t>Planned charts</t>
        </is>
      </c>
      <c r="B5" s="15">
        <f>'Topic Plan'!$H$116</f>
        <v/>
      </c>
      <c r="C5" s="16" t="inlineStr">
        <is>
          <t>Sum of every topic target. The size of the finished pool.</t>
        </is>
      </c>
      <c r="D5" s="17" t="n"/>
      <c r="E5" s="17" t="n"/>
      <c r="F5" s="17" t="n"/>
      <c r="G5" s="17" t="n"/>
      <c r="H5" s="17" t="n"/>
      <c r="I5" s="17" t="n"/>
      <c r="J5" s="18" t="n"/>
    </row>
    <row r="6" ht="20" customHeight="1">
      <c r="A6" s="14" t="inlineStr">
        <is>
          <t>Live in the pool</t>
        </is>
      </c>
      <c r="B6" s="15">
        <f>COUNTIF('Chart Register'!$N$5:$N$1004,"Live")</f>
        <v/>
      </c>
      <c r="C6" s="16" t="inlineStr">
        <is>
          <t>Charts available to a batch right now.</t>
        </is>
      </c>
      <c r="D6" s="17" t="n"/>
      <c r="E6" s="17" t="n"/>
      <c r="F6" s="17" t="n"/>
      <c r="G6" s="17" t="n"/>
      <c r="H6" s="17" t="n"/>
      <c r="I6" s="17" t="n"/>
      <c r="J6" s="18" t="n"/>
    </row>
    <row r="7" ht="20" customHeight="1">
      <c r="A7" s="14" t="inlineStr">
        <is>
          <t>Pool complete</t>
        </is>
      </c>
      <c r="B7" s="19">
        <f>IF(B5=0,"NA",B6/B5)</f>
        <v/>
      </c>
      <c r="C7" s="16" t="inlineStr">
        <is>
          <t>Live as a share of planned. Reads NA before any target exists.</t>
        </is>
      </c>
      <c r="D7" s="17" t="n"/>
      <c r="E7" s="17" t="n"/>
      <c r="F7" s="17" t="n"/>
      <c r="G7" s="17" t="n"/>
      <c r="H7" s="17" t="n"/>
      <c r="I7" s="17" t="n"/>
      <c r="J7" s="18" t="n"/>
    </row>
    <row r="8" ht="20" customHeight="1">
      <c r="A8" s="14" t="inlineStr">
        <is>
          <t>In build</t>
        </is>
      </c>
      <c r="B8" s="15">
        <f>COUNTIF('Chart Register'!$N$5:$N$1004,"Identified")+COUNTIF('Chart Register'!$N$5:$N$1004,"De-identified")+COUNTIF('Chart Register'!$N$5:$N$1004,"Built")+COUNTIF('Chart Register'!$N$5:$N$1004,"Validated")</f>
        <v/>
      </c>
      <c r="C8" s="16" t="inlineStr">
        <is>
          <t>Logged and moving: identified, de-identified, built or validated, but not yet live.</t>
        </is>
      </c>
      <c r="D8" s="17" t="n"/>
      <c r="E8" s="17" t="n"/>
      <c r="F8" s="17" t="n"/>
      <c r="G8" s="17" t="n"/>
      <c r="H8" s="17" t="n"/>
      <c r="I8" s="17" t="n"/>
      <c r="J8" s="18" t="n"/>
    </row>
    <row r="9" ht="20" customHeight="1">
      <c r="A9" s="14" t="inlineStr">
        <is>
          <t>Not yet sourced</t>
        </is>
      </c>
      <c r="B9" s="15">
        <f>MAX(0,B5-COUNTIF('Chart Register'!$A$5:$A$1004,"&lt;&gt;"))</f>
        <v/>
      </c>
      <c r="C9" s="16" t="inlineStr">
        <is>
          <t>Planned charts with no register row at all. The sourcing backlog.</t>
        </is>
      </c>
      <c r="D9" s="17" t="n"/>
      <c r="E9" s="17" t="n"/>
      <c r="F9" s="17" t="n"/>
      <c r="G9" s="17" t="n"/>
      <c r="H9" s="17" t="n"/>
      <c r="I9" s="17" t="n"/>
      <c r="J9" s="18" t="n"/>
    </row>
    <row r="10" ht="20" customHeight="1">
      <c r="A10" s="14" t="inlineStr">
        <is>
          <t>Added live, last 30 days</t>
        </is>
      </c>
      <c r="B10" s="15">
        <f>COUNTIFS('Chart Register'!$S$5:$S$1004,"&gt;="&amp;TODAY()-30,'Chart Register'!$S$5:$S$1004,"&lt;="&amp;TODAY())</f>
        <v/>
      </c>
      <c r="C10" s="16" t="inlineStr">
        <is>
          <t>Charts that went live in the last month. The build rate, measured rather than assumed.</t>
        </is>
      </c>
      <c r="D10" s="17" t="n"/>
      <c r="E10" s="17" t="n"/>
      <c r="F10" s="17" t="n"/>
      <c r="G10" s="17" t="n"/>
      <c r="H10" s="17" t="n"/>
      <c r="I10" s="17" t="n"/>
      <c r="J10" s="18" t="n"/>
    </row>
    <row r="11" ht="20" customHeight="1">
      <c r="A11" s="14" t="inlineStr">
        <is>
          <t>Retired, last 90 days</t>
        </is>
      </c>
      <c r="B11" s="15">
        <f>COUNTIFS('Chart Register'!$T$5:$T$1004,"&gt;="&amp;TODAY()-90,'Chart Register'!$T$5:$T$1004,"&lt;="&amp;TODAY())</f>
        <v/>
      </c>
      <c r="C11" s="16" t="inlineStr">
        <is>
          <t>Recent retirements. HC policy retires 10% of the pool each half-yearly refresh.</t>
        </is>
      </c>
      <c r="D11" s="17" t="n"/>
      <c r="E11" s="17" t="n"/>
      <c r="F11" s="17" t="n"/>
      <c r="G11" s="17" t="n"/>
      <c r="H11" s="17" t="n"/>
      <c r="I11" s="17" t="n"/>
      <c r="J11" s="18" t="n"/>
    </row>
    <row r="12" ht="20" customHeight="1">
      <c r="A12" s="14" t="inlineStr">
        <is>
          <t>On hold</t>
        </is>
      </c>
      <c r="B12" s="15">
        <f>COUNTIF('Chart Register'!$N$5:$N$1004,"On hold")</f>
        <v/>
      </c>
      <c r="C12" s="16" t="inlineStr">
        <is>
          <t>Charts stopped by an unresolved issue. These are not in the pool and are not progressing.</t>
        </is>
      </c>
      <c r="D12" s="17" t="n"/>
      <c r="E12" s="17" t="n"/>
      <c r="F12" s="17" t="n"/>
      <c r="G12" s="17" t="n"/>
      <c r="H12" s="17" t="n"/>
      <c r="I12" s="17" t="n"/>
      <c r="J12" s="18" t="n"/>
    </row>
    <row r="13" ht="20" customHeight="1">
      <c r="A13" s="14" t="inlineStr">
        <is>
          <t>Topics below threshold</t>
        </is>
      </c>
      <c r="B13" s="15">
        <f>COUNTIF('Topic Plan'!$P$5:$P$115,"BELOW*")</f>
        <v/>
      </c>
      <c r="C13" s="16" t="inlineStr">
        <is>
          <t>Topics under the HC section 9 gap threshold. Each one triggers targeted sourcing.</t>
        </is>
      </c>
      <c r="D13" s="17" t="n"/>
      <c r="E13" s="17" t="n"/>
      <c r="F13" s="17" t="n"/>
      <c r="G13" s="17" t="n"/>
      <c r="H13" s="17" t="n"/>
      <c r="I13" s="17" t="n"/>
      <c r="J13" s="18" t="n"/>
    </row>
    <row r="14" ht="20" customHeight="1">
      <c r="A14" s="14" t="inlineStr">
        <is>
          <t>Charts past expected date</t>
        </is>
      </c>
      <c r="B14" s="15">
        <f>COUNTIF('Chart Register'!$V$5:$V$1004,"&gt;0")</f>
        <v/>
      </c>
      <c r="C14" s="16" t="inlineStr">
        <is>
          <t>Logged charts whose expected live date has passed and which are not live.</t>
        </is>
      </c>
      <c r="D14" s="17" t="n"/>
      <c r="E14" s="17" t="n"/>
      <c r="F14" s="17" t="n"/>
      <c r="G14" s="17" t="n"/>
      <c r="H14" s="17" t="n"/>
      <c r="I14" s="17" t="n"/>
      <c r="J14" s="18" t="n"/>
    </row>
    <row r="15" ht="20" customHeight="1">
      <c r="A15" s="14" t="inlineStr">
        <is>
          <t>Stalled over 30 days</t>
        </is>
      </c>
      <c r="B15" s="15">
        <f>COUNTIF('Chart Register'!$W$5:$W$1004,"&gt;30")</f>
        <v/>
      </c>
      <c r="C15" s="16" t="inlineStr">
        <is>
          <t>Charts sitting in the same stage for over a month. Where the build is actually blocked.</t>
        </is>
      </c>
      <c r="D15" s="17" t="n"/>
      <c r="E15" s="17" t="n"/>
      <c r="F15" s="17" t="n"/>
      <c r="G15" s="17" t="n"/>
      <c r="H15" s="17" t="n"/>
      <c r="I15" s="17" t="n"/>
      <c r="J15" s="18" t="n"/>
    </row>
    <row r="16" ht="20" customHeight="1">
      <c r="A16" s="14" t="inlineStr">
        <is>
          <t>Open issues</t>
        </is>
      </c>
      <c r="B16" s="15">
        <f>COUNTIF('Issues Log'!$K$5:$K$504,"Open")+COUNTIF('Issues Log'!$K$5:$K$504,"In progress")</f>
        <v/>
      </c>
      <c r="C16" s="16" t="inlineStr">
        <is>
          <t>Unresolved issues across every specialty.</t>
        </is>
      </c>
      <c r="D16" s="17" t="n"/>
      <c r="E16" s="17" t="n"/>
      <c r="F16" s="17" t="n"/>
      <c r="G16" s="17" t="n"/>
      <c r="H16" s="17" t="n"/>
      <c r="I16" s="17" t="n"/>
      <c r="J16" s="18" t="n"/>
    </row>
    <row r="17" ht="20" customHeight="1">
      <c r="A17" s="14" t="inlineStr">
        <is>
          <t>Blocker issues open</t>
        </is>
      </c>
      <c r="B17" s="15">
        <f>COUNTIFS('Issues Log'!$G$5:$G$504,"Blocker",'Issues Log'!$K$5:$K$504,"Open")+COUNTIFS('Issues Log'!$G$5:$G$504,"Blocker",'Issues Log'!$K$5:$K$504,"In progress")</f>
        <v/>
      </c>
      <c r="C17" s="16" t="inlineStr">
        <is>
          <t>Issues stopping a chart outright. Clear these first.</t>
        </is>
      </c>
      <c r="D17" s="17" t="n"/>
      <c r="E17" s="17" t="n"/>
      <c r="F17" s="17" t="n"/>
      <c r="G17" s="17" t="n"/>
      <c r="H17" s="17" t="n"/>
      <c r="I17" s="17" t="n"/>
      <c r="J17" s="18" t="n"/>
    </row>
    <row r="18" ht="20" customHeight="1">
      <c r="A18" s="14" t="inlineStr">
        <is>
          <t>Issues overdue</t>
        </is>
      </c>
      <c r="B18" s="15">
        <f>COUNTIF('Issues Log'!$O$5:$O$504,"OVERDUE")</f>
        <v/>
      </c>
      <c r="C18" s="16" t="inlineStr">
        <is>
          <t>Open issues past their own target resolution date.</t>
        </is>
      </c>
      <c r="D18" s="17" t="n"/>
      <c r="E18" s="17" t="n"/>
      <c r="F18" s="17" t="n"/>
      <c r="G18" s="17" t="n"/>
      <c r="H18" s="17" t="n"/>
      <c r="I18" s="17" t="n"/>
      <c r="J18" s="18" t="n"/>
    </row>
    <row r="20" ht="20" customHeight="1">
      <c r="A20" s="20" t="inlineStr">
        <is>
          <t xml:space="preserve">  STAGE FUNNEL — WHERE THE CHARTS ARE</t>
        </is>
      </c>
    </row>
    <row r="21" ht="34" customHeight="1">
      <c r="A21" s="21" t="inlineStr">
        <is>
          <t>Stage</t>
        </is>
      </c>
      <c r="B21" s="21" t="inlineStr">
        <is>
          <t>Charts</t>
        </is>
      </c>
      <c r="C21" s="21" t="inlineStr">
        <is>
          <t>% of planned</t>
        </is>
      </c>
      <c r="D21" s="21" t="inlineStr"/>
      <c r="E21" s="21" t="inlineStr"/>
      <c r="F21" s="21" t="inlineStr"/>
      <c r="G21" s="21" t="inlineStr"/>
      <c r="H21" s="21" t="inlineStr"/>
      <c r="I21" s="21" t="inlineStr"/>
      <c r="J21" s="21" t="inlineStr">
        <is>
          <t>Reading</t>
        </is>
      </c>
    </row>
    <row r="22">
      <c r="A22" s="22" t="inlineStr">
        <is>
          <t>Identified</t>
        </is>
      </c>
      <c r="B22" s="23">
        <f>COUNTIF('Chart Register'!$N$5:$N$1004,"Identified")</f>
        <v/>
      </c>
      <c r="C22" s="24">
        <f>IF($B$5=0,"NA",B22/$B$5)</f>
        <v/>
      </c>
      <c r="J22" s="25" t="inlineStr">
        <is>
          <t>A stage holding far more charts than the ones after it is the bottleneck. Validated piling up means second-level review is the constraint, not sourcing.</t>
        </is>
      </c>
    </row>
    <row r="23">
      <c r="A23" s="22" t="inlineStr">
        <is>
          <t>De-identified</t>
        </is>
      </c>
      <c r="B23" s="23">
        <f>COUNTIF('Chart Register'!$N$5:$N$1004,"De-identified")</f>
        <v/>
      </c>
      <c r="C23" s="24">
        <f>IF($B$5=0,"NA",B23/$B$5)</f>
        <v/>
      </c>
    </row>
    <row r="24">
      <c r="A24" s="22" t="inlineStr">
        <is>
          <t>Built</t>
        </is>
      </c>
      <c r="B24" s="23">
        <f>COUNTIF('Chart Register'!$N$5:$N$1004,"Built")</f>
        <v/>
      </c>
      <c r="C24" s="24">
        <f>IF($B$5=0,"NA",B24/$B$5)</f>
        <v/>
      </c>
    </row>
    <row r="25">
      <c r="A25" s="22" t="inlineStr">
        <is>
          <t>Validated</t>
        </is>
      </c>
      <c r="B25" s="23">
        <f>COUNTIF('Chart Register'!$N$5:$N$1004,"Validated")</f>
        <v/>
      </c>
      <c r="C25" s="24">
        <f>IF($B$5=0,"NA",B25/$B$5)</f>
        <v/>
      </c>
    </row>
    <row r="26">
      <c r="A26" s="22" t="inlineStr">
        <is>
          <t>Live</t>
        </is>
      </c>
      <c r="B26" s="23">
        <f>COUNTIF('Chart Register'!$N$5:$N$1004,"Live")</f>
        <v/>
      </c>
      <c r="C26" s="24">
        <f>IF($B$5=0,"NA",B26/$B$5)</f>
        <v/>
      </c>
    </row>
    <row r="27">
      <c r="A27" s="22" t="inlineStr">
        <is>
          <t>On hold</t>
        </is>
      </c>
      <c r="B27" s="23">
        <f>COUNTIF('Chart Register'!$N$5:$N$1004,"On hold")</f>
        <v/>
      </c>
      <c r="C27" s="24">
        <f>IF($B$5=0,"NA",B27/$B$5)</f>
        <v/>
      </c>
    </row>
    <row r="28">
      <c r="A28" s="22" t="inlineStr">
        <is>
          <t>Retired</t>
        </is>
      </c>
      <c r="B28" s="23">
        <f>COUNTIF('Chart Register'!$N$5:$N$1004,"Retired")</f>
        <v/>
      </c>
      <c r="C28" s="24">
        <f>IF($B$5=0,"NA",B28/$B$5)</f>
        <v/>
      </c>
    </row>
    <row r="30" ht="20" customHeight="1">
      <c r="A30" s="20" t="inlineStr">
        <is>
          <t xml:space="preserve">  DIFFICULTY MIX — ACTUAL AGAINST THE HC 40 / 40 / 20 TARGET</t>
        </is>
      </c>
    </row>
    <row r="31" ht="34" customHeight="1">
      <c r="A31" s="21" t="inlineStr">
        <is>
          <t>Tier</t>
        </is>
      </c>
      <c r="B31" s="21" t="inlineStr">
        <is>
          <t>Live charts</t>
        </is>
      </c>
      <c r="C31" s="21" t="inlineStr">
        <is>
          <t>Actual %</t>
        </is>
      </c>
      <c r="D31" s="21" t="inlineStr">
        <is>
          <t>Target %</t>
        </is>
      </c>
      <c r="E31" s="21" t="inlineStr">
        <is>
          <t>Deviation</t>
        </is>
      </c>
      <c r="F31" s="21" t="inlineStr"/>
      <c r="G31" s="21" t="inlineStr"/>
      <c r="H31" s="21" t="inlineStr"/>
      <c r="I31" s="21" t="inlineStr"/>
      <c r="J31" s="21" t="inlineStr">
        <is>
          <t>Reading</t>
        </is>
      </c>
    </row>
    <row r="32">
      <c r="A32" s="22" t="inlineStr">
        <is>
          <t>Basic</t>
        </is>
      </c>
      <c r="B32" s="23">
        <f>COUNTIFS('Chart Register'!$G$5:$G$1004,"Basic",'Chart Register'!$N$5:$N$1004,"Live")</f>
        <v/>
      </c>
      <c r="C32" s="24">
        <f>IF($B$6=0,"NA",B32/$B$6)</f>
        <v/>
      </c>
      <c r="D32" s="24" t="n">
        <v>0.4</v>
      </c>
      <c r="E32" s="24">
        <f>IF($B$6=0,"NA",C32-D32)</f>
        <v/>
      </c>
      <c r="J32" s="25" t="inlineStr">
        <is>
          <t>Measured over live charts only, so it reports the pool a coder actually meets. A pool drifting toward Basic teaches less than the mix intends; one drifting Complex fails Week 1.</t>
        </is>
      </c>
    </row>
    <row r="33">
      <c r="A33" s="22" t="inlineStr">
        <is>
          <t>Moderate</t>
        </is>
      </c>
      <c r="B33" s="23">
        <f>COUNTIFS('Chart Register'!$G$5:$G$1004,"Moderate",'Chart Register'!$N$5:$N$1004,"Live")</f>
        <v/>
      </c>
      <c r="C33" s="24">
        <f>IF($B$6=0,"NA",B33/$B$6)</f>
        <v/>
      </c>
      <c r="D33" s="24" t="n">
        <v>0.4</v>
      </c>
      <c r="E33" s="24">
        <f>IF($B$6=0,"NA",C33-D33)</f>
        <v/>
      </c>
    </row>
    <row r="34">
      <c r="A34" s="22" t="inlineStr">
        <is>
          <t>Complex</t>
        </is>
      </c>
      <c r="B34" s="23">
        <f>COUNTIFS('Chart Register'!$G$5:$G$1004,"Complex",'Chart Register'!$N$5:$N$1004,"Live")</f>
        <v/>
      </c>
      <c r="C34" s="24">
        <f>IF($B$6=0,"NA",B34/$B$6)</f>
        <v/>
      </c>
      <c r="D34" s="24" t="n">
        <v>0.2</v>
      </c>
      <c r="E34" s="24">
        <f>IF($B$6=0,"NA",C34-D34)</f>
        <v/>
      </c>
    </row>
    <row r="36" ht="39" customHeight="1">
      <c r="A36" s="13" t="inlineStr">
        <is>
          <t>Native Excel PivotTables cannot be generated by the tool that writes this file, so the summary views here and on Specialty View are formula-driven instead. They need no refresh and survive being emailed. For ad-hoc pivoting, select the register range and insert a PivotTable — the register is a flat table with a header row, which is all a pivot needs.</t>
        </is>
      </c>
    </row>
    <row r="37" ht="26" customHeight="1">
      <c r="A37" s="26" t="inlineStr">
        <is>
          <t>Every count here reads register rows 5 to 1004 and issue rows 5 to 504. Paste beyond those rows and the dashboard will quietly stop counting the overflow, so extend the formulas rather than typing past the end.</t>
        </is>
      </c>
    </row>
  </sheetData>
  <mergeCells count="22">
    <mergeCell ref="J32:J34"/>
    <mergeCell ref="C15:J15"/>
    <mergeCell ref="C6:J6"/>
    <mergeCell ref="C14:J14"/>
    <mergeCell ref="A20:J20"/>
    <mergeCell ref="C5:J5"/>
    <mergeCell ref="C10:J10"/>
    <mergeCell ref="C16:J16"/>
    <mergeCell ref="A30:J30"/>
    <mergeCell ref="J22:J28"/>
    <mergeCell ref="C9:J9"/>
    <mergeCell ref="A1:J1"/>
    <mergeCell ref="C12:J12"/>
    <mergeCell ref="A36:J36"/>
    <mergeCell ref="C11:J11"/>
    <mergeCell ref="C8:J8"/>
    <mergeCell ref="C17:J17"/>
    <mergeCell ref="A37:J37"/>
    <mergeCell ref="C7:J7"/>
    <mergeCell ref="C13:J13"/>
    <mergeCell ref="A2:J2"/>
    <mergeCell ref="C18:J18"/>
  </mergeCells>
  <conditionalFormatting sqref="B6">
    <cfRule type="cellIs" priority="1" operator="greaterThan" dxfId="0">
      <formula>0</formula>
    </cfRule>
  </conditionalFormatting>
  <conditionalFormatting sqref="B8">
    <cfRule type="cellIs" priority="2" operator="greaterThan" dxfId="1">
      <formula>0</formula>
    </cfRule>
  </conditionalFormatting>
  <conditionalFormatting sqref="B10">
    <cfRule type="cellIs" priority="3" operator="greaterThan" dxfId="0">
      <formula>0</formula>
    </cfRule>
  </conditionalFormatting>
  <conditionalFormatting sqref="B12">
    <cfRule type="cellIs" priority="4" operator="greaterThan" dxfId="2">
      <formula>0</formula>
    </cfRule>
  </conditionalFormatting>
  <conditionalFormatting sqref="B13">
    <cfRule type="cellIs" priority="5" operator="greaterThan" dxfId="3">
      <formula>0</formula>
    </cfRule>
  </conditionalFormatting>
  <conditionalFormatting sqref="B14">
    <cfRule type="cellIs" priority="6" operator="greaterThan" dxfId="3">
      <formula>0</formula>
    </cfRule>
  </conditionalFormatting>
  <conditionalFormatting sqref="B15">
    <cfRule type="cellIs" priority="7" operator="greaterThan" dxfId="2">
      <formula>0</formula>
    </cfRule>
  </conditionalFormatting>
  <conditionalFormatting sqref="B16">
    <cfRule type="cellIs" priority="8" operator="greaterThan" dxfId="2">
      <formula>0</formula>
    </cfRule>
  </conditionalFormatting>
  <conditionalFormatting sqref="B17">
    <cfRule type="cellIs" priority="9" operator="greaterThan" dxfId="3">
      <formula>0</formula>
    </cfRule>
  </conditionalFormatting>
  <conditionalFormatting sqref="B18">
    <cfRule type="cellIs" priority="10" operator="greaterThan" dxfId="3">
      <formula>0</formula>
    </cfRule>
  </conditionalFormatting>
  <conditionalFormatting sqref="B7">
    <cfRule type="cellIs" priority="11" operator="greaterThanOrEqual" dxfId="0">
      <formula>0.8</formula>
    </cfRule>
    <cfRule type="cellIs" priority="12" operator="lessThan" dxfId="2">
      <formula>0.5</formula>
    </cfRule>
  </conditionalFormatting>
  <conditionalFormatting sqref="B22:B28">
    <cfRule type="dataBar" priority="13">
      <dataBar showValue="1">
        <cfvo type="num" val="0"/>
        <cfvo type="max"/>
        <color rgb="002E75B6"/>
      </dataBar>
    </cfRule>
  </conditionalFormatting>
  <conditionalFormatting sqref="E32:E34">
    <cfRule type="cellIs" priority="14" operator="greaterThan" dxfId="4">
      <formula>0.1</formula>
    </cfRule>
    <cfRule type="cellIs" priority="15" operator="lessThan" dxfId="4">
      <formula>-0.1</formula>
    </cfRule>
  </conditionalFormatting>
  <pageMargins left="0.75" right="0.75" top="1" bottom="1" header="0.5" footer="0.5"/>
</worksheet>
</file>

<file path=xl/worksheets/sheet3.xml><?xml version="1.0" encoding="utf-8"?>
<worksheet xmlns="http://schemas.openxmlformats.org/spreadsheetml/2006/main">
  <sheetPr>
    <tabColor rgb="001B6B3A"/>
    <outlinePr summaryBelow="1" summaryRight="1"/>
    <pageSetUpPr/>
  </sheetPr>
  <dimension ref="A1:Z1004"/>
  <sheetViews>
    <sheetView showGridLines="0" zoomScale="90" workbookViewId="0">
      <pane xSplit="3" ySplit="4" topLeftCell="D5"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10" customWidth="1" min="3" max="3"/>
    <col width="34" customWidth="1" min="4" max="4"/>
    <col width="20" customWidth="1" min="5" max="5"/>
    <col width="13" customWidth="1" min="6" max="6"/>
    <col width="12" customWidth="1" min="7" max="7"/>
    <col width="17" customWidth="1" min="8" max="8"/>
    <col width="17" customWidth="1" min="9" max="9"/>
    <col width="19" customWidth="1" min="10" max="10"/>
    <col width="34" customWidth="1" min="11" max="11"/>
    <col width="13" customWidth="1" min="12" max="12"/>
    <col width="15" customWidth="1" min="13" max="13"/>
    <col width="14" customWidth="1" min="14" max="14"/>
    <col width="12" customWidth="1" min="15" max="15"/>
    <col width="12" customWidth="1" min="16" max="16"/>
    <col width="12" customWidth="1" min="17" max="17"/>
    <col width="12" customWidth="1" min="18" max="18"/>
    <col width="12" customWidth="1" min="19" max="19"/>
    <col width="12" customWidth="1" min="20" max="20"/>
    <col width="13" customWidth="1" min="21" max="21"/>
    <col width="11" customWidth="1" min="22" max="22"/>
    <col width="11" customWidth="1" min="23" max="23"/>
    <col width="10" customWidth="1" min="24" max="24"/>
    <col width="11" customWidth="1" min="25" max="25"/>
    <col width="40" customWidth="1" min="26" max="26"/>
  </cols>
  <sheetData>
    <row r="1" ht="26" customHeight="1">
      <c r="A1" s="1" t="inlineStr">
        <is>
          <t>Chart Register — one row per chart</t>
        </is>
      </c>
    </row>
    <row r="2" ht="14" customHeight="1">
      <c r="A2" s="2" t="inlineStr">
        <is>
          <t>Starts empty: a row exists once a chart exists. Grey columns fill themselves from the Topic ID — do not type into them.</t>
        </is>
      </c>
    </row>
    <row r="3" ht="3" customHeight="1">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c r="Y3" s="3" t="n"/>
      <c r="Z3" s="3" t="n"/>
    </row>
    <row r="4" ht="42" customHeight="1">
      <c r="A4" s="21" t="inlineStr">
        <is>
          <t>Chart ID</t>
        </is>
      </c>
      <c r="B4" s="21" t="inlineStr">
        <is>
          <t>Specialty</t>
        </is>
      </c>
      <c r="C4" s="21" t="inlineStr">
        <is>
          <t>Topic ID</t>
        </is>
      </c>
      <c r="D4" s="21" t="inlineStr">
        <is>
          <t>Topic (auto)</t>
        </is>
      </c>
      <c r="E4" s="21" t="inlineStr">
        <is>
          <t>Coverage category (auto)</t>
        </is>
      </c>
      <c r="F4" s="21" t="inlineStr">
        <is>
          <t>Priority (auto)</t>
        </is>
      </c>
      <c r="G4" s="21" t="inlineStr">
        <is>
          <t>Difficulty tier</t>
        </is>
      </c>
      <c r="H4" s="21" t="inlineStr">
        <is>
          <t>Source type</t>
        </is>
      </c>
      <c r="I4" s="21" t="inlineStr">
        <is>
          <t>Client / facility ref</t>
        </is>
      </c>
      <c r="J4" s="21" t="inlineStr">
        <is>
          <t>Primary channel</t>
        </is>
      </c>
      <c r="K4" s="21" t="inlineStr">
        <is>
          <t>Learning objective</t>
        </is>
      </c>
      <c r="L4" s="21" t="inlineStr">
        <is>
          <t>Code-set version</t>
        </is>
      </c>
      <c r="M4" s="21" t="inlineStr">
        <is>
          <t>Owner</t>
        </is>
      </c>
      <c r="N4" s="21" t="inlineStr">
        <is>
          <t>Status</t>
        </is>
      </c>
      <c r="O4" s="21" t="inlineStr">
        <is>
          <t>Date identified</t>
        </is>
      </c>
      <c r="P4" s="21" t="inlineStr">
        <is>
          <t>Date de-identified</t>
        </is>
      </c>
      <c r="Q4" s="21" t="inlineStr">
        <is>
          <t>Date built</t>
        </is>
      </c>
      <c r="R4" s="21" t="inlineStr">
        <is>
          <t>Date validated</t>
        </is>
      </c>
      <c r="S4" s="21" t="inlineStr">
        <is>
          <t>Date live</t>
        </is>
      </c>
      <c r="T4" s="21" t="inlineStr">
        <is>
          <t>Date retired</t>
        </is>
      </c>
      <c r="U4" s="21" t="inlineStr">
        <is>
          <t>Expected live date</t>
        </is>
      </c>
      <c r="V4" s="21" t="inlineStr">
        <is>
          <t>Days late (auto)</t>
        </is>
      </c>
      <c r="W4" s="21" t="inlineStr">
        <is>
          <t>Days in stage (auto)</t>
        </is>
      </c>
      <c r="X4" s="21" t="inlineStr">
        <is>
          <t>Batches used</t>
        </is>
      </c>
      <c r="Y4" s="21" t="inlineStr">
        <is>
          <t>Open issues (auto)</t>
        </is>
      </c>
      <c r="Z4" s="21" t="inlineStr">
        <is>
          <t>Notes</t>
        </is>
      </c>
    </row>
    <row r="5">
      <c r="A5" s="27" t="n"/>
      <c r="B5" s="27" t="n"/>
      <c r="C5" s="27" t="n"/>
      <c r="D5" s="28">
        <f>IF($C5="","",IFERROR(INDEX('Topic Plan'!$C$5:$C$115,MATCH($C5,'Topic Plan'!$B$5:$B$115,0)),"UNKNOWN TOPIC ID"))</f>
        <v/>
      </c>
      <c r="E5" s="28">
        <f>IF($C5="","",IFERROR(INDEX('Topic Plan'!$D$5:$D$115,MATCH($C5,'Topic Plan'!$B$5:$B$115,0)),""))</f>
        <v/>
      </c>
      <c r="F5" s="28">
        <f>IF($C5="","",IFERROR(INDEX('Topic Plan'!$E$5:$E$115,MATCH($C5,'Topic Plan'!$B$5:$B$115,0)),""))</f>
        <v/>
      </c>
      <c r="G5" s="23" t="n"/>
      <c r="H5" s="27" t="n"/>
      <c r="I5" s="27" t="n"/>
      <c r="J5" s="27" t="n"/>
      <c r="K5" s="27" t="n"/>
      <c r="L5" s="27" t="n"/>
      <c r="M5" s="27" t="n"/>
      <c r="N5" s="23" t="n"/>
      <c r="O5" s="29" t="n"/>
      <c r="P5" s="29" t="n"/>
      <c r="Q5" s="29" t="n"/>
      <c r="R5" s="29" t="n"/>
      <c r="S5" s="29" t="n"/>
      <c r="T5" s="29" t="n"/>
      <c r="U5" s="29" t="n"/>
      <c r="V5" s="30">
        <f>IF(OR($A5="",$U5=""),"",IF($S5&lt;&gt;"",MAX(0,$S5-$U5),MAX(0,TODAY()-$U5)))</f>
        <v/>
      </c>
      <c r="W5" s="30">
        <f>IF($A5="","",IF(OR($N5="Live",$N5="Retired"),"",TODAY()-MAX($O5,$P5,$Q5,$R5)))</f>
        <v/>
      </c>
      <c r="X5" s="23" t="n"/>
      <c r="Y5" s="30">
        <f>IF($A5="","",COUNTIFS('Issues Log'!$C$5:$C$504,$A5,'Issues Log'!$K$5:$K$504,"Open")+COUNTIFS('Issues Log'!$C$5:$C$504,$A5,'Issues Log'!$K$5:$K$504,"In progress"))</f>
        <v/>
      </c>
      <c r="Z5" s="27" t="n"/>
    </row>
    <row r="6">
      <c r="A6" s="27" t="n"/>
      <c r="B6" s="27" t="n"/>
      <c r="C6" s="27" t="n"/>
      <c r="D6" s="28">
        <f>IF($C6="","",IFERROR(INDEX('Topic Plan'!$C$5:$C$115,MATCH($C6,'Topic Plan'!$B$5:$B$115,0)),"UNKNOWN TOPIC ID"))</f>
        <v/>
      </c>
      <c r="E6" s="28">
        <f>IF($C6="","",IFERROR(INDEX('Topic Plan'!$D$5:$D$115,MATCH($C6,'Topic Plan'!$B$5:$B$115,0)),""))</f>
        <v/>
      </c>
      <c r="F6" s="28">
        <f>IF($C6="","",IFERROR(INDEX('Topic Plan'!$E$5:$E$115,MATCH($C6,'Topic Plan'!$B$5:$B$115,0)),""))</f>
        <v/>
      </c>
      <c r="G6" s="23" t="n"/>
      <c r="H6" s="27" t="n"/>
      <c r="I6" s="27" t="n"/>
      <c r="J6" s="27" t="n"/>
      <c r="K6" s="27" t="n"/>
      <c r="L6" s="27" t="n"/>
      <c r="M6" s="27" t="n"/>
      <c r="N6" s="23" t="n"/>
      <c r="O6" s="29" t="n"/>
      <c r="P6" s="29" t="n"/>
      <c r="Q6" s="29" t="n"/>
      <c r="R6" s="29" t="n"/>
      <c r="S6" s="29" t="n"/>
      <c r="T6" s="29" t="n"/>
      <c r="U6" s="29" t="n"/>
      <c r="V6" s="30">
        <f>IF(OR($A6="",$U6=""),"",IF($S6&lt;&gt;"",MAX(0,$S6-$U6),MAX(0,TODAY()-$U6)))</f>
        <v/>
      </c>
      <c r="W6" s="30">
        <f>IF($A6="","",IF(OR($N6="Live",$N6="Retired"),"",TODAY()-MAX($O6,$P6,$Q6,$R6)))</f>
        <v/>
      </c>
      <c r="X6" s="23" t="n"/>
      <c r="Y6" s="30">
        <f>IF($A6="","",COUNTIFS('Issues Log'!$C$5:$C$504,$A6,'Issues Log'!$K$5:$K$504,"Open")+COUNTIFS('Issues Log'!$C$5:$C$504,$A6,'Issues Log'!$K$5:$K$504,"In progress"))</f>
        <v/>
      </c>
      <c r="Z6" s="27" t="n"/>
    </row>
    <row r="7">
      <c r="A7" s="27" t="n"/>
      <c r="B7" s="27" t="n"/>
      <c r="C7" s="27" t="n"/>
      <c r="D7" s="28">
        <f>IF($C7="","",IFERROR(INDEX('Topic Plan'!$C$5:$C$115,MATCH($C7,'Topic Plan'!$B$5:$B$115,0)),"UNKNOWN TOPIC ID"))</f>
        <v/>
      </c>
      <c r="E7" s="28">
        <f>IF($C7="","",IFERROR(INDEX('Topic Plan'!$D$5:$D$115,MATCH($C7,'Topic Plan'!$B$5:$B$115,0)),""))</f>
        <v/>
      </c>
      <c r="F7" s="28">
        <f>IF($C7="","",IFERROR(INDEX('Topic Plan'!$E$5:$E$115,MATCH($C7,'Topic Plan'!$B$5:$B$115,0)),""))</f>
        <v/>
      </c>
      <c r="G7" s="23" t="n"/>
      <c r="H7" s="27" t="n"/>
      <c r="I7" s="27" t="n"/>
      <c r="J7" s="27" t="n"/>
      <c r="K7" s="27" t="n"/>
      <c r="L7" s="27" t="n"/>
      <c r="M7" s="27" t="n"/>
      <c r="N7" s="23" t="n"/>
      <c r="O7" s="29" t="n"/>
      <c r="P7" s="29" t="n"/>
      <c r="Q7" s="29" t="n"/>
      <c r="R7" s="29" t="n"/>
      <c r="S7" s="29" t="n"/>
      <c r="T7" s="29" t="n"/>
      <c r="U7" s="29" t="n"/>
      <c r="V7" s="30">
        <f>IF(OR($A7="",$U7=""),"",IF($S7&lt;&gt;"",MAX(0,$S7-$U7),MAX(0,TODAY()-$U7)))</f>
        <v/>
      </c>
      <c r="W7" s="30">
        <f>IF($A7="","",IF(OR($N7="Live",$N7="Retired"),"",TODAY()-MAX($O7,$P7,$Q7,$R7)))</f>
        <v/>
      </c>
      <c r="X7" s="23" t="n"/>
      <c r="Y7" s="30">
        <f>IF($A7="","",COUNTIFS('Issues Log'!$C$5:$C$504,$A7,'Issues Log'!$K$5:$K$504,"Open")+COUNTIFS('Issues Log'!$C$5:$C$504,$A7,'Issues Log'!$K$5:$K$504,"In progress"))</f>
        <v/>
      </c>
      <c r="Z7" s="27" t="n"/>
    </row>
    <row r="8">
      <c r="A8" s="27" t="n"/>
      <c r="B8" s="27" t="n"/>
      <c r="C8" s="27" t="n"/>
      <c r="D8" s="28">
        <f>IF($C8="","",IFERROR(INDEX('Topic Plan'!$C$5:$C$115,MATCH($C8,'Topic Plan'!$B$5:$B$115,0)),"UNKNOWN TOPIC ID"))</f>
        <v/>
      </c>
      <c r="E8" s="28">
        <f>IF($C8="","",IFERROR(INDEX('Topic Plan'!$D$5:$D$115,MATCH($C8,'Topic Plan'!$B$5:$B$115,0)),""))</f>
        <v/>
      </c>
      <c r="F8" s="28">
        <f>IF($C8="","",IFERROR(INDEX('Topic Plan'!$E$5:$E$115,MATCH($C8,'Topic Plan'!$B$5:$B$115,0)),""))</f>
        <v/>
      </c>
      <c r="G8" s="23" t="n"/>
      <c r="H8" s="27" t="n"/>
      <c r="I8" s="27" t="n"/>
      <c r="J8" s="27" t="n"/>
      <c r="K8" s="27" t="n"/>
      <c r="L8" s="27" t="n"/>
      <c r="M8" s="27" t="n"/>
      <c r="N8" s="23" t="n"/>
      <c r="O8" s="29" t="n"/>
      <c r="P8" s="29" t="n"/>
      <c r="Q8" s="29" t="n"/>
      <c r="R8" s="29" t="n"/>
      <c r="S8" s="29" t="n"/>
      <c r="T8" s="29" t="n"/>
      <c r="U8" s="29" t="n"/>
      <c r="V8" s="30">
        <f>IF(OR($A8="",$U8=""),"",IF($S8&lt;&gt;"",MAX(0,$S8-$U8),MAX(0,TODAY()-$U8)))</f>
        <v/>
      </c>
      <c r="W8" s="30">
        <f>IF($A8="","",IF(OR($N8="Live",$N8="Retired"),"",TODAY()-MAX($O8,$P8,$Q8,$R8)))</f>
        <v/>
      </c>
      <c r="X8" s="23" t="n"/>
      <c r="Y8" s="30">
        <f>IF($A8="","",COUNTIFS('Issues Log'!$C$5:$C$504,$A8,'Issues Log'!$K$5:$K$504,"Open")+COUNTIFS('Issues Log'!$C$5:$C$504,$A8,'Issues Log'!$K$5:$K$504,"In progress"))</f>
        <v/>
      </c>
      <c r="Z8" s="27" t="n"/>
    </row>
    <row r="9">
      <c r="A9" s="27" t="n"/>
      <c r="B9" s="27" t="n"/>
      <c r="C9" s="27" t="n"/>
      <c r="D9" s="28">
        <f>IF($C9="","",IFERROR(INDEX('Topic Plan'!$C$5:$C$115,MATCH($C9,'Topic Plan'!$B$5:$B$115,0)),"UNKNOWN TOPIC ID"))</f>
        <v/>
      </c>
      <c r="E9" s="28">
        <f>IF($C9="","",IFERROR(INDEX('Topic Plan'!$D$5:$D$115,MATCH($C9,'Topic Plan'!$B$5:$B$115,0)),""))</f>
        <v/>
      </c>
      <c r="F9" s="28">
        <f>IF($C9="","",IFERROR(INDEX('Topic Plan'!$E$5:$E$115,MATCH($C9,'Topic Plan'!$B$5:$B$115,0)),""))</f>
        <v/>
      </c>
      <c r="G9" s="23" t="n"/>
      <c r="H9" s="27" t="n"/>
      <c r="I9" s="27" t="n"/>
      <c r="J9" s="27" t="n"/>
      <c r="K9" s="27" t="n"/>
      <c r="L9" s="27" t="n"/>
      <c r="M9" s="27" t="n"/>
      <c r="N9" s="23" t="n"/>
      <c r="O9" s="29" t="n"/>
      <c r="P9" s="29" t="n"/>
      <c r="Q9" s="29" t="n"/>
      <c r="R9" s="29" t="n"/>
      <c r="S9" s="29" t="n"/>
      <c r="T9" s="29" t="n"/>
      <c r="U9" s="29" t="n"/>
      <c r="V9" s="30">
        <f>IF(OR($A9="",$U9=""),"",IF($S9&lt;&gt;"",MAX(0,$S9-$U9),MAX(0,TODAY()-$U9)))</f>
        <v/>
      </c>
      <c r="W9" s="30">
        <f>IF($A9="","",IF(OR($N9="Live",$N9="Retired"),"",TODAY()-MAX($O9,$P9,$Q9,$R9)))</f>
        <v/>
      </c>
      <c r="X9" s="23" t="n"/>
      <c r="Y9" s="30">
        <f>IF($A9="","",COUNTIFS('Issues Log'!$C$5:$C$504,$A9,'Issues Log'!$K$5:$K$504,"Open")+COUNTIFS('Issues Log'!$C$5:$C$504,$A9,'Issues Log'!$K$5:$K$504,"In progress"))</f>
        <v/>
      </c>
      <c r="Z9" s="27" t="n"/>
    </row>
    <row r="10">
      <c r="A10" s="27" t="n"/>
      <c r="B10" s="27" t="n"/>
      <c r="C10" s="27" t="n"/>
      <c r="D10" s="28">
        <f>IF($C10="","",IFERROR(INDEX('Topic Plan'!$C$5:$C$115,MATCH($C10,'Topic Plan'!$B$5:$B$115,0)),"UNKNOWN TOPIC ID"))</f>
        <v/>
      </c>
      <c r="E10" s="28">
        <f>IF($C10="","",IFERROR(INDEX('Topic Plan'!$D$5:$D$115,MATCH($C10,'Topic Plan'!$B$5:$B$115,0)),""))</f>
        <v/>
      </c>
      <c r="F10" s="28">
        <f>IF($C10="","",IFERROR(INDEX('Topic Plan'!$E$5:$E$115,MATCH($C10,'Topic Plan'!$B$5:$B$115,0)),""))</f>
        <v/>
      </c>
      <c r="G10" s="23" t="n"/>
      <c r="H10" s="27" t="n"/>
      <c r="I10" s="27" t="n"/>
      <c r="J10" s="27" t="n"/>
      <c r="K10" s="27" t="n"/>
      <c r="L10" s="27" t="n"/>
      <c r="M10" s="27" t="n"/>
      <c r="N10" s="23" t="n"/>
      <c r="O10" s="29" t="n"/>
      <c r="P10" s="29" t="n"/>
      <c r="Q10" s="29" t="n"/>
      <c r="R10" s="29" t="n"/>
      <c r="S10" s="29" t="n"/>
      <c r="T10" s="29" t="n"/>
      <c r="U10" s="29" t="n"/>
      <c r="V10" s="30">
        <f>IF(OR($A10="",$U10=""),"",IF($S10&lt;&gt;"",MAX(0,$S10-$U10),MAX(0,TODAY()-$U10)))</f>
        <v/>
      </c>
      <c r="W10" s="30">
        <f>IF($A10="","",IF(OR($N10="Live",$N10="Retired"),"",TODAY()-MAX($O10,$P10,$Q10,$R10)))</f>
        <v/>
      </c>
      <c r="X10" s="23" t="n"/>
      <c r="Y10" s="30">
        <f>IF($A10="","",COUNTIFS('Issues Log'!$C$5:$C$504,$A10,'Issues Log'!$K$5:$K$504,"Open")+COUNTIFS('Issues Log'!$C$5:$C$504,$A10,'Issues Log'!$K$5:$K$504,"In progress"))</f>
        <v/>
      </c>
      <c r="Z10" s="27" t="n"/>
    </row>
    <row r="11">
      <c r="A11" s="27" t="n"/>
      <c r="B11" s="27" t="n"/>
      <c r="C11" s="27" t="n"/>
      <c r="D11" s="28">
        <f>IF($C11="","",IFERROR(INDEX('Topic Plan'!$C$5:$C$115,MATCH($C11,'Topic Plan'!$B$5:$B$115,0)),"UNKNOWN TOPIC ID"))</f>
        <v/>
      </c>
      <c r="E11" s="28">
        <f>IF($C11="","",IFERROR(INDEX('Topic Plan'!$D$5:$D$115,MATCH($C11,'Topic Plan'!$B$5:$B$115,0)),""))</f>
        <v/>
      </c>
      <c r="F11" s="28">
        <f>IF($C11="","",IFERROR(INDEX('Topic Plan'!$E$5:$E$115,MATCH($C11,'Topic Plan'!$B$5:$B$115,0)),""))</f>
        <v/>
      </c>
      <c r="G11" s="23" t="n"/>
      <c r="H11" s="27" t="n"/>
      <c r="I11" s="27" t="n"/>
      <c r="J11" s="27" t="n"/>
      <c r="K11" s="27" t="n"/>
      <c r="L11" s="27" t="n"/>
      <c r="M11" s="27" t="n"/>
      <c r="N11" s="23" t="n"/>
      <c r="O11" s="29" t="n"/>
      <c r="P11" s="29" t="n"/>
      <c r="Q11" s="29" t="n"/>
      <c r="R11" s="29" t="n"/>
      <c r="S11" s="29" t="n"/>
      <c r="T11" s="29" t="n"/>
      <c r="U11" s="29" t="n"/>
      <c r="V11" s="30">
        <f>IF(OR($A11="",$U11=""),"",IF($S11&lt;&gt;"",MAX(0,$S11-$U11),MAX(0,TODAY()-$U11)))</f>
        <v/>
      </c>
      <c r="W11" s="30">
        <f>IF($A11="","",IF(OR($N11="Live",$N11="Retired"),"",TODAY()-MAX($O11,$P11,$Q11,$R11)))</f>
        <v/>
      </c>
      <c r="X11" s="23" t="n"/>
      <c r="Y11" s="30">
        <f>IF($A11="","",COUNTIFS('Issues Log'!$C$5:$C$504,$A11,'Issues Log'!$K$5:$K$504,"Open")+COUNTIFS('Issues Log'!$C$5:$C$504,$A11,'Issues Log'!$K$5:$K$504,"In progress"))</f>
        <v/>
      </c>
      <c r="Z11" s="27" t="n"/>
    </row>
    <row r="12">
      <c r="A12" s="27" t="n"/>
      <c r="B12" s="27" t="n"/>
      <c r="C12" s="27" t="n"/>
      <c r="D12" s="28">
        <f>IF($C12="","",IFERROR(INDEX('Topic Plan'!$C$5:$C$115,MATCH($C12,'Topic Plan'!$B$5:$B$115,0)),"UNKNOWN TOPIC ID"))</f>
        <v/>
      </c>
      <c r="E12" s="28">
        <f>IF($C12="","",IFERROR(INDEX('Topic Plan'!$D$5:$D$115,MATCH($C12,'Topic Plan'!$B$5:$B$115,0)),""))</f>
        <v/>
      </c>
      <c r="F12" s="28">
        <f>IF($C12="","",IFERROR(INDEX('Topic Plan'!$E$5:$E$115,MATCH($C12,'Topic Plan'!$B$5:$B$115,0)),""))</f>
        <v/>
      </c>
      <c r="G12" s="23" t="n"/>
      <c r="H12" s="27" t="n"/>
      <c r="I12" s="27" t="n"/>
      <c r="J12" s="27" t="n"/>
      <c r="K12" s="27" t="n"/>
      <c r="L12" s="27" t="n"/>
      <c r="M12" s="27" t="n"/>
      <c r="N12" s="23" t="n"/>
      <c r="O12" s="29" t="n"/>
      <c r="P12" s="29" t="n"/>
      <c r="Q12" s="29" t="n"/>
      <c r="R12" s="29" t="n"/>
      <c r="S12" s="29" t="n"/>
      <c r="T12" s="29" t="n"/>
      <c r="U12" s="29" t="n"/>
      <c r="V12" s="30">
        <f>IF(OR($A12="",$U12=""),"",IF($S12&lt;&gt;"",MAX(0,$S12-$U12),MAX(0,TODAY()-$U12)))</f>
        <v/>
      </c>
      <c r="W12" s="30">
        <f>IF($A12="","",IF(OR($N12="Live",$N12="Retired"),"",TODAY()-MAX($O12,$P12,$Q12,$R12)))</f>
        <v/>
      </c>
      <c r="X12" s="23" t="n"/>
      <c r="Y12" s="30">
        <f>IF($A12="","",COUNTIFS('Issues Log'!$C$5:$C$504,$A12,'Issues Log'!$K$5:$K$504,"Open")+COUNTIFS('Issues Log'!$C$5:$C$504,$A12,'Issues Log'!$K$5:$K$504,"In progress"))</f>
        <v/>
      </c>
      <c r="Z12" s="27" t="n"/>
    </row>
    <row r="13">
      <c r="A13" s="27" t="n"/>
      <c r="B13" s="27" t="n"/>
      <c r="C13" s="27" t="n"/>
      <c r="D13" s="28">
        <f>IF($C13="","",IFERROR(INDEX('Topic Plan'!$C$5:$C$115,MATCH($C13,'Topic Plan'!$B$5:$B$115,0)),"UNKNOWN TOPIC ID"))</f>
        <v/>
      </c>
      <c r="E13" s="28">
        <f>IF($C13="","",IFERROR(INDEX('Topic Plan'!$D$5:$D$115,MATCH($C13,'Topic Plan'!$B$5:$B$115,0)),""))</f>
        <v/>
      </c>
      <c r="F13" s="28">
        <f>IF($C13="","",IFERROR(INDEX('Topic Plan'!$E$5:$E$115,MATCH($C13,'Topic Plan'!$B$5:$B$115,0)),""))</f>
        <v/>
      </c>
      <c r="G13" s="23" t="n"/>
      <c r="H13" s="27" t="n"/>
      <c r="I13" s="27" t="n"/>
      <c r="J13" s="27" t="n"/>
      <c r="K13" s="27" t="n"/>
      <c r="L13" s="27" t="n"/>
      <c r="M13" s="27" t="n"/>
      <c r="N13" s="23" t="n"/>
      <c r="O13" s="29" t="n"/>
      <c r="P13" s="29" t="n"/>
      <c r="Q13" s="29" t="n"/>
      <c r="R13" s="29" t="n"/>
      <c r="S13" s="29" t="n"/>
      <c r="T13" s="29" t="n"/>
      <c r="U13" s="29" t="n"/>
      <c r="V13" s="30">
        <f>IF(OR($A13="",$U13=""),"",IF($S13&lt;&gt;"",MAX(0,$S13-$U13),MAX(0,TODAY()-$U13)))</f>
        <v/>
      </c>
      <c r="W13" s="30">
        <f>IF($A13="","",IF(OR($N13="Live",$N13="Retired"),"",TODAY()-MAX($O13,$P13,$Q13,$R13)))</f>
        <v/>
      </c>
      <c r="X13" s="23" t="n"/>
      <c r="Y13" s="30">
        <f>IF($A13="","",COUNTIFS('Issues Log'!$C$5:$C$504,$A13,'Issues Log'!$K$5:$K$504,"Open")+COUNTIFS('Issues Log'!$C$5:$C$504,$A13,'Issues Log'!$K$5:$K$504,"In progress"))</f>
        <v/>
      </c>
      <c r="Z13" s="27" t="n"/>
    </row>
    <row r="14">
      <c r="A14" s="27" t="n"/>
      <c r="B14" s="27" t="n"/>
      <c r="C14" s="27" t="n"/>
      <c r="D14" s="28">
        <f>IF($C14="","",IFERROR(INDEX('Topic Plan'!$C$5:$C$115,MATCH($C14,'Topic Plan'!$B$5:$B$115,0)),"UNKNOWN TOPIC ID"))</f>
        <v/>
      </c>
      <c r="E14" s="28">
        <f>IF($C14="","",IFERROR(INDEX('Topic Plan'!$D$5:$D$115,MATCH($C14,'Topic Plan'!$B$5:$B$115,0)),""))</f>
        <v/>
      </c>
      <c r="F14" s="28">
        <f>IF($C14="","",IFERROR(INDEX('Topic Plan'!$E$5:$E$115,MATCH($C14,'Topic Plan'!$B$5:$B$115,0)),""))</f>
        <v/>
      </c>
      <c r="G14" s="23" t="n"/>
      <c r="H14" s="27" t="n"/>
      <c r="I14" s="27" t="n"/>
      <c r="J14" s="27" t="n"/>
      <c r="K14" s="27" t="n"/>
      <c r="L14" s="27" t="n"/>
      <c r="M14" s="27" t="n"/>
      <c r="N14" s="23" t="n"/>
      <c r="O14" s="29" t="n"/>
      <c r="P14" s="29" t="n"/>
      <c r="Q14" s="29" t="n"/>
      <c r="R14" s="29" t="n"/>
      <c r="S14" s="29" t="n"/>
      <c r="T14" s="29" t="n"/>
      <c r="U14" s="29" t="n"/>
      <c r="V14" s="30">
        <f>IF(OR($A14="",$U14=""),"",IF($S14&lt;&gt;"",MAX(0,$S14-$U14),MAX(0,TODAY()-$U14)))</f>
        <v/>
      </c>
      <c r="W14" s="30">
        <f>IF($A14="","",IF(OR($N14="Live",$N14="Retired"),"",TODAY()-MAX($O14,$P14,$Q14,$R14)))</f>
        <v/>
      </c>
      <c r="X14" s="23" t="n"/>
      <c r="Y14" s="30">
        <f>IF($A14="","",COUNTIFS('Issues Log'!$C$5:$C$504,$A14,'Issues Log'!$K$5:$K$504,"Open")+COUNTIFS('Issues Log'!$C$5:$C$504,$A14,'Issues Log'!$K$5:$K$504,"In progress"))</f>
        <v/>
      </c>
      <c r="Z14" s="27" t="n"/>
    </row>
    <row r="15">
      <c r="A15" s="27" t="n"/>
      <c r="B15" s="27" t="n"/>
      <c r="C15" s="27" t="n"/>
      <c r="D15" s="28">
        <f>IF($C15="","",IFERROR(INDEX('Topic Plan'!$C$5:$C$115,MATCH($C15,'Topic Plan'!$B$5:$B$115,0)),"UNKNOWN TOPIC ID"))</f>
        <v/>
      </c>
      <c r="E15" s="28">
        <f>IF($C15="","",IFERROR(INDEX('Topic Plan'!$D$5:$D$115,MATCH($C15,'Topic Plan'!$B$5:$B$115,0)),""))</f>
        <v/>
      </c>
      <c r="F15" s="28">
        <f>IF($C15="","",IFERROR(INDEX('Topic Plan'!$E$5:$E$115,MATCH($C15,'Topic Plan'!$B$5:$B$115,0)),""))</f>
        <v/>
      </c>
      <c r="G15" s="23" t="n"/>
      <c r="H15" s="27" t="n"/>
      <c r="I15" s="27" t="n"/>
      <c r="J15" s="27" t="n"/>
      <c r="K15" s="27" t="n"/>
      <c r="L15" s="27" t="n"/>
      <c r="M15" s="27" t="n"/>
      <c r="N15" s="23" t="n"/>
      <c r="O15" s="29" t="n"/>
      <c r="P15" s="29" t="n"/>
      <c r="Q15" s="29" t="n"/>
      <c r="R15" s="29" t="n"/>
      <c r="S15" s="29" t="n"/>
      <c r="T15" s="29" t="n"/>
      <c r="U15" s="29" t="n"/>
      <c r="V15" s="30">
        <f>IF(OR($A15="",$U15=""),"",IF($S15&lt;&gt;"",MAX(0,$S15-$U15),MAX(0,TODAY()-$U15)))</f>
        <v/>
      </c>
      <c r="W15" s="30">
        <f>IF($A15="","",IF(OR($N15="Live",$N15="Retired"),"",TODAY()-MAX($O15,$P15,$Q15,$R15)))</f>
        <v/>
      </c>
      <c r="X15" s="23" t="n"/>
      <c r="Y15" s="30">
        <f>IF($A15="","",COUNTIFS('Issues Log'!$C$5:$C$504,$A15,'Issues Log'!$K$5:$K$504,"Open")+COUNTIFS('Issues Log'!$C$5:$C$504,$A15,'Issues Log'!$K$5:$K$504,"In progress"))</f>
        <v/>
      </c>
      <c r="Z15" s="27" t="n"/>
    </row>
    <row r="16">
      <c r="A16" s="27" t="n"/>
      <c r="B16" s="27" t="n"/>
      <c r="C16" s="27" t="n"/>
      <c r="D16" s="28">
        <f>IF($C16="","",IFERROR(INDEX('Topic Plan'!$C$5:$C$115,MATCH($C16,'Topic Plan'!$B$5:$B$115,0)),"UNKNOWN TOPIC ID"))</f>
        <v/>
      </c>
      <c r="E16" s="28">
        <f>IF($C16="","",IFERROR(INDEX('Topic Plan'!$D$5:$D$115,MATCH($C16,'Topic Plan'!$B$5:$B$115,0)),""))</f>
        <v/>
      </c>
      <c r="F16" s="28">
        <f>IF($C16="","",IFERROR(INDEX('Topic Plan'!$E$5:$E$115,MATCH($C16,'Topic Plan'!$B$5:$B$115,0)),""))</f>
        <v/>
      </c>
      <c r="G16" s="23" t="n"/>
      <c r="H16" s="27" t="n"/>
      <c r="I16" s="27" t="n"/>
      <c r="J16" s="27" t="n"/>
      <c r="K16" s="27" t="n"/>
      <c r="L16" s="27" t="n"/>
      <c r="M16" s="27" t="n"/>
      <c r="N16" s="23" t="n"/>
      <c r="O16" s="29" t="n"/>
      <c r="P16" s="29" t="n"/>
      <c r="Q16" s="29" t="n"/>
      <c r="R16" s="29" t="n"/>
      <c r="S16" s="29" t="n"/>
      <c r="T16" s="29" t="n"/>
      <c r="U16" s="29" t="n"/>
      <c r="V16" s="30">
        <f>IF(OR($A16="",$U16=""),"",IF($S16&lt;&gt;"",MAX(0,$S16-$U16),MAX(0,TODAY()-$U16)))</f>
        <v/>
      </c>
      <c r="W16" s="30">
        <f>IF($A16="","",IF(OR($N16="Live",$N16="Retired"),"",TODAY()-MAX($O16,$P16,$Q16,$R16)))</f>
        <v/>
      </c>
      <c r="X16" s="23" t="n"/>
      <c r="Y16" s="30">
        <f>IF($A16="","",COUNTIFS('Issues Log'!$C$5:$C$504,$A16,'Issues Log'!$K$5:$K$504,"Open")+COUNTIFS('Issues Log'!$C$5:$C$504,$A16,'Issues Log'!$K$5:$K$504,"In progress"))</f>
        <v/>
      </c>
      <c r="Z16" s="27" t="n"/>
    </row>
    <row r="17">
      <c r="A17" s="27" t="n"/>
      <c r="B17" s="27" t="n"/>
      <c r="C17" s="27" t="n"/>
      <c r="D17" s="28">
        <f>IF($C17="","",IFERROR(INDEX('Topic Plan'!$C$5:$C$115,MATCH($C17,'Topic Plan'!$B$5:$B$115,0)),"UNKNOWN TOPIC ID"))</f>
        <v/>
      </c>
      <c r="E17" s="28">
        <f>IF($C17="","",IFERROR(INDEX('Topic Plan'!$D$5:$D$115,MATCH($C17,'Topic Plan'!$B$5:$B$115,0)),""))</f>
        <v/>
      </c>
      <c r="F17" s="28">
        <f>IF($C17="","",IFERROR(INDEX('Topic Plan'!$E$5:$E$115,MATCH($C17,'Topic Plan'!$B$5:$B$115,0)),""))</f>
        <v/>
      </c>
      <c r="G17" s="23" t="n"/>
      <c r="H17" s="27" t="n"/>
      <c r="I17" s="27" t="n"/>
      <c r="J17" s="27" t="n"/>
      <c r="K17" s="27" t="n"/>
      <c r="L17" s="27" t="n"/>
      <c r="M17" s="27" t="n"/>
      <c r="N17" s="23" t="n"/>
      <c r="O17" s="29" t="n"/>
      <c r="P17" s="29" t="n"/>
      <c r="Q17" s="29" t="n"/>
      <c r="R17" s="29" t="n"/>
      <c r="S17" s="29" t="n"/>
      <c r="T17" s="29" t="n"/>
      <c r="U17" s="29" t="n"/>
      <c r="V17" s="30">
        <f>IF(OR($A17="",$U17=""),"",IF($S17&lt;&gt;"",MAX(0,$S17-$U17),MAX(0,TODAY()-$U17)))</f>
        <v/>
      </c>
      <c r="W17" s="30">
        <f>IF($A17="","",IF(OR($N17="Live",$N17="Retired"),"",TODAY()-MAX($O17,$P17,$Q17,$R17)))</f>
        <v/>
      </c>
      <c r="X17" s="23" t="n"/>
      <c r="Y17" s="30">
        <f>IF($A17="","",COUNTIFS('Issues Log'!$C$5:$C$504,$A17,'Issues Log'!$K$5:$K$504,"Open")+COUNTIFS('Issues Log'!$C$5:$C$504,$A17,'Issues Log'!$K$5:$K$504,"In progress"))</f>
        <v/>
      </c>
      <c r="Z17" s="27" t="n"/>
    </row>
    <row r="18">
      <c r="A18" s="27" t="n"/>
      <c r="B18" s="27" t="n"/>
      <c r="C18" s="27" t="n"/>
      <c r="D18" s="28">
        <f>IF($C18="","",IFERROR(INDEX('Topic Plan'!$C$5:$C$115,MATCH($C18,'Topic Plan'!$B$5:$B$115,0)),"UNKNOWN TOPIC ID"))</f>
        <v/>
      </c>
      <c r="E18" s="28">
        <f>IF($C18="","",IFERROR(INDEX('Topic Plan'!$D$5:$D$115,MATCH($C18,'Topic Plan'!$B$5:$B$115,0)),""))</f>
        <v/>
      </c>
      <c r="F18" s="28">
        <f>IF($C18="","",IFERROR(INDEX('Topic Plan'!$E$5:$E$115,MATCH($C18,'Topic Plan'!$B$5:$B$115,0)),""))</f>
        <v/>
      </c>
      <c r="G18" s="23" t="n"/>
      <c r="H18" s="27" t="n"/>
      <c r="I18" s="27" t="n"/>
      <c r="J18" s="27" t="n"/>
      <c r="K18" s="27" t="n"/>
      <c r="L18" s="27" t="n"/>
      <c r="M18" s="27" t="n"/>
      <c r="N18" s="23" t="n"/>
      <c r="O18" s="29" t="n"/>
      <c r="P18" s="29" t="n"/>
      <c r="Q18" s="29" t="n"/>
      <c r="R18" s="29" t="n"/>
      <c r="S18" s="29" t="n"/>
      <c r="T18" s="29" t="n"/>
      <c r="U18" s="29" t="n"/>
      <c r="V18" s="30">
        <f>IF(OR($A18="",$U18=""),"",IF($S18&lt;&gt;"",MAX(0,$S18-$U18),MAX(0,TODAY()-$U18)))</f>
        <v/>
      </c>
      <c r="W18" s="30">
        <f>IF($A18="","",IF(OR($N18="Live",$N18="Retired"),"",TODAY()-MAX($O18,$P18,$Q18,$R18)))</f>
        <v/>
      </c>
      <c r="X18" s="23" t="n"/>
      <c r="Y18" s="30">
        <f>IF($A18="","",COUNTIFS('Issues Log'!$C$5:$C$504,$A18,'Issues Log'!$K$5:$K$504,"Open")+COUNTIFS('Issues Log'!$C$5:$C$504,$A18,'Issues Log'!$K$5:$K$504,"In progress"))</f>
        <v/>
      </c>
      <c r="Z18" s="27" t="n"/>
    </row>
    <row r="19">
      <c r="A19" s="27" t="n"/>
      <c r="B19" s="27" t="n"/>
      <c r="C19" s="27" t="n"/>
      <c r="D19" s="28">
        <f>IF($C19="","",IFERROR(INDEX('Topic Plan'!$C$5:$C$115,MATCH($C19,'Topic Plan'!$B$5:$B$115,0)),"UNKNOWN TOPIC ID"))</f>
        <v/>
      </c>
      <c r="E19" s="28">
        <f>IF($C19="","",IFERROR(INDEX('Topic Plan'!$D$5:$D$115,MATCH($C19,'Topic Plan'!$B$5:$B$115,0)),""))</f>
        <v/>
      </c>
      <c r="F19" s="28">
        <f>IF($C19="","",IFERROR(INDEX('Topic Plan'!$E$5:$E$115,MATCH($C19,'Topic Plan'!$B$5:$B$115,0)),""))</f>
        <v/>
      </c>
      <c r="G19" s="23" t="n"/>
      <c r="H19" s="27" t="n"/>
      <c r="I19" s="27" t="n"/>
      <c r="J19" s="27" t="n"/>
      <c r="K19" s="27" t="n"/>
      <c r="L19" s="27" t="n"/>
      <c r="M19" s="27" t="n"/>
      <c r="N19" s="23" t="n"/>
      <c r="O19" s="29" t="n"/>
      <c r="P19" s="29" t="n"/>
      <c r="Q19" s="29" t="n"/>
      <c r="R19" s="29" t="n"/>
      <c r="S19" s="29" t="n"/>
      <c r="T19" s="29" t="n"/>
      <c r="U19" s="29" t="n"/>
      <c r="V19" s="30">
        <f>IF(OR($A19="",$U19=""),"",IF($S19&lt;&gt;"",MAX(0,$S19-$U19),MAX(0,TODAY()-$U19)))</f>
        <v/>
      </c>
      <c r="W19" s="30">
        <f>IF($A19="","",IF(OR($N19="Live",$N19="Retired"),"",TODAY()-MAX($O19,$P19,$Q19,$R19)))</f>
        <v/>
      </c>
      <c r="X19" s="23" t="n"/>
      <c r="Y19" s="30">
        <f>IF($A19="","",COUNTIFS('Issues Log'!$C$5:$C$504,$A19,'Issues Log'!$K$5:$K$504,"Open")+COUNTIFS('Issues Log'!$C$5:$C$504,$A19,'Issues Log'!$K$5:$K$504,"In progress"))</f>
        <v/>
      </c>
      <c r="Z19" s="27" t="n"/>
    </row>
    <row r="20">
      <c r="A20" s="27" t="n"/>
      <c r="B20" s="27" t="n"/>
      <c r="C20" s="27" t="n"/>
      <c r="D20" s="28">
        <f>IF($C20="","",IFERROR(INDEX('Topic Plan'!$C$5:$C$115,MATCH($C20,'Topic Plan'!$B$5:$B$115,0)),"UNKNOWN TOPIC ID"))</f>
        <v/>
      </c>
      <c r="E20" s="28">
        <f>IF($C20="","",IFERROR(INDEX('Topic Plan'!$D$5:$D$115,MATCH($C20,'Topic Plan'!$B$5:$B$115,0)),""))</f>
        <v/>
      </c>
      <c r="F20" s="28">
        <f>IF($C20="","",IFERROR(INDEX('Topic Plan'!$E$5:$E$115,MATCH($C20,'Topic Plan'!$B$5:$B$115,0)),""))</f>
        <v/>
      </c>
      <c r="G20" s="23" t="n"/>
      <c r="H20" s="27" t="n"/>
      <c r="I20" s="27" t="n"/>
      <c r="J20" s="27" t="n"/>
      <c r="K20" s="27" t="n"/>
      <c r="L20" s="27" t="n"/>
      <c r="M20" s="27" t="n"/>
      <c r="N20" s="23" t="n"/>
      <c r="O20" s="29" t="n"/>
      <c r="P20" s="29" t="n"/>
      <c r="Q20" s="29" t="n"/>
      <c r="R20" s="29" t="n"/>
      <c r="S20" s="29" t="n"/>
      <c r="T20" s="29" t="n"/>
      <c r="U20" s="29" t="n"/>
      <c r="V20" s="30">
        <f>IF(OR($A20="",$U20=""),"",IF($S20&lt;&gt;"",MAX(0,$S20-$U20),MAX(0,TODAY()-$U20)))</f>
        <v/>
      </c>
      <c r="W20" s="30">
        <f>IF($A20="","",IF(OR($N20="Live",$N20="Retired"),"",TODAY()-MAX($O20,$P20,$Q20,$R20)))</f>
        <v/>
      </c>
      <c r="X20" s="23" t="n"/>
      <c r="Y20" s="30">
        <f>IF($A20="","",COUNTIFS('Issues Log'!$C$5:$C$504,$A20,'Issues Log'!$K$5:$K$504,"Open")+COUNTIFS('Issues Log'!$C$5:$C$504,$A20,'Issues Log'!$K$5:$K$504,"In progress"))</f>
        <v/>
      </c>
      <c r="Z20" s="27" t="n"/>
    </row>
    <row r="21">
      <c r="A21" s="27" t="n"/>
      <c r="B21" s="27" t="n"/>
      <c r="C21" s="27" t="n"/>
      <c r="D21" s="28">
        <f>IF($C21="","",IFERROR(INDEX('Topic Plan'!$C$5:$C$115,MATCH($C21,'Topic Plan'!$B$5:$B$115,0)),"UNKNOWN TOPIC ID"))</f>
        <v/>
      </c>
      <c r="E21" s="28">
        <f>IF($C21="","",IFERROR(INDEX('Topic Plan'!$D$5:$D$115,MATCH($C21,'Topic Plan'!$B$5:$B$115,0)),""))</f>
        <v/>
      </c>
      <c r="F21" s="28">
        <f>IF($C21="","",IFERROR(INDEX('Topic Plan'!$E$5:$E$115,MATCH($C21,'Topic Plan'!$B$5:$B$115,0)),""))</f>
        <v/>
      </c>
      <c r="G21" s="23" t="n"/>
      <c r="H21" s="27" t="n"/>
      <c r="I21" s="27" t="n"/>
      <c r="J21" s="27" t="n"/>
      <c r="K21" s="27" t="n"/>
      <c r="L21" s="27" t="n"/>
      <c r="M21" s="27" t="n"/>
      <c r="N21" s="23" t="n"/>
      <c r="O21" s="29" t="n"/>
      <c r="P21" s="29" t="n"/>
      <c r="Q21" s="29" t="n"/>
      <c r="R21" s="29" t="n"/>
      <c r="S21" s="29" t="n"/>
      <c r="T21" s="29" t="n"/>
      <c r="U21" s="29" t="n"/>
      <c r="V21" s="30">
        <f>IF(OR($A21="",$U21=""),"",IF($S21&lt;&gt;"",MAX(0,$S21-$U21),MAX(0,TODAY()-$U21)))</f>
        <v/>
      </c>
      <c r="W21" s="30">
        <f>IF($A21="","",IF(OR($N21="Live",$N21="Retired"),"",TODAY()-MAX($O21,$P21,$Q21,$R21)))</f>
        <v/>
      </c>
      <c r="X21" s="23" t="n"/>
      <c r="Y21" s="30">
        <f>IF($A21="","",COUNTIFS('Issues Log'!$C$5:$C$504,$A21,'Issues Log'!$K$5:$K$504,"Open")+COUNTIFS('Issues Log'!$C$5:$C$504,$A21,'Issues Log'!$K$5:$K$504,"In progress"))</f>
        <v/>
      </c>
      <c r="Z21" s="27" t="n"/>
    </row>
    <row r="22">
      <c r="A22" s="27" t="n"/>
      <c r="B22" s="27" t="n"/>
      <c r="C22" s="27" t="n"/>
      <c r="D22" s="28">
        <f>IF($C22="","",IFERROR(INDEX('Topic Plan'!$C$5:$C$115,MATCH($C22,'Topic Plan'!$B$5:$B$115,0)),"UNKNOWN TOPIC ID"))</f>
        <v/>
      </c>
      <c r="E22" s="28">
        <f>IF($C22="","",IFERROR(INDEX('Topic Plan'!$D$5:$D$115,MATCH($C22,'Topic Plan'!$B$5:$B$115,0)),""))</f>
        <v/>
      </c>
      <c r="F22" s="28">
        <f>IF($C22="","",IFERROR(INDEX('Topic Plan'!$E$5:$E$115,MATCH($C22,'Topic Plan'!$B$5:$B$115,0)),""))</f>
        <v/>
      </c>
      <c r="G22" s="23" t="n"/>
      <c r="H22" s="27" t="n"/>
      <c r="I22" s="27" t="n"/>
      <c r="J22" s="27" t="n"/>
      <c r="K22" s="27" t="n"/>
      <c r="L22" s="27" t="n"/>
      <c r="M22" s="27" t="n"/>
      <c r="N22" s="23" t="n"/>
      <c r="O22" s="29" t="n"/>
      <c r="P22" s="29" t="n"/>
      <c r="Q22" s="29" t="n"/>
      <c r="R22" s="29" t="n"/>
      <c r="S22" s="29" t="n"/>
      <c r="T22" s="29" t="n"/>
      <c r="U22" s="29" t="n"/>
      <c r="V22" s="30">
        <f>IF(OR($A22="",$U22=""),"",IF($S22&lt;&gt;"",MAX(0,$S22-$U22),MAX(0,TODAY()-$U22)))</f>
        <v/>
      </c>
      <c r="W22" s="30">
        <f>IF($A22="","",IF(OR($N22="Live",$N22="Retired"),"",TODAY()-MAX($O22,$P22,$Q22,$R22)))</f>
        <v/>
      </c>
      <c r="X22" s="23" t="n"/>
      <c r="Y22" s="30">
        <f>IF($A22="","",COUNTIFS('Issues Log'!$C$5:$C$504,$A22,'Issues Log'!$K$5:$K$504,"Open")+COUNTIFS('Issues Log'!$C$5:$C$504,$A22,'Issues Log'!$K$5:$K$504,"In progress"))</f>
        <v/>
      </c>
      <c r="Z22" s="27" t="n"/>
    </row>
    <row r="23">
      <c r="A23" s="27" t="n"/>
      <c r="B23" s="27" t="n"/>
      <c r="C23" s="27" t="n"/>
      <c r="D23" s="28">
        <f>IF($C23="","",IFERROR(INDEX('Topic Plan'!$C$5:$C$115,MATCH($C23,'Topic Plan'!$B$5:$B$115,0)),"UNKNOWN TOPIC ID"))</f>
        <v/>
      </c>
      <c r="E23" s="28">
        <f>IF($C23="","",IFERROR(INDEX('Topic Plan'!$D$5:$D$115,MATCH($C23,'Topic Plan'!$B$5:$B$115,0)),""))</f>
        <v/>
      </c>
      <c r="F23" s="28">
        <f>IF($C23="","",IFERROR(INDEX('Topic Plan'!$E$5:$E$115,MATCH($C23,'Topic Plan'!$B$5:$B$115,0)),""))</f>
        <v/>
      </c>
      <c r="G23" s="23" t="n"/>
      <c r="H23" s="27" t="n"/>
      <c r="I23" s="27" t="n"/>
      <c r="J23" s="27" t="n"/>
      <c r="K23" s="27" t="n"/>
      <c r="L23" s="27" t="n"/>
      <c r="M23" s="27" t="n"/>
      <c r="N23" s="23" t="n"/>
      <c r="O23" s="29" t="n"/>
      <c r="P23" s="29" t="n"/>
      <c r="Q23" s="29" t="n"/>
      <c r="R23" s="29" t="n"/>
      <c r="S23" s="29" t="n"/>
      <c r="T23" s="29" t="n"/>
      <c r="U23" s="29" t="n"/>
      <c r="V23" s="30">
        <f>IF(OR($A23="",$U23=""),"",IF($S23&lt;&gt;"",MAX(0,$S23-$U23),MAX(0,TODAY()-$U23)))</f>
        <v/>
      </c>
      <c r="W23" s="30">
        <f>IF($A23="","",IF(OR($N23="Live",$N23="Retired"),"",TODAY()-MAX($O23,$P23,$Q23,$R23)))</f>
        <v/>
      </c>
      <c r="X23" s="23" t="n"/>
      <c r="Y23" s="30">
        <f>IF($A23="","",COUNTIFS('Issues Log'!$C$5:$C$504,$A23,'Issues Log'!$K$5:$K$504,"Open")+COUNTIFS('Issues Log'!$C$5:$C$504,$A23,'Issues Log'!$K$5:$K$504,"In progress"))</f>
        <v/>
      </c>
      <c r="Z23" s="27" t="n"/>
    </row>
    <row r="24">
      <c r="A24" s="27" t="n"/>
      <c r="B24" s="27" t="n"/>
      <c r="C24" s="27" t="n"/>
      <c r="D24" s="28">
        <f>IF($C24="","",IFERROR(INDEX('Topic Plan'!$C$5:$C$115,MATCH($C24,'Topic Plan'!$B$5:$B$115,0)),"UNKNOWN TOPIC ID"))</f>
        <v/>
      </c>
      <c r="E24" s="28">
        <f>IF($C24="","",IFERROR(INDEX('Topic Plan'!$D$5:$D$115,MATCH($C24,'Topic Plan'!$B$5:$B$115,0)),""))</f>
        <v/>
      </c>
      <c r="F24" s="28">
        <f>IF($C24="","",IFERROR(INDEX('Topic Plan'!$E$5:$E$115,MATCH($C24,'Topic Plan'!$B$5:$B$115,0)),""))</f>
        <v/>
      </c>
      <c r="G24" s="23" t="n"/>
      <c r="H24" s="27" t="n"/>
      <c r="I24" s="27" t="n"/>
      <c r="J24" s="27" t="n"/>
      <c r="K24" s="27" t="n"/>
      <c r="L24" s="27" t="n"/>
      <c r="M24" s="27" t="n"/>
      <c r="N24" s="23" t="n"/>
      <c r="O24" s="29" t="n"/>
      <c r="P24" s="29" t="n"/>
      <c r="Q24" s="29" t="n"/>
      <c r="R24" s="29" t="n"/>
      <c r="S24" s="29" t="n"/>
      <c r="T24" s="29" t="n"/>
      <c r="U24" s="29" t="n"/>
      <c r="V24" s="30">
        <f>IF(OR($A24="",$U24=""),"",IF($S24&lt;&gt;"",MAX(0,$S24-$U24),MAX(0,TODAY()-$U24)))</f>
        <v/>
      </c>
      <c r="W24" s="30">
        <f>IF($A24="","",IF(OR($N24="Live",$N24="Retired"),"",TODAY()-MAX($O24,$P24,$Q24,$R24)))</f>
        <v/>
      </c>
      <c r="X24" s="23" t="n"/>
      <c r="Y24" s="30">
        <f>IF($A24="","",COUNTIFS('Issues Log'!$C$5:$C$504,$A24,'Issues Log'!$K$5:$K$504,"Open")+COUNTIFS('Issues Log'!$C$5:$C$504,$A24,'Issues Log'!$K$5:$K$504,"In progress"))</f>
        <v/>
      </c>
      <c r="Z24" s="27" t="n"/>
    </row>
    <row r="25">
      <c r="A25" s="27" t="n"/>
      <c r="B25" s="27" t="n"/>
      <c r="C25" s="27" t="n"/>
      <c r="D25" s="28">
        <f>IF($C25="","",IFERROR(INDEX('Topic Plan'!$C$5:$C$115,MATCH($C25,'Topic Plan'!$B$5:$B$115,0)),"UNKNOWN TOPIC ID"))</f>
        <v/>
      </c>
      <c r="E25" s="28">
        <f>IF($C25="","",IFERROR(INDEX('Topic Plan'!$D$5:$D$115,MATCH($C25,'Topic Plan'!$B$5:$B$115,0)),""))</f>
        <v/>
      </c>
      <c r="F25" s="28">
        <f>IF($C25="","",IFERROR(INDEX('Topic Plan'!$E$5:$E$115,MATCH($C25,'Topic Plan'!$B$5:$B$115,0)),""))</f>
        <v/>
      </c>
      <c r="G25" s="23" t="n"/>
      <c r="H25" s="27" t="n"/>
      <c r="I25" s="27" t="n"/>
      <c r="J25" s="27" t="n"/>
      <c r="K25" s="27" t="n"/>
      <c r="L25" s="27" t="n"/>
      <c r="M25" s="27" t="n"/>
      <c r="N25" s="23" t="n"/>
      <c r="O25" s="29" t="n"/>
      <c r="P25" s="29" t="n"/>
      <c r="Q25" s="29" t="n"/>
      <c r="R25" s="29" t="n"/>
      <c r="S25" s="29" t="n"/>
      <c r="T25" s="29" t="n"/>
      <c r="U25" s="29" t="n"/>
      <c r="V25" s="30">
        <f>IF(OR($A25="",$U25=""),"",IF($S25&lt;&gt;"",MAX(0,$S25-$U25),MAX(0,TODAY()-$U25)))</f>
        <v/>
      </c>
      <c r="W25" s="30">
        <f>IF($A25="","",IF(OR($N25="Live",$N25="Retired"),"",TODAY()-MAX($O25,$P25,$Q25,$R25)))</f>
        <v/>
      </c>
      <c r="X25" s="23" t="n"/>
      <c r="Y25" s="30">
        <f>IF($A25="","",COUNTIFS('Issues Log'!$C$5:$C$504,$A25,'Issues Log'!$K$5:$K$504,"Open")+COUNTIFS('Issues Log'!$C$5:$C$504,$A25,'Issues Log'!$K$5:$K$504,"In progress"))</f>
        <v/>
      </c>
      <c r="Z25" s="27" t="n"/>
    </row>
    <row r="26">
      <c r="A26" s="27" t="n"/>
      <c r="B26" s="27" t="n"/>
      <c r="C26" s="27" t="n"/>
      <c r="D26" s="28">
        <f>IF($C26="","",IFERROR(INDEX('Topic Plan'!$C$5:$C$115,MATCH($C26,'Topic Plan'!$B$5:$B$115,0)),"UNKNOWN TOPIC ID"))</f>
        <v/>
      </c>
      <c r="E26" s="28">
        <f>IF($C26="","",IFERROR(INDEX('Topic Plan'!$D$5:$D$115,MATCH($C26,'Topic Plan'!$B$5:$B$115,0)),""))</f>
        <v/>
      </c>
      <c r="F26" s="28">
        <f>IF($C26="","",IFERROR(INDEX('Topic Plan'!$E$5:$E$115,MATCH($C26,'Topic Plan'!$B$5:$B$115,0)),""))</f>
        <v/>
      </c>
      <c r="G26" s="23" t="n"/>
      <c r="H26" s="27" t="n"/>
      <c r="I26" s="27" t="n"/>
      <c r="J26" s="27" t="n"/>
      <c r="K26" s="27" t="n"/>
      <c r="L26" s="27" t="n"/>
      <c r="M26" s="27" t="n"/>
      <c r="N26" s="23" t="n"/>
      <c r="O26" s="29" t="n"/>
      <c r="P26" s="29" t="n"/>
      <c r="Q26" s="29" t="n"/>
      <c r="R26" s="29" t="n"/>
      <c r="S26" s="29" t="n"/>
      <c r="T26" s="29" t="n"/>
      <c r="U26" s="29" t="n"/>
      <c r="V26" s="30">
        <f>IF(OR($A26="",$U26=""),"",IF($S26&lt;&gt;"",MAX(0,$S26-$U26),MAX(0,TODAY()-$U26)))</f>
        <v/>
      </c>
      <c r="W26" s="30">
        <f>IF($A26="","",IF(OR($N26="Live",$N26="Retired"),"",TODAY()-MAX($O26,$P26,$Q26,$R26)))</f>
        <v/>
      </c>
      <c r="X26" s="23" t="n"/>
      <c r="Y26" s="30">
        <f>IF($A26="","",COUNTIFS('Issues Log'!$C$5:$C$504,$A26,'Issues Log'!$K$5:$K$504,"Open")+COUNTIFS('Issues Log'!$C$5:$C$504,$A26,'Issues Log'!$K$5:$K$504,"In progress"))</f>
        <v/>
      </c>
      <c r="Z26" s="27" t="n"/>
    </row>
    <row r="27">
      <c r="A27" s="27" t="n"/>
      <c r="B27" s="27" t="n"/>
      <c r="C27" s="27" t="n"/>
      <c r="D27" s="28">
        <f>IF($C27="","",IFERROR(INDEX('Topic Plan'!$C$5:$C$115,MATCH($C27,'Topic Plan'!$B$5:$B$115,0)),"UNKNOWN TOPIC ID"))</f>
        <v/>
      </c>
      <c r="E27" s="28">
        <f>IF($C27="","",IFERROR(INDEX('Topic Plan'!$D$5:$D$115,MATCH($C27,'Topic Plan'!$B$5:$B$115,0)),""))</f>
        <v/>
      </c>
      <c r="F27" s="28">
        <f>IF($C27="","",IFERROR(INDEX('Topic Plan'!$E$5:$E$115,MATCH($C27,'Topic Plan'!$B$5:$B$115,0)),""))</f>
        <v/>
      </c>
      <c r="G27" s="23" t="n"/>
      <c r="H27" s="27" t="n"/>
      <c r="I27" s="27" t="n"/>
      <c r="J27" s="27" t="n"/>
      <c r="K27" s="27" t="n"/>
      <c r="L27" s="27" t="n"/>
      <c r="M27" s="27" t="n"/>
      <c r="N27" s="23" t="n"/>
      <c r="O27" s="29" t="n"/>
      <c r="P27" s="29" t="n"/>
      <c r="Q27" s="29" t="n"/>
      <c r="R27" s="29" t="n"/>
      <c r="S27" s="29" t="n"/>
      <c r="T27" s="29" t="n"/>
      <c r="U27" s="29" t="n"/>
      <c r="V27" s="30">
        <f>IF(OR($A27="",$U27=""),"",IF($S27&lt;&gt;"",MAX(0,$S27-$U27),MAX(0,TODAY()-$U27)))</f>
        <v/>
      </c>
      <c r="W27" s="30">
        <f>IF($A27="","",IF(OR($N27="Live",$N27="Retired"),"",TODAY()-MAX($O27,$P27,$Q27,$R27)))</f>
        <v/>
      </c>
      <c r="X27" s="23" t="n"/>
      <c r="Y27" s="30">
        <f>IF($A27="","",COUNTIFS('Issues Log'!$C$5:$C$504,$A27,'Issues Log'!$K$5:$K$504,"Open")+COUNTIFS('Issues Log'!$C$5:$C$504,$A27,'Issues Log'!$K$5:$K$504,"In progress"))</f>
        <v/>
      </c>
      <c r="Z27" s="27" t="n"/>
    </row>
    <row r="28">
      <c r="A28" s="27" t="n"/>
      <c r="B28" s="27" t="n"/>
      <c r="C28" s="27" t="n"/>
      <c r="D28" s="28">
        <f>IF($C28="","",IFERROR(INDEX('Topic Plan'!$C$5:$C$115,MATCH($C28,'Topic Plan'!$B$5:$B$115,0)),"UNKNOWN TOPIC ID"))</f>
        <v/>
      </c>
      <c r="E28" s="28">
        <f>IF($C28="","",IFERROR(INDEX('Topic Plan'!$D$5:$D$115,MATCH($C28,'Topic Plan'!$B$5:$B$115,0)),""))</f>
        <v/>
      </c>
      <c r="F28" s="28">
        <f>IF($C28="","",IFERROR(INDEX('Topic Plan'!$E$5:$E$115,MATCH($C28,'Topic Plan'!$B$5:$B$115,0)),""))</f>
        <v/>
      </c>
      <c r="G28" s="23" t="n"/>
      <c r="H28" s="27" t="n"/>
      <c r="I28" s="27" t="n"/>
      <c r="J28" s="27" t="n"/>
      <c r="K28" s="27" t="n"/>
      <c r="L28" s="27" t="n"/>
      <c r="M28" s="27" t="n"/>
      <c r="N28" s="23" t="n"/>
      <c r="O28" s="29" t="n"/>
      <c r="P28" s="29" t="n"/>
      <c r="Q28" s="29" t="n"/>
      <c r="R28" s="29" t="n"/>
      <c r="S28" s="29" t="n"/>
      <c r="T28" s="29" t="n"/>
      <c r="U28" s="29" t="n"/>
      <c r="V28" s="30">
        <f>IF(OR($A28="",$U28=""),"",IF($S28&lt;&gt;"",MAX(0,$S28-$U28),MAX(0,TODAY()-$U28)))</f>
        <v/>
      </c>
      <c r="W28" s="30">
        <f>IF($A28="","",IF(OR($N28="Live",$N28="Retired"),"",TODAY()-MAX($O28,$P28,$Q28,$R28)))</f>
        <v/>
      </c>
      <c r="X28" s="23" t="n"/>
      <c r="Y28" s="30">
        <f>IF($A28="","",COUNTIFS('Issues Log'!$C$5:$C$504,$A28,'Issues Log'!$K$5:$K$504,"Open")+COUNTIFS('Issues Log'!$C$5:$C$504,$A28,'Issues Log'!$K$5:$K$504,"In progress"))</f>
        <v/>
      </c>
      <c r="Z28" s="27" t="n"/>
    </row>
    <row r="29">
      <c r="A29" s="27" t="n"/>
      <c r="B29" s="27" t="n"/>
      <c r="C29" s="27" t="n"/>
      <c r="D29" s="28">
        <f>IF($C29="","",IFERROR(INDEX('Topic Plan'!$C$5:$C$115,MATCH($C29,'Topic Plan'!$B$5:$B$115,0)),"UNKNOWN TOPIC ID"))</f>
        <v/>
      </c>
      <c r="E29" s="28">
        <f>IF($C29="","",IFERROR(INDEX('Topic Plan'!$D$5:$D$115,MATCH($C29,'Topic Plan'!$B$5:$B$115,0)),""))</f>
        <v/>
      </c>
      <c r="F29" s="28">
        <f>IF($C29="","",IFERROR(INDEX('Topic Plan'!$E$5:$E$115,MATCH($C29,'Topic Plan'!$B$5:$B$115,0)),""))</f>
        <v/>
      </c>
      <c r="G29" s="23" t="n"/>
      <c r="H29" s="27" t="n"/>
      <c r="I29" s="27" t="n"/>
      <c r="J29" s="27" t="n"/>
      <c r="K29" s="27" t="n"/>
      <c r="L29" s="27" t="n"/>
      <c r="M29" s="27" t="n"/>
      <c r="N29" s="23" t="n"/>
      <c r="O29" s="29" t="n"/>
      <c r="P29" s="29" t="n"/>
      <c r="Q29" s="29" t="n"/>
      <c r="R29" s="29" t="n"/>
      <c r="S29" s="29" t="n"/>
      <c r="T29" s="29" t="n"/>
      <c r="U29" s="29" t="n"/>
      <c r="V29" s="30">
        <f>IF(OR($A29="",$U29=""),"",IF($S29&lt;&gt;"",MAX(0,$S29-$U29),MAX(0,TODAY()-$U29)))</f>
        <v/>
      </c>
      <c r="W29" s="30">
        <f>IF($A29="","",IF(OR($N29="Live",$N29="Retired"),"",TODAY()-MAX($O29,$P29,$Q29,$R29)))</f>
        <v/>
      </c>
      <c r="X29" s="23" t="n"/>
      <c r="Y29" s="30">
        <f>IF($A29="","",COUNTIFS('Issues Log'!$C$5:$C$504,$A29,'Issues Log'!$K$5:$K$504,"Open")+COUNTIFS('Issues Log'!$C$5:$C$504,$A29,'Issues Log'!$K$5:$K$504,"In progress"))</f>
        <v/>
      </c>
      <c r="Z29" s="27" t="n"/>
    </row>
    <row r="30">
      <c r="A30" s="27" t="n"/>
      <c r="B30" s="27" t="n"/>
      <c r="C30" s="27" t="n"/>
      <c r="D30" s="28">
        <f>IF($C30="","",IFERROR(INDEX('Topic Plan'!$C$5:$C$115,MATCH($C30,'Topic Plan'!$B$5:$B$115,0)),"UNKNOWN TOPIC ID"))</f>
        <v/>
      </c>
      <c r="E30" s="28">
        <f>IF($C30="","",IFERROR(INDEX('Topic Plan'!$D$5:$D$115,MATCH($C30,'Topic Plan'!$B$5:$B$115,0)),""))</f>
        <v/>
      </c>
      <c r="F30" s="28">
        <f>IF($C30="","",IFERROR(INDEX('Topic Plan'!$E$5:$E$115,MATCH($C30,'Topic Plan'!$B$5:$B$115,0)),""))</f>
        <v/>
      </c>
      <c r="G30" s="23" t="n"/>
      <c r="H30" s="27" t="n"/>
      <c r="I30" s="27" t="n"/>
      <c r="J30" s="27" t="n"/>
      <c r="K30" s="27" t="n"/>
      <c r="L30" s="27" t="n"/>
      <c r="M30" s="27" t="n"/>
      <c r="N30" s="23" t="n"/>
      <c r="O30" s="29" t="n"/>
      <c r="P30" s="29" t="n"/>
      <c r="Q30" s="29" t="n"/>
      <c r="R30" s="29" t="n"/>
      <c r="S30" s="29" t="n"/>
      <c r="T30" s="29" t="n"/>
      <c r="U30" s="29" t="n"/>
      <c r="V30" s="30">
        <f>IF(OR($A30="",$U30=""),"",IF($S30&lt;&gt;"",MAX(0,$S30-$U30),MAX(0,TODAY()-$U30)))</f>
        <v/>
      </c>
      <c r="W30" s="30">
        <f>IF($A30="","",IF(OR($N30="Live",$N30="Retired"),"",TODAY()-MAX($O30,$P30,$Q30,$R30)))</f>
        <v/>
      </c>
      <c r="X30" s="23" t="n"/>
      <c r="Y30" s="30">
        <f>IF($A30="","",COUNTIFS('Issues Log'!$C$5:$C$504,$A30,'Issues Log'!$K$5:$K$504,"Open")+COUNTIFS('Issues Log'!$C$5:$C$504,$A30,'Issues Log'!$K$5:$K$504,"In progress"))</f>
        <v/>
      </c>
      <c r="Z30" s="27" t="n"/>
    </row>
    <row r="31">
      <c r="A31" s="27" t="n"/>
      <c r="B31" s="27" t="n"/>
      <c r="C31" s="27" t="n"/>
      <c r="D31" s="28">
        <f>IF($C31="","",IFERROR(INDEX('Topic Plan'!$C$5:$C$115,MATCH($C31,'Topic Plan'!$B$5:$B$115,0)),"UNKNOWN TOPIC ID"))</f>
        <v/>
      </c>
      <c r="E31" s="28">
        <f>IF($C31="","",IFERROR(INDEX('Topic Plan'!$D$5:$D$115,MATCH($C31,'Topic Plan'!$B$5:$B$115,0)),""))</f>
        <v/>
      </c>
      <c r="F31" s="28">
        <f>IF($C31="","",IFERROR(INDEX('Topic Plan'!$E$5:$E$115,MATCH($C31,'Topic Plan'!$B$5:$B$115,0)),""))</f>
        <v/>
      </c>
      <c r="G31" s="23" t="n"/>
      <c r="H31" s="27" t="n"/>
      <c r="I31" s="27" t="n"/>
      <c r="J31" s="27" t="n"/>
      <c r="K31" s="27" t="n"/>
      <c r="L31" s="27" t="n"/>
      <c r="M31" s="27" t="n"/>
      <c r="N31" s="23" t="n"/>
      <c r="O31" s="29" t="n"/>
      <c r="P31" s="29" t="n"/>
      <c r="Q31" s="29" t="n"/>
      <c r="R31" s="29" t="n"/>
      <c r="S31" s="29" t="n"/>
      <c r="T31" s="29" t="n"/>
      <c r="U31" s="29" t="n"/>
      <c r="V31" s="30">
        <f>IF(OR($A31="",$U31=""),"",IF($S31&lt;&gt;"",MAX(0,$S31-$U31),MAX(0,TODAY()-$U31)))</f>
        <v/>
      </c>
      <c r="W31" s="30">
        <f>IF($A31="","",IF(OR($N31="Live",$N31="Retired"),"",TODAY()-MAX($O31,$P31,$Q31,$R31)))</f>
        <v/>
      </c>
      <c r="X31" s="23" t="n"/>
      <c r="Y31" s="30">
        <f>IF($A31="","",COUNTIFS('Issues Log'!$C$5:$C$504,$A31,'Issues Log'!$K$5:$K$504,"Open")+COUNTIFS('Issues Log'!$C$5:$C$504,$A31,'Issues Log'!$K$5:$K$504,"In progress"))</f>
        <v/>
      </c>
      <c r="Z31" s="27" t="n"/>
    </row>
    <row r="32">
      <c r="A32" s="27" t="n"/>
      <c r="B32" s="27" t="n"/>
      <c r="C32" s="27" t="n"/>
      <c r="D32" s="28">
        <f>IF($C32="","",IFERROR(INDEX('Topic Plan'!$C$5:$C$115,MATCH($C32,'Topic Plan'!$B$5:$B$115,0)),"UNKNOWN TOPIC ID"))</f>
        <v/>
      </c>
      <c r="E32" s="28">
        <f>IF($C32="","",IFERROR(INDEX('Topic Plan'!$D$5:$D$115,MATCH($C32,'Topic Plan'!$B$5:$B$115,0)),""))</f>
        <v/>
      </c>
      <c r="F32" s="28">
        <f>IF($C32="","",IFERROR(INDEX('Topic Plan'!$E$5:$E$115,MATCH($C32,'Topic Plan'!$B$5:$B$115,0)),""))</f>
        <v/>
      </c>
      <c r="G32" s="23" t="n"/>
      <c r="H32" s="27" t="n"/>
      <c r="I32" s="27" t="n"/>
      <c r="J32" s="27" t="n"/>
      <c r="K32" s="27" t="n"/>
      <c r="L32" s="27" t="n"/>
      <c r="M32" s="27" t="n"/>
      <c r="N32" s="23" t="n"/>
      <c r="O32" s="29" t="n"/>
      <c r="P32" s="29" t="n"/>
      <c r="Q32" s="29" t="n"/>
      <c r="R32" s="29" t="n"/>
      <c r="S32" s="29" t="n"/>
      <c r="T32" s="29" t="n"/>
      <c r="U32" s="29" t="n"/>
      <c r="V32" s="30">
        <f>IF(OR($A32="",$U32=""),"",IF($S32&lt;&gt;"",MAX(0,$S32-$U32),MAX(0,TODAY()-$U32)))</f>
        <v/>
      </c>
      <c r="W32" s="30">
        <f>IF($A32="","",IF(OR($N32="Live",$N32="Retired"),"",TODAY()-MAX($O32,$P32,$Q32,$R32)))</f>
        <v/>
      </c>
      <c r="X32" s="23" t="n"/>
      <c r="Y32" s="30">
        <f>IF($A32="","",COUNTIFS('Issues Log'!$C$5:$C$504,$A32,'Issues Log'!$K$5:$K$504,"Open")+COUNTIFS('Issues Log'!$C$5:$C$504,$A32,'Issues Log'!$K$5:$K$504,"In progress"))</f>
        <v/>
      </c>
      <c r="Z32" s="27" t="n"/>
    </row>
    <row r="33">
      <c r="A33" s="27" t="n"/>
      <c r="B33" s="27" t="n"/>
      <c r="C33" s="27" t="n"/>
      <c r="D33" s="28">
        <f>IF($C33="","",IFERROR(INDEX('Topic Plan'!$C$5:$C$115,MATCH($C33,'Topic Plan'!$B$5:$B$115,0)),"UNKNOWN TOPIC ID"))</f>
        <v/>
      </c>
      <c r="E33" s="28">
        <f>IF($C33="","",IFERROR(INDEX('Topic Plan'!$D$5:$D$115,MATCH($C33,'Topic Plan'!$B$5:$B$115,0)),""))</f>
        <v/>
      </c>
      <c r="F33" s="28">
        <f>IF($C33="","",IFERROR(INDEX('Topic Plan'!$E$5:$E$115,MATCH($C33,'Topic Plan'!$B$5:$B$115,0)),""))</f>
        <v/>
      </c>
      <c r="G33" s="23" t="n"/>
      <c r="H33" s="27" t="n"/>
      <c r="I33" s="27" t="n"/>
      <c r="J33" s="27" t="n"/>
      <c r="K33" s="27" t="n"/>
      <c r="L33" s="27" t="n"/>
      <c r="M33" s="27" t="n"/>
      <c r="N33" s="23" t="n"/>
      <c r="O33" s="29" t="n"/>
      <c r="P33" s="29" t="n"/>
      <c r="Q33" s="29" t="n"/>
      <c r="R33" s="29" t="n"/>
      <c r="S33" s="29" t="n"/>
      <c r="T33" s="29" t="n"/>
      <c r="U33" s="29" t="n"/>
      <c r="V33" s="30">
        <f>IF(OR($A33="",$U33=""),"",IF($S33&lt;&gt;"",MAX(0,$S33-$U33),MAX(0,TODAY()-$U33)))</f>
        <v/>
      </c>
      <c r="W33" s="30">
        <f>IF($A33="","",IF(OR($N33="Live",$N33="Retired"),"",TODAY()-MAX($O33,$P33,$Q33,$R33)))</f>
        <v/>
      </c>
      <c r="X33" s="23" t="n"/>
      <c r="Y33" s="30">
        <f>IF($A33="","",COUNTIFS('Issues Log'!$C$5:$C$504,$A33,'Issues Log'!$K$5:$K$504,"Open")+COUNTIFS('Issues Log'!$C$5:$C$504,$A33,'Issues Log'!$K$5:$K$504,"In progress"))</f>
        <v/>
      </c>
      <c r="Z33" s="27" t="n"/>
    </row>
    <row r="34">
      <c r="A34" s="27" t="n"/>
      <c r="B34" s="27" t="n"/>
      <c r="C34" s="27" t="n"/>
      <c r="D34" s="28">
        <f>IF($C34="","",IFERROR(INDEX('Topic Plan'!$C$5:$C$115,MATCH($C34,'Topic Plan'!$B$5:$B$115,0)),"UNKNOWN TOPIC ID"))</f>
        <v/>
      </c>
      <c r="E34" s="28">
        <f>IF($C34="","",IFERROR(INDEX('Topic Plan'!$D$5:$D$115,MATCH($C34,'Topic Plan'!$B$5:$B$115,0)),""))</f>
        <v/>
      </c>
      <c r="F34" s="28">
        <f>IF($C34="","",IFERROR(INDEX('Topic Plan'!$E$5:$E$115,MATCH($C34,'Topic Plan'!$B$5:$B$115,0)),""))</f>
        <v/>
      </c>
      <c r="G34" s="23" t="n"/>
      <c r="H34" s="27" t="n"/>
      <c r="I34" s="27" t="n"/>
      <c r="J34" s="27" t="n"/>
      <c r="K34" s="27" t="n"/>
      <c r="L34" s="27" t="n"/>
      <c r="M34" s="27" t="n"/>
      <c r="N34" s="23" t="n"/>
      <c r="O34" s="29" t="n"/>
      <c r="P34" s="29" t="n"/>
      <c r="Q34" s="29" t="n"/>
      <c r="R34" s="29" t="n"/>
      <c r="S34" s="29" t="n"/>
      <c r="T34" s="29" t="n"/>
      <c r="U34" s="29" t="n"/>
      <c r="V34" s="30">
        <f>IF(OR($A34="",$U34=""),"",IF($S34&lt;&gt;"",MAX(0,$S34-$U34),MAX(0,TODAY()-$U34)))</f>
        <v/>
      </c>
      <c r="W34" s="30">
        <f>IF($A34="","",IF(OR($N34="Live",$N34="Retired"),"",TODAY()-MAX($O34,$P34,$Q34,$R34)))</f>
        <v/>
      </c>
      <c r="X34" s="23" t="n"/>
      <c r="Y34" s="30">
        <f>IF($A34="","",COUNTIFS('Issues Log'!$C$5:$C$504,$A34,'Issues Log'!$K$5:$K$504,"Open")+COUNTIFS('Issues Log'!$C$5:$C$504,$A34,'Issues Log'!$K$5:$K$504,"In progress"))</f>
        <v/>
      </c>
      <c r="Z34" s="27" t="n"/>
    </row>
    <row r="35">
      <c r="A35" s="27" t="n"/>
      <c r="B35" s="27" t="n"/>
      <c r="C35" s="27" t="n"/>
      <c r="D35" s="28">
        <f>IF($C35="","",IFERROR(INDEX('Topic Plan'!$C$5:$C$115,MATCH($C35,'Topic Plan'!$B$5:$B$115,0)),"UNKNOWN TOPIC ID"))</f>
        <v/>
      </c>
      <c r="E35" s="28">
        <f>IF($C35="","",IFERROR(INDEX('Topic Plan'!$D$5:$D$115,MATCH($C35,'Topic Plan'!$B$5:$B$115,0)),""))</f>
        <v/>
      </c>
      <c r="F35" s="28">
        <f>IF($C35="","",IFERROR(INDEX('Topic Plan'!$E$5:$E$115,MATCH($C35,'Topic Plan'!$B$5:$B$115,0)),""))</f>
        <v/>
      </c>
      <c r="G35" s="23" t="n"/>
      <c r="H35" s="27" t="n"/>
      <c r="I35" s="27" t="n"/>
      <c r="J35" s="27" t="n"/>
      <c r="K35" s="27" t="n"/>
      <c r="L35" s="27" t="n"/>
      <c r="M35" s="27" t="n"/>
      <c r="N35" s="23" t="n"/>
      <c r="O35" s="29" t="n"/>
      <c r="P35" s="29" t="n"/>
      <c r="Q35" s="29" t="n"/>
      <c r="R35" s="29" t="n"/>
      <c r="S35" s="29" t="n"/>
      <c r="T35" s="29" t="n"/>
      <c r="U35" s="29" t="n"/>
      <c r="V35" s="30">
        <f>IF(OR($A35="",$U35=""),"",IF($S35&lt;&gt;"",MAX(0,$S35-$U35),MAX(0,TODAY()-$U35)))</f>
        <v/>
      </c>
      <c r="W35" s="30">
        <f>IF($A35="","",IF(OR($N35="Live",$N35="Retired"),"",TODAY()-MAX($O35,$P35,$Q35,$R35)))</f>
        <v/>
      </c>
      <c r="X35" s="23" t="n"/>
      <c r="Y35" s="30">
        <f>IF($A35="","",COUNTIFS('Issues Log'!$C$5:$C$504,$A35,'Issues Log'!$K$5:$K$504,"Open")+COUNTIFS('Issues Log'!$C$5:$C$504,$A35,'Issues Log'!$K$5:$K$504,"In progress"))</f>
        <v/>
      </c>
      <c r="Z35" s="27" t="n"/>
    </row>
    <row r="36">
      <c r="A36" s="27" t="n"/>
      <c r="B36" s="27" t="n"/>
      <c r="C36" s="27" t="n"/>
      <c r="D36" s="28">
        <f>IF($C36="","",IFERROR(INDEX('Topic Plan'!$C$5:$C$115,MATCH($C36,'Topic Plan'!$B$5:$B$115,0)),"UNKNOWN TOPIC ID"))</f>
        <v/>
      </c>
      <c r="E36" s="28">
        <f>IF($C36="","",IFERROR(INDEX('Topic Plan'!$D$5:$D$115,MATCH($C36,'Topic Plan'!$B$5:$B$115,0)),""))</f>
        <v/>
      </c>
      <c r="F36" s="28">
        <f>IF($C36="","",IFERROR(INDEX('Topic Plan'!$E$5:$E$115,MATCH($C36,'Topic Plan'!$B$5:$B$115,0)),""))</f>
        <v/>
      </c>
      <c r="G36" s="23" t="n"/>
      <c r="H36" s="27" t="n"/>
      <c r="I36" s="27" t="n"/>
      <c r="J36" s="27" t="n"/>
      <c r="K36" s="27" t="n"/>
      <c r="L36" s="27" t="n"/>
      <c r="M36" s="27" t="n"/>
      <c r="N36" s="23" t="n"/>
      <c r="O36" s="29" t="n"/>
      <c r="P36" s="29" t="n"/>
      <c r="Q36" s="29" t="n"/>
      <c r="R36" s="29" t="n"/>
      <c r="S36" s="29" t="n"/>
      <c r="T36" s="29" t="n"/>
      <c r="U36" s="29" t="n"/>
      <c r="V36" s="30">
        <f>IF(OR($A36="",$U36=""),"",IF($S36&lt;&gt;"",MAX(0,$S36-$U36),MAX(0,TODAY()-$U36)))</f>
        <v/>
      </c>
      <c r="W36" s="30">
        <f>IF($A36="","",IF(OR($N36="Live",$N36="Retired"),"",TODAY()-MAX($O36,$P36,$Q36,$R36)))</f>
        <v/>
      </c>
      <c r="X36" s="23" t="n"/>
      <c r="Y36" s="30">
        <f>IF($A36="","",COUNTIFS('Issues Log'!$C$5:$C$504,$A36,'Issues Log'!$K$5:$K$504,"Open")+COUNTIFS('Issues Log'!$C$5:$C$504,$A36,'Issues Log'!$K$5:$K$504,"In progress"))</f>
        <v/>
      </c>
      <c r="Z36" s="27" t="n"/>
    </row>
    <row r="37">
      <c r="A37" s="27" t="n"/>
      <c r="B37" s="27" t="n"/>
      <c r="C37" s="27" t="n"/>
      <c r="D37" s="28">
        <f>IF($C37="","",IFERROR(INDEX('Topic Plan'!$C$5:$C$115,MATCH($C37,'Topic Plan'!$B$5:$B$115,0)),"UNKNOWN TOPIC ID"))</f>
        <v/>
      </c>
      <c r="E37" s="28">
        <f>IF($C37="","",IFERROR(INDEX('Topic Plan'!$D$5:$D$115,MATCH($C37,'Topic Plan'!$B$5:$B$115,0)),""))</f>
        <v/>
      </c>
      <c r="F37" s="28">
        <f>IF($C37="","",IFERROR(INDEX('Topic Plan'!$E$5:$E$115,MATCH($C37,'Topic Plan'!$B$5:$B$115,0)),""))</f>
        <v/>
      </c>
      <c r="G37" s="23" t="n"/>
      <c r="H37" s="27" t="n"/>
      <c r="I37" s="27" t="n"/>
      <c r="J37" s="27" t="n"/>
      <c r="K37" s="27" t="n"/>
      <c r="L37" s="27" t="n"/>
      <c r="M37" s="27" t="n"/>
      <c r="N37" s="23" t="n"/>
      <c r="O37" s="29" t="n"/>
      <c r="P37" s="29" t="n"/>
      <c r="Q37" s="29" t="n"/>
      <c r="R37" s="29" t="n"/>
      <c r="S37" s="29" t="n"/>
      <c r="T37" s="29" t="n"/>
      <c r="U37" s="29" t="n"/>
      <c r="V37" s="30">
        <f>IF(OR($A37="",$U37=""),"",IF($S37&lt;&gt;"",MAX(0,$S37-$U37),MAX(0,TODAY()-$U37)))</f>
        <v/>
      </c>
      <c r="W37" s="30">
        <f>IF($A37="","",IF(OR($N37="Live",$N37="Retired"),"",TODAY()-MAX($O37,$P37,$Q37,$R37)))</f>
        <v/>
      </c>
      <c r="X37" s="23" t="n"/>
      <c r="Y37" s="30">
        <f>IF($A37="","",COUNTIFS('Issues Log'!$C$5:$C$504,$A37,'Issues Log'!$K$5:$K$504,"Open")+COUNTIFS('Issues Log'!$C$5:$C$504,$A37,'Issues Log'!$K$5:$K$504,"In progress"))</f>
        <v/>
      </c>
      <c r="Z37" s="27" t="n"/>
    </row>
    <row r="38">
      <c r="A38" s="27" t="n"/>
      <c r="B38" s="27" t="n"/>
      <c r="C38" s="27" t="n"/>
      <c r="D38" s="28">
        <f>IF($C38="","",IFERROR(INDEX('Topic Plan'!$C$5:$C$115,MATCH($C38,'Topic Plan'!$B$5:$B$115,0)),"UNKNOWN TOPIC ID"))</f>
        <v/>
      </c>
      <c r="E38" s="28">
        <f>IF($C38="","",IFERROR(INDEX('Topic Plan'!$D$5:$D$115,MATCH($C38,'Topic Plan'!$B$5:$B$115,0)),""))</f>
        <v/>
      </c>
      <c r="F38" s="28">
        <f>IF($C38="","",IFERROR(INDEX('Topic Plan'!$E$5:$E$115,MATCH($C38,'Topic Plan'!$B$5:$B$115,0)),""))</f>
        <v/>
      </c>
      <c r="G38" s="23" t="n"/>
      <c r="H38" s="27" t="n"/>
      <c r="I38" s="27" t="n"/>
      <c r="J38" s="27" t="n"/>
      <c r="K38" s="27" t="n"/>
      <c r="L38" s="27" t="n"/>
      <c r="M38" s="27" t="n"/>
      <c r="N38" s="23" t="n"/>
      <c r="O38" s="29" t="n"/>
      <c r="P38" s="29" t="n"/>
      <c r="Q38" s="29" t="n"/>
      <c r="R38" s="29" t="n"/>
      <c r="S38" s="29" t="n"/>
      <c r="T38" s="29" t="n"/>
      <c r="U38" s="29" t="n"/>
      <c r="V38" s="30">
        <f>IF(OR($A38="",$U38=""),"",IF($S38&lt;&gt;"",MAX(0,$S38-$U38),MAX(0,TODAY()-$U38)))</f>
        <v/>
      </c>
      <c r="W38" s="30">
        <f>IF($A38="","",IF(OR($N38="Live",$N38="Retired"),"",TODAY()-MAX($O38,$P38,$Q38,$R38)))</f>
        <v/>
      </c>
      <c r="X38" s="23" t="n"/>
      <c r="Y38" s="30">
        <f>IF($A38="","",COUNTIFS('Issues Log'!$C$5:$C$504,$A38,'Issues Log'!$K$5:$K$504,"Open")+COUNTIFS('Issues Log'!$C$5:$C$504,$A38,'Issues Log'!$K$5:$K$504,"In progress"))</f>
        <v/>
      </c>
      <c r="Z38" s="27" t="n"/>
    </row>
    <row r="39">
      <c r="A39" s="27" t="n"/>
      <c r="B39" s="27" t="n"/>
      <c r="C39" s="27" t="n"/>
      <c r="D39" s="28">
        <f>IF($C39="","",IFERROR(INDEX('Topic Plan'!$C$5:$C$115,MATCH($C39,'Topic Plan'!$B$5:$B$115,0)),"UNKNOWN TOPIC ID"))</f>
        <v/>
      </c>
      <c r="E39" s="28">
        <f>IF($C39="","",IFERROR(INDEX('Topic Plan'!$D$5:$D$115,MATCH($C39,'Topic Plan'!$B$5:$B$115,0)),""))</f>
        <v/>
      </c>
      <c r="F39" s="28">
        <f>IF($C39="","",IFERROR(INDEX('Topic Plan'!$E$5:$E$115,MATCH($C39,'Topic Plan'!$B$5:$B$115,0)),""))</f>
        <v/>
      </c>
      <c r="G39" s="23" t="n"/>
      <c r="H39" s="27" t="n"/>
      <c r="I39" s="27" t="n"/>
      <c r="J39" s="27" t="n"/>
      <c r="K39" s="27" t="n"/>
      <c r="L39" s="27" t="n"/>
      <c r="M39" s="27" t="n"/>
      <c r="N39" s="23" t="n"/>
      <c r="O39" s="29" t="n"/>
      <c r="P39" s="29" t="n"/>
      <c r="Q39" s="29" t="n"/>
      <c r="R39" s="29" t="n"/>
      <c r="S39" s="29" t="n"/>
      <c r="T39" s="29" t="n"/>
      <c r="U39" s="29" t="n"/>
      <c r="V39" s="30">
        <f>IF(OR($A39="",$U39=""),"",IF($S39&lt;&gt;"",MAX(0,$S39-$U39),MAX(0,TODAY()-$U39)))</f>
        <v/>
      </c>
      <c r="W39" s="30">
        <f>IF($A39="","",IF(OR($N39="Live",$N39="Retired"),"",TODAY()-MAX($O39,$P39,$Q39,$R39)))</f>
        <v/>
      </c>
      <c r="X39" s="23" t="n"/>
      <c r="Y39" s="30">
        <f>IF($A39="","",COUNTIFS('Issues Log'!$C$5:$C$504,$A39,'Issues Log'!$K$5:$K$504,"Open")+COUNTIFS('Issues Log'!$C$5:$C$504,$A39,'Issues Log'!$K$5:$K$504,"In progress"))</f>
        <v/>
      </c>
      <c r="Z39" s="27" t="n"/>
    </row>
    <row r="40">
      <c r="A40" s="27" t="n"/>
      <c r="B40" s="27" t="n"/>
      <c r="C40" s="27" t="n"/>
      <c r="D40" s="28">
        <f>IF($C40="","",IFERROR(INDEX('Topic Plan'!$C$5:$C$115,MATCH($C40,'Topic Plan'!$B$5:$B$115,0)),"UNKNOWN TOPIC ID"))</f>
        <v/>
      </c>
      <c r="E40" s="28">
        <f>IF($C40="","",IFERROR(INDEX('Topic Plan'!$D$5:$D$115,MATCH($C40,'Topic Plan'!$B$5:$B$115,0)),""))</f>
        <v/>
      </c>
      <c r="F40" s="28">
        <f>IF($C40="","",IFERROR(INDEX('Topic Plan'!$E$5:$E$115,MATCH($C40,'Topic Plan'!$B$5:$B$115,0)),""))</f>
        <v/>
      </c>
      <c r="G40" s="23" t="n"/>
      <c r="H40" s="27" t="n"/>
      <c r="I40" s="27" t="n"/>
      <c r="J40" s="27" t="n"/>
      <c r="K40" s="27" t="n"/>
      <c r="L40" s="27" t="n"/>
      <c r="M40" s="27" t="n"/>
      <c r="N40" s="23" t="n"/>
      <c r="O40" s="29" t="n"/>
      <c r="P40" s="29" t="n"/>
      <c r="Q40" s="29" t="n"/>
      <c r="R40" s="29" t="n"/>
      <c r="S40" s="29" t="n"/>
      <c r="T40" s="29" t="n"/>
      <c r="U40" s="29" t="n"/>
      <c r="V40" s="30">
        <f>IF(OR($A40="",$U40=""),"",IF($S40&lt;&gt;"",MAX(0,$S40-$U40),MAX(0,TODAY()-$U40)))</f>
        <v/>
      </c>
      <c r="W40" s="30">
        <f>IF($A40="","",IF(OR($N40="Live",$N40="Retired"),"",TODAY()-MAX($O40,$P40,$Q40,$R40)))</f>
        <v/>
      </c>
      <c r="X40" s="23" t="n"/>
      <c r="Y40" s="30">
        <f>IF($A40="","",COUNTIFS('Issues Log'!$C$5:$C$504,$A40,'Issues Log'!$K$5:$K$504,"Open")+COUNTIFS('Issues Log'!$C$5:$C$504,$A40,'Issues Log'!$K$5:$K$504,"In progress"))</f>
        <v/>
      </c>
      <c r="Z40" s="27" t="n"/>
    </row>
    <row r="41">
      <c r="A41" s="27" t="n"/>
      <c r="B41" s="27" t="n"/>
      <c r="C41" s="27" t="n"/>
      <c r="D41" s="28">
        <f>IF($C41="","",IFERROR(INDEX('Topic Plan'!$C$5:$C$115,MATCH($C41,'Topic Plan'!$B$5:$B$115,0)),"UNKNOWN TOPIC ID"))</f>
        <v/>
      </c>
      <c r="E41" s="28">
        <f>IF($C41="","",IFERROR(INDEX('Topic Plan'!$D$5:$D$115,MATCH($C41,'Topic Plan'!$B$5:$B$115,0)),""))</f>
        <v/>
      </c>
      <c r="F41" s="28">
        <f>IF($C41="","",IFERROR(INDEX('Topic Plan'!$E$5:$E$115,MATCH($C41,'Topic Plan'!$B$5:$B$115,0)),""))</f>
        <v/>
      </c>
      <c r="G41" s="23" t="n"/>
      <c r="H41" s="27" t="n"/>
      <c r="I41" s="27" t="n"/>
      <c r="J41" s="27" t="n"/>
      <c r="K41" s="27" t="n"/>
      <c r="L41" s="27" t="n"/>
      <c r="M41" s="27" t="n"/>
      <c r="N41" s="23" t="n"/>
      <c r="O41" s="29" t="n"/>
      <c r="P41" s="29" t="n"/>
      <c r="Q41" s="29" t="n"/>
      <c r="R41" s="29" t="n"/>
      <c r="S41" s="29" t="n"/>
      <c r="T41" s="29" t="n"/>
      <c r="U41" s="29" t="n"/>
      <c r="V41" s="30">
        <f>IF(OR($A41="",$U41=""),"",IF($S41&lt;&gt;"",MAX(0,$S41-$U41),MAX(0,TODAY()-$U41)))</f>
        <v/>
      </c>
      <c r="W41" s="30">
        <f>IF($A41="","",IF(OR($N41="Live",$N41="Retired"),"",TODAY()-MAX($O41,$P41,$Q41,$R41)))</f>
        <v/>
      </c>
      <c r="X41" s="23" t="n"/>
      <c r="Y41" s="30">
        <f>IF($A41="","",COUNTIFS('Issues Log'!$C$5:$C$504,$A41,'Issues Log'!$K$5:$K$504,"Open")+COUNTIFS('Issues Log'!$C$5:$C$504,$A41,'Issues Log'!$K$5:$K$504,"In progress"))</f>
        <v/>
      </c>
      <c r="Z41" s="27" t="n"/>
    </row>
    <row r="42">
      <c r="A42" s="27" t="n"/>
      <c r="B42" s="27" t="n"/>
      <c r="C42" s="27" t="n"/>
      <c r="D42" s="28">
        <f>IF($C42="","",IFERROR(INDEX('Topic Plan'!$C$5:$C$115,MATCH($C42,'Topic Plan'!$B$5:$B$115,0)),"UNKNOWN TOPIC ID"))</f>
        <v/>
      </c>
      <c r="E42" s="28">
        <f>IF($C42="","",IFERROR(INDEX('Topic Plan'!$D$5:$D$115,MATCH($C42,'Topic Plan'!$B$5:$B$115,0)),""))</f>
        <v/>
      </c>
      <c r="F42" s="28">
        <f>IF($C42="","",IFERROR(INDEX('Topic Plan'!$E$5:$E$115,MATCH($C42,'Topic Plan'!$B$5:$B$115,0)),""))</f>
        <v/>
      </c>
      <c r="G42" s="23" t="n"/>
      <c r="H42" s="27" t="n"/>
      <c r="I42" s="27" t="n"/>
      <c r="J42" s="27" t="n"/>
      <c r="K42" s="27" t="n"/>
      <c r="L42" s="27" t="n"/>
      <c r="M42" s="27" t="n"/>
      <c r="N42" s="23" t="n"/>
      <c r="O42" s="29" t="n"/>
      <c r="P42" s="29" t="n"/>
      <c r="Q42" s="29" t="n"/>
      <c r="R42" s="29" t="n"/>
      <c r="S42" s="29" t="n"/>
      <c r="T42" s="29" t="n"/>
      <c r="U42" s="29" t="n"/>
      <c r="V42" s="30">
        <f>IF(OR($A42="",$U42=""),"",IF($S42&lt;&gt;"",MAX(0,$S42-$U42),MAX(0,TODAY()-$U42)))</f>
        <v/>
      </c>
      <c r="W42" s="30">
        <f>IF($A42="","",IF(OR($N42="Live",$N42="Retired"),"",TODAY()-MAX($O42,$P42,$Q42,$R42)))</f>
        <v/>
      </c>
      <c r="X42" s="23" t="n"/>
      <c r="Y42" s="30">
        <f>IF($A42="","",COUNTIFS('Issues Log'!$C$5:$C$504,$A42,'Issues Log'!$K$5:$K$504,"Open")+COUNTIFS('Issues Log'!$C$5:$C$504,$A42,'Issues Log'!$K$5:$K$504,"In progress"))</f>
        <v/>
      </c>
      <c r="Z42" s="27" t="n"/>
    </row>
    <row r="43">
      <c r="A43" s="27" t="n"/>
      <c r="B43" s="27" t="n"/>
      <c r="C43" s="27" t="n"/>
      <c r="D43" s="28">
        <f>IF($C43="","",IFERROR(INDEX('Topic Plan'!$C$5:$C$115,MATCH($C43,'Topic Plan'!$B$5:$B$115,0)),"UNKNOWN TOPIC ID"))</f>
        <v/>
      </c>
      <c r="E43" s="28">
        <f>IF($C43="","",IFERROR(INDEX('Topic Plan'!$D$5:$D$115,MATCH($C43,'Topic Plan'!$B$5:$B$115,0)),""))</f>
        <v/>
      </c>
      <c r="F43" s="28">
        <f>IF($C43="","",IFERROR(INDEX('Topic Plan'!$E$5:$E$115,MATCH($C43,'Topic Plan'!$B$5:$B$115,0)),""))</f>
        <v/>
      </c>
      <c r="G43" s="23" t="n"/>
      <c r="H43" s="27" t="n"/>
      <c r="I43" s="27" t="n"/>
      <c r="J43" s="27" t="n"/>
      <c r="K43" s="27" t="n"/>
      <c r="L43" s="27" t="n"/>
      <c r="M43" s="27" t="n"/>
      <c r="N43" s="23" t="n"/>
      <c r="O43" s="29" t="n"/>
      <c r="P43" s="29" t="n"/>
      <c r="Q43" s="29" t="n"/>
      <c r="R43" s="29" t="n"/>
      <c r="S43" s="29" t="n"/>
      <c r="T43" s="29" t="n"/>
      <c r="U43" s="29" t="n"/>
      <c r="V43" s="30">
        <f>IF(OR($A43="",$U43=""),"",IF($S43&lt;&gt;"",MAX(0,$S43-$U43),MAX(0,TODAY()-$U43)))</f>
        <v/>
      </c>
      <c r="W43" s="30">
        <f>IF($A43="","",IF(OR($N43="Live",$N43="Retired"),"",TODAY()-MAX($O43,$P43,$Q43,$R43)))</f>
        <v/>
      </c>
      <c r="X43" s="23" t="n"/>
      <c r="Y43" s="30">
        <f>IF($A43="","",COUNTIFS('Issues Log'!$C$5:$C$504,$A43,'Issues Log'!$K$5:$K$504,"Open")+COUNTIFS('Issues Log'!$C$5:$C$504,$A43,'Issues Log'!$K$5:$K$504,"In progress"))</f>
        <v/>
      </c>
      <c r="Z43" s="27" t="n"/>
    </row>
    <row r="44">
      <c r="A44" s="27" t="n"/>
      <c r="B44" s="27" t="n"/>
      <c r="C44" s="27" t="n"/>
      <c r="D44" s="28">
        <f>IF($C44="","",IFERROR(INDEX('Topic Plan'!$C$5:$C$115,MATCH($C44,'Topic Plan'!$B$5:$B$115,0)),"UNKNOWN TOPIC ID"))</f>
        <v/>
      </c>
      <c r="E44" s="28">
        <f>IF($C44="","",IFERROR(INDEX('Topic Plan'!$D$5:$D$115,MATCH($C44,'Topic Plan'!$B$5:$B$115,0)),""))</f>
        <v/>
      </c>
      <c r="F44" s="28">
        <f>IF($C44="","",IFERROR(INDEX('Topic Plan'!$E$5:$E$115,MATCH($C44,'Topic Plan'!$B$5:$B$115,0)),""))</f>
        <v/>
      </c>
      <c r="G44" s="23" t="n"/>
      <c r="H44" s="27" t="n"/>
      <c r="I44" s="27" t="n"/>
      <c r="J44" s="27" t="n"/>
      <c r="K44" s="27" t="n"/>
      <c r="L44" s="27" t="n"/>
      <c r="M44" s="27" t="n"/>
      <c r="N44" s="23" t="n"/>
      <c r="O44" s="29" t="n"/>
      <c r="P44" s="29" t="n"/>
      <c r="Q44" s="29" t="n"/>
      <c r="R44" s="29" t="n"/>
      <c r="S44" s="29" t="n"/>
      <c r="T44" s="29" t="n"/>
      <c r="U44" s="29" t="n"/>
      <c r="V44" s="30">
        <f>IF(OR($A44="",$U44=""),"",IF($S44&lt;&gt;"",MAX(0,$S44-$U44),MAX(0,TODAY()-$U44)))</f>
        <v/>
      </c>
      <c r="W44" s="30">
        <f>IF($A44="","",IF(OR($N44="Live",$N44="Retired"),"",TODAY()-MAX($O44,$P44,$Q44,$R44)))</f>
        <v/>
      </c>
      <c r="X44" s="23" t="n"/>
      <c r="Y44" s="30">
        <f>IF($A44="","",COUNTIFS('Issues Log'!$C$5:$C$504,$A44,'Issues Log'!$K$5:$K$504,"Open")+COUNTIFS('Issues Log'!$C$5:$C$504,$A44,'Issues Log'!$K$5:$K$504,"In progress"))</f>
        <v/>
      </c>
      <c r="Z44" s="27" t="n"/>
    </row>
    <row r="45">
      <c r="A45" s="27" t="n"/>
      <c r="B45" s="27" t="n"/>
      <c r="C45" s="27" t="n"/>
      <c r="D45" s="28">
        <f>IF($C45="","",IFERROR(INDEX('Topic Plan'!$C$5:$C$115,MATCH($C45,'Topic Plan'!$B$5:$B$115,0)),"UNKNOWN TOPIC ID"))</f>
        <v/>
      </c>
      <c r="E45" s="28">
        <f>IF($C45="","",IFERROR(INDEX('Topic Plan'!$D$5:$D$115,MATCH($C45,'Topic Plan'!$B$5:$B$115,0)),""))</f>
        <v/>
      </c>
      <c r="F45" s="28">
        <f>IF($C45="","",IFERROR(INDEX('Topic Plan'!$E$5:$E$115,MATCH($C45,'Topic Plan'!$B$5:$B$115,0)),""))</f>
        <v/>
      </c>
      <c r="G45" s="23" t="n"/>
      <c r="H45" s="27" t="n"/>
      <c r="I45" s="27" t="n"/>
      <c r="J45" s="27" t="n"/>
      <c r="K45" s="27" t="n"/>
      <c r="L45" s="27" t="n"/>
      <c r="M45" s="27" t="n"/>
      <c r="N45" s="23" t="n"/>
      <c r="O45" s="29" t="n"/>
      <c r="P45" s="29" t="n"/>
      <c r="Q45" s="29" t="n"/>
      <c r="R45" s="29" t="n"/>
      <c r="S45" s="29" t="n"/>
      <c r="T45" s="29" t="n"/>
      <c r="U45" s="29" t="n"/>
      <c r="V45" s="30">
        <f>IF(OR($A45="",$U45=""),"",IF($S45&lt;&gt;"",MAX(0,$S45-$U45),MAX(0,TODAY()-$U45)))</f>
        <v/>
      </c>
      <c r="W45" s="30">
        <f>IF($A45="","",IF(OR($N45="Live",$N45="Retired"),"",TODAY()-MAX($O45,$P45,$Q45,$R45)))</f>
        <v/>
      </c>
      <c r="X45" s="23" t="n"/>
      <c r="Y45" s="30">
        <f>IF($A45="","",COUNTIFS('Issues Log'!$C$5:$C$504,$A45,'Issues Log'!$K$5:$K$504,"Open")+COUNTIFS('Issues Log'!$C$5:$C$504,$A45,'Issues Log'!$K$5:$K$504,"In progress"))</f>
        <v/>
      </c>
      <c r="Z45" s="27" t="n"/>
    </row>
    <row r="46">
      <c r="A46" s="27" t="n"/>
      <c r="B46" s="27" t="n"/>
      <c r="C46" s="27" t="n"/>
      <c r="D46" s="28">
        <f>IF($C46="","",IFERROR(INDEX('Topic Plan'!$C$5:$C$115,MATCH($C46,'Topic Plan'!$B$5:$B$115,0)),"UNKNOWN TOPIC ID"))</f>
        <v/>
      </c>
      <c r="E46" s="28">
        <f>IF($C46="","",IFERROR(INDEX('Topic Plan'!$D$5:$D$115,MATCH($C46,'Topic Plan'!$B$5:$B$115,0)),""))</f>
        <v/>
      </c>
      <c r="F46" s="28">
        <f>IF($C46="","",IFERROR(INDEX('Topic Plan'!$E$5:$E$115,MATCH($C46,'Topic Plan'!$B$5:$B$115,0)),""))</f>
        <v/>
      </c>
      <c r="G46" s="23" t="n"/>
      <c r="H46" s="27" t="n"/>
      <c r="I46" s="27" t="n"/>
      <c r="J46" s="27" t="n"/>
      <c r="K46" s="27" t="n"/>
      <c r="L46" s="27" t="n"/>
      <c r="M46" s="27" t="n"/>
      <c r="N46" s="23" t="n"/>
      <c r="O46" s="29" t="n"/>
      <c r="P46" s="29" t="n"/>
      <c r="Q46" s="29" t="n"/>
      <c r="R46" s="29" t="n"/>
      <c r="S46" s="29" t="n"/>
      <c r="T46" s="29" t="n"/>
      <c r="U46" s="29" t="n"/>
      <c r="V46" s="30">
        <f>IF(OR($A46="",$U46=""),"",IF($S46&lt;&gt;"",MAX(0,$S46-$U46),MAX(0,TODAY()-$U46)))</f>
        <v/>
      </c>
      <c r="W46" s="30">
        <f>IF($A46="","",IF(OR($N46="Live",$N46="Retired"),"",TODAY()-MAX($O46,$P46,$Q46,$R46)))</f>
        <v/>
      </c>
      <c r="X46" s="23" t="n"/>
      <c r="Y46" s="30">
        <f>IF($A46="","",COUNTIFS('Issues Log'!$C$5:$C$504,$A46,'Issues Log'!$K$5:$K$504,"Open")+COUNTIFS('Issues Log'!$C$5:$C$504,$A46,'Issues Log'!$K$5:$K$504,"In progress"))</f>
        <v/>
      </c>
      <c r="Z46" s="27" t="n"/>
    </row>
    <row r="47">
      <c r="A47" s="27" t="n"/>
      <c r="B47" s="27" t="n"/>
      <c r="C47" s="27" t="n"/>
      <c r="D47" s="28">
        <f>IF($C47="","",IFERROR(INDEX('Topic Plan'!$C$5:$C$115,MATCH($C47,'Topic Plan'!$B$5:$B$115,0)),"UNKNOWN TOPIC ID"))</f>
        <v/>
      </c>
      <c r="E47" s="28">
        <f>IF($C47="","",IFERROR(INDEX('Topic Plan'!$D$5:$D$115,MATCH($C47,'Topic Plan'!$B$5:$B$115,0)),""))</f>
        <v/>
      </c>
      <c r="F47" s="28">
        <f>IF($C47="","",IFERROR(INDEX('Topic Plan'!$E$5:$E$115,MATCH($C47,'Topic Plan'!$B$5:$B$115,0)),""))</f>
        <v/>
      </c>
      <c r="G47" s="23" t="n"/>
      <c r="H47" s="27" t="n"/>
      <c r="I47" s="27" t="n"/>
      <c r="J47" s="27" t="n"/>
      <c r="K47" s="27" t="n"/>
      <c r="L47" s="27" t="n"/>
      <c r="M47" s="27" t="n"/>
      <c r="N47" s="23" t="n"/>
      <c r="O47" s="29" t="n"/>
      <c r="P47" s="29" t="n"/>
      <c r="Q47" s="29" t="n"/>
      <c r="R47" s="29" t="n"/>
      <c r="S47" s="29" t="n"/>
      <c r="T47" s="29" t="n"/>
      <c r="U47" s="29" t="n"/>
      <c r="V47" s="30">
        <f>IF(OR($A47="",$U47=""),"",IF($S47&lt;&gt;"",MAX(0,$S47-$U47),MAX(0,TODAY()-$U47)))</f>
        <v/>
      </c>
      <c r="W47" s="30">
        <f>IF($A47="","",IF(OR($N47="Live",$N47="Retired"),"",TODAY()-MAX($O47,$P47,$Q47,$R47)))</f>
        <v/>
      </c>
      <c r="X47" s="23" t="n"/>
      <c r="Y47" s="30">
        <f>IF($A47="","",COUNTIFS('Issues Log'!$C$5:$C$504,$A47,'Issues Log'!$K$5:$K$504,"Open")+COUNTIFS('Issues Log'!$C$5:$C$504,$A47,'Issues Log'!$K$5:$K$504,"In progress"))</f>
        <v/>
      </c>
      <c r="Z47" s="27" t="n"/>
    </row>
    <row r="48">
      <c r="A48" s="27" t="n"/>
      <c r="B48" s="27" t="n"/>
      <c r="C48" s="27" t="n"/>
      <c r="D48" s="28">
        <f>IF($C48="","",IFERROR(INDEX('Topic Plan'!$C$5:$C$115,MATCH($C48,'Topic Plan'!$B$5:$B$115,0)),"UNKNOWN TOPIC ID"))</f>
        <v/>
      </c>
      <c r="E48" s="28">
        <f>IF($C48="","",IFERROR(INDEX('Topic Plan'!$D$5:$D$115,MATCH($C48,'Topic Plan'!$B$5:$B$115,0)),""))</f>
        <v/>
      </c>
      <c r="F48" s="28">
        <f>IF($C48="","",IFERROR(INDEX('Topic Plan'!$E$5:$E$115,MATCH($C48,'Topic Plan'!$B$5:$B$115,0)),""))</f>
        <v/>
      </c>
      <c r="G48" s="23" t="n"/>
      <c r="H48" s="27" t="n"/>
      <c r="I48" s="27" t="n"/>
      <c r="J48" s="27" t="n"/>
      <c r="K48" s="27" t="n"/>
      <c r="L48" s="27" t="n"/>
      <c r="M48" s="27" t="n"/>
      <c r="N48" s="23" t="n"/>
      <c r="O48" s="29" t="n"/>
      <c r="P48" s="29" t="n"/>
      <c r="Q48" s="29" t="n"/>
      <c r="R48" s="29" t="n"/>
      <c r="S48" s="29" t="n"/>
      <c r="T48" s="29" t="n"/>
      <c r="U48" s="29" t="n"/>
      <c r="V48" s="30">
        <f>IF(OR($A48="",$U48=""),"",IF($S48&lt;&gt;"",MAX(0,$S48-$U48),MAX(0,TODAY()-$U48)))</f>
        <v/>
      </c>
      <c r="W48" s="30">
        <f>IF($A48="","",IF(OR($N48="Live",$N48="Retired"),"",TODAY()-MAX($O48,$P48,$Q48,$R48)))</f>
        <v/>
      </c>
      <c r="X48" s="23" t="n"/>
      <c r="Y48" s="30">
        <f>IF($A48="","",COUNTIFS('Issues Log'!$C$5:$C$504,$A48,'Issues Log'!$K$5:$K$504,"Open")+COUNTIFS('Issues Log'!$C$5:$C$504,$A48,'Issues Log'!$K$5:$K$504,"In progress"))</f>
        <v/>
      </c>
      <c r="Z48" s="27" t="n"/>
    </row>
    <row r="49">
      <c r="A49" s="27" t="n"/>
      <c r="B49" s="27" t="n"/>
      <c r="C49" s="27" t="n"/>
      <c r="D49" s="28">
        <f>IF($C49="","",IFERROR(INDEX('Topic Plan'!$C$5:$C$115,MATCH($C49,'Topic Plan'!$B$5:$B$115,0)),"UNKNOWN TOPIC ID"))</f>
        <v/>
      </c>
      <c r="E49" s="28">
        <f>IF($C49="","",IFERROR(INDEX('Topic Plan'!$D$5:$D$115,MATCH($C49,'Topic Plan'!$B$5:$B$115,0)),""))</f>
        <v/>
      </c>
      <c r="F49" s="28">
        <f>IF($C49="","",IFERROR(INDEX('Topic Plan'!$E$5:$E$115,MATCH($C49,'Topic Plan'!$B$5:$B$115,0)),""))</f>
        <v/>
      </c>
      <c r="G49" s="23" t="n"/>
      <c r="H49" s="27" t="n"/>
      <c r="I49" s="27" t="n"/>
      <c r="J49" s="27" t="n"/>
      <c r="K49" s="27" t="n"/>
      <c r="L49" s="27" t="n"/>
      <c r="M49" s="27" t="n"/>
      <c r="N49" s="23" t="n"/>
      <c r="O49" s="29" t="n"/>
      <c r="P49" s="29" t="n"/>
      <c r="Q49" s="29" t="n"/>
      <c r="R49" s="29" t="n"/>
      <c r="S49" s="29" t="n"/>
      <c r="T49" s="29" t="n"/>
      <c r="U49" s="29" t="n"/>
      <c r="V49" s="30">
        <f>IF(OR($A49="",$U49=""),"",IF($S49&lt;&gt;"",MAX(0,$S49-$U49),MAX(0,TODAY()-$U49)))</f>
        <v/>
      </c>
      <c r="W49" s="30">
        <f>IF($A49="","",IF(OR($N49="Live",$N49="Retired"),"",TODAY()-MAX($O49,$P49,$Q49,$R49)))</f>
        <v/>
      </c>
      <c r="X49" s="23" t="n"/>
      <c r="Y49" s="30">
        <f>IF($A49="","",COUNTIFS('Issues Log'!$C$5:$C$504,$A49,'Issues Log'!$K$5:$K$504,"Open")+COUNTIFS('Issues Log'!$C$5:$C$504,$A49,'Issues Log'!$K$5:$K$504,"In progress"))</f>
        <v/>
      </c>
      <c r="Z49" s="27" t="n"/>
    </row>
    <row r="50">
      <c r="A50" s="27" t="n"/>
      <c r="B50" s="27" t="n"/>
      <c r="C50" s="27" t="n"/>
      <c r="D50" s="28">
        <f>IF($C50="","",IFERROR(INDEX('Topic Plan'!$C$5:$C$115,MATCH($C50,'Topic Plan'!$B$5:$B$115,0)),"UNKNOWN TOPIC ID"))</f>
        <v/>
      </c>
      <c r="E50" s="28">
        <f>IF($C50="","",IFERROR(INDEX('Topic Plan'!$D$5:$D$115,MATCH($C50,'Topic Plan'!$B$5:$B$115,0)),""))</f>
        <v/>
      </c>
      <c r="F50" s="28">
        <f>IF($C50="","",IFERROR(INDEX('Topic Plan'!$E$5:$E$115,MATCH($C50,'Topic Plan'!$B$5:$B$115,0)),""))</f>
        <v/>
      </c>
      <c r="G50" s="23" t="n"/>
      <c r="H50" s="27" t="n"/>
      <c r="I50" s="27" t="n"/>
      <c r="J50" s="27" t="n"/>
      <c r="K50" s="27" t="n"/>
      <c r="L50" s="27" t="n"/>
      <c r="M50" s="27" t="n"/>
      <c r="N50" s="23" t="n"/>
      <c r="O50" s="29" t="n"/>
      <c r="P50" s="29" t="n"/>
      <c r="Q50" s="29" t="n"/>
      <c r="R50" s="29" t="n"/>
      <c r="S50" s="29" t="n"/>
      <c r="T50" s="29" t="n"/>
      <c r="U50" s="29" t="n"/>
      <c r="V50" s="30">
        <f>IF(OR($A50="",$U50=""),"",IF($S50&lt;&gt;"",MAX(0,$S50-$U50),MAX(0,TODAY()-$U50)))</f>
        <v/>
      </c>
      <c r="W50" s="30">
        <f>IF($A50="","",IF(OR($N50="Live",$N50="Retired"),"",TODAY()-MAX($O50,$P50,$Q50,$R50)))</f>
        <v/>
      </c>
      <c r="X50" s="23" t="n"/>
      <c r="Y50" s="30">
        <f>IF($A50="","",COUNTIFS('Issues Log'!$C$5:$C$504,$A50,'Issues Log'!$K$5:$K$504,"Open")+COUNTIFS('Issues Log'!$C$5:$C$504,$A50,'Issues Log'!$K$5:$K$504,"In progress"))</f>
        <v/>
      </c>
      <c r="Z50" s="27" t="n"/>
    </row>
    <row r="51">
      <c r="A51" s="27" t="n"/>
      <c r="B51" s="27" t="n"/>
      <c r="C51" s="27" t="n"/>
      <c r="D51" s="28">
        <f>IF($C51="","",IFERROR(INDEX('Topic Plan'!$C$5:$C$115,MATCH($C51,'Topic Plan'!$B$5:$B$115,0)),"UNKNOWN TOPIC ID"))</f>
        <v/>
      </c>
      <c r="E51" s="28">
        <f>IF($C51="","",IFERROR(INDEX('Topic Plan'!$D$5:$D$115,MATCH($C51,'Topic Plan'!$B$5:$B$115,0)),""))</f>
        <v/>
      </c>
      <c r="F51" s="28">
        <f>IF($C51="","",IFERROR(INDEX('Topic Plan'!$E$5:$E$115,MATCH($C51,'Topic Plan'!$B$5:$B$115,0)),""))</f>
        <v/>
      </c>
      <c r="G51" s="23" t="n"/>
      <c r="H51" s="27" t="n"/>
      <c r="I51" s="27" t="n"/>
      <c r="J51" s="27" t="n"/>
      <c r="K51" s="27" t="n"/>
      <c r="L51" s="27" t="n"/>
      <c r="M51" s="27" t="n"/>
      <c r="N51" s="23" t="n"/>
      <c r="O51" s="29" t="n"/>
      <c r="P51" s="29" t="n"/>
      <c r="Q51" s="29" t="n"/>
      <c r="R51" s="29" t="n"/>
      <c r="S51" s="29" t="n"/>
      <c r="T51" s="29" t="n"/>
      <c r="U51" s="29" t="n"/>
      <c r="V51" s="30">
        <f>IF(OR($A51="",$U51=""),"",IF($S51&lt;&gt;"",MAX(0,$S51-$U51),MAX(0,TODAY()-$U51)))</f>
        <v/>
      </c>
      <c r="W51" s="30">
        <f>IF($A51="","",IF(OR($N51="Live",$N51="Retired"),"",TODAY()-MAX($O51,$P51,$Q51,$R51)))</f>
        <v/>
      </c>
      <c r="X51" s="23" t="n"/>
      <c r="Y51" s="30">
        <f>IF($A51="","",COUNTIFS('Issues Log'!$C$5:$C$504,$A51,'Issues Log'!$K$5:$K$504,"Open")+COUNTIFS('Issues Log'!$C$5:$C$504,$A51,'Issues Log'!$K$5:$K$504,"In progress"))</f>
        <v/>
      </c>
      <c r="Z51" s="27" t="n"/>
    </row>
    <row r="52">
      <c r="A52" s="27" t="n"/>
      <c r="B52" s="27" t="n"/>
      <c r="C52" s="27" t="n"/>
      <c r="D52" s="28">
        <f>IF($C52="","",IFERROR(INDEX('Topic Plan'!$C$5:$C$115,MATCH($C52,'Topic Plan'!$B$5:$B$115,0)),"UNKNOWN TOPIC ID"))</f>
        <v/>
      </c>
      <c r="E52" s="28">
        <f>IF($C52="","",IFERROR(INDEX('Topic Plan'!$D$5:$D$115,MATCH($C52,'Topic Plan'!$B$5:$B$115,0)),""))</f>
        <v/>
      </c>
      <c r="F52" s="28">
        <f>IF($C52="","",IFERROR(INDEX('Topic Plan'!$E$5:$E$115,MATCH($C52,'Topic Plan'!$B$5:$B$115,0)),""))</f>
        <v/>
      </c>
      <c r="G52" s="23" t="n"/>
      <c r="H52" s="27" t="n"/>
      <c r="I52" s="27" t="n"/>
      <c r="J52" s="27" t="n"/>
      <c r="K52" s="27" t="n"/>
      <c r="L52" s="27" t="n"/>
      <c r="M52" s="27" t="n"/>
      <c r="N52" s="23" t="n"/>
      <c r="O52" s="29" t="n"/>
      <c r="P52" s="29" t="n"/>
      <c r="Q52" s="29" t="n"/>
      <c r="R52" s="29" t="n"/>
      <c r="S52" s="29" t="n"/>
      <c r="T52" s="29" t="n"/>
      <c r="U52" s="29" t="n"/>
      <c r="V52" s="30">
        <f>IF(OR($A52="",$U52=""),"",IF($S52&lt;&gt;"",MAX(0,$S52-$U52),MAX(0,TODAY()-$U52)))</f>
        <v/>
      </c>
      <c r="W52" s="30">
        <f>IF($A52="","",IF(OR($N52="Live",$N52="Retired"),"",TODAY()-MAX($O52,$P52,$Q52,$R52)))</f>
        <v/>
      </c>
      <c r="X52" s="23" t="n"/>
      <c r="Y52" s="30">
        <f>IF($A52="","",COUNTIFS('Issues Log'!$C$5:$C$504,$A52,'Issues Log'!$K$5:$K$504,"Open")+COUNTIFS('Issues Log'!$C$5:$C$504,$A52,'Issues Log'!$K$5:$K$504,"In progress"))</f>
        <v/>
      </c>
      <c r="Z52" s="27" t="n"/>
    </row>
    <row r="53">
      <c r="A53" s="27" t="n"/>
      <c r="B53" s="27" t="n"/>
      <c r="C53" s="27" t="n"/>
      <c r="D53" s="28">
        <f>IF($C53="","",IFERROR(INDEX('Topic Plan'!$C$5:$C$115,MATCH($C53,'Topic Plan'!$B$5:$B$115,0)),"UNKNOWN TOPIC ID"))</f>
        <v/>
      </c>
      <c r="E53" s="28">
        <f>IF($C53="","",IFERROR(INDEX('Topic Plan'!$D$5:$D$115,MATCH($C53,'Topic Plan'!$B$5:$B$115,0)),""))</f>
        <v/>
      </c>
      <c r="F53" s="28">
        <f>IF($C53="","",IFERROR(INDEX('Topic Plan'!$E$5:$E$115,MATCH($C53,'Topic Plan'!$B$5:$B$115,0)),""))</f>
        <v/>
      </c>
      <c r="G53" s="23" t="n"/>
      <c r="H53" s="27" t="n"/>
      <c r="I53" s="27" t="n"/>
      <c r="J53" s="27" t="n"/>
      <c r="K53" s="27" t="n"/>
      <c r="L53" s="27" t="n"/>
      <c r="M53" s="27" t="n"/>
      <c r="N53" s="23" t="n"/>
      <c r="O53" s="29" t="n"/>
      <c r="P53" s="29" t="n"/>
      <c r="Q53" s="29" t="n"/>
      <c r="R53" s="29" t="n"/>
      <c r="S53" s="29" t="n"/>
      <c r="T53" s="29" t="n"/>
      <c r="U53" s="29" t="n"/>
      <c r="V53" s="30">
        <f>IF(OR($A53="",$U53=""),"",IF($S53&lt;&gt;"",MAX(0,$S53-$U53),MAX(0,TODAY()-$U53)))</f>
        <v/>
      </c>
      <c r="W53" s="30">
        <f>IF($A53="","",IF(OR($N53="Live",$N53="Retired"),"",TODAY()-MAX($O53,$P53,$Q53,$R53)))</f>
        <v/>
      </c>
      <c r="X53" s="23" t="n"/>
      <c r="Y53" s="30">
        <f>IF($A53="","",COUNTIFS('Issues Log'!$C$5:$C$504,$A53,'Issues Log'!$K$5:$K$504,"Open")+COUNTIFS('Issues Log'!$C$5:$C$504,$A53,'Issues Log'!$K$5:$K$504,"In progress"))</f>
        <v/>
      </c>
      <c r="Z53" s="27" t="n"/>
    </row>
    <row r="54">
      <c r="A54" s="27" t="n"/>
      <c r="B54" s="27" t="n"/>
      <c r="C54" s="27" t="n"/>
      <c r="D54" s="28">
        <f>IF($C54="","",IFERROR(INDEX('Topic Plan'!$C$5:$C$115,MATCH($C54,'Topic Plan'!$B$5:$B$115,0)),"UNKNOWN TOPIC ID"))</f>
        <v/>
      </c>
      <c r="E54" s="28">
        <f>IF($C54="","",IFERROR(INDEX('Topic Plan'!$D$5:$D$115,MATCH($C54,'Topic Plan'!$B$5:$B$115,0)),""))</f>
        <v/>
      </c>
      <c r="F54" s="28">
        <f>IF($C54="","",IFERROR(INDEX('Topic Plan'!$E$5:$E$115,MATCH($C54,'Topic Plan'!$B$5:$B$115,0)),""))</f>
        <v/>
      </c>
      <c r="G54" s="23" t="n"/>
      <c r="H54" s="27" t="n"/>
      <c r="I54" s="27" t="n"/>
      <c r="J54" s="27" t="n"/>
      <c r="K54" s="27" t="n"/>
      <c r="L54" s="27" t="n"/>
      <c r="M54" s="27" t="n"/>
      <c r="N54" s="23" t="n"/>
      <c r="O54" s="29" t="n"/>
      <c r="P54" s="29" t="n"/>
      <c r="Q54" s="29" t="n"/>
      <c r="R54" s="29" t="n"/>
      <c r="S54" s="29" t="n"/>
      <c r="T54" s="29" t="n"/>
      <c r="U54" s="29" t="n"/>
      <c r="V54" s="30">
        <f>IF(OR($A54="",$U54=""),"",IF($S54&lt;&gt;"",MAX(0,$S54-$U54),MAX(0,TODAY()-$U54)))</f>
        <v/>
      </c>
      <c r="W54" s="30">
        <f>IF($A54="","",IF(OR($N54="Live",$N54="Retired"),"",TODAY()-MAX($O54,$P54,$Q54,$R54)))</f>
        <v/>
      </c>
      <c r="X54" s="23" t="n"/>
      <c r="Y54" s="30">
        <f>IF($A54="","",COUNTIFS('Issues Log'!$C$5:$C$504,$A54,'Issues Log'!$K$5:$K$504,"Open")+COUNTIFS('Issues Log'!$C$5:$C$504,$A54,'Issues Log'!$K$5:$K$504,"In progress"))</f>
        <v/>
      </c>
      <c r="Z54" s="27" t="n"/>
    </row>
    <row r="55">
      <c r="A55" s="27" t="n"/>
      <c r="B55" s="27" t="n"/>
      <c r="C55" s="27" t="n"/>
      <c r="D55" s="28">
        <f>IF($C55="","",IFERROR(INDEX('Topic Plan'!$C$5:$C$115,MATCH($C55,'Topic Plan'!$B$5:$B$115,0)),"UNKNOWN TOPIC ID"))</f>
        <v/>
      </c>
      <c r="E55" s="28">
        <f>IF($C55="","",IFERROR(INDEX('Topic Plan'!$D$5:$D$115,MATCH($C55,'Topic Plan'!$B$5:$B$115,0)),""))</f>
        <v/>
      </c>
      <c r="F55" s="28">
        <f>IF($C55="","",IFERROR(INDEX('Topic Plan'!$E$5:$E$115,MATCH($C55,'Topic Plan'!$B$5:$B$115,0)),""))</f>
        <v/>
      </c>
      <c r="G55" s="23" t="n"/>
      <c r="H55" s="27" t="n"/>
      <c r="I55" s="27" t="n"/>
      <c r="J55" s="27" t="n"/>
      <c r="K55" s="27" t="n"/>
      <c r="L55" s="27" t="n"/>
      <c r="M55" s="27" t="n"/>
      <c r="N55" s="23" t="n"/>
      <c r="O55" s="29" t="n"/>
      <c r="P55" s="29" t="n"/>
      <c r="Q55" s="29" t="n"/>
      <c r="R55" s="29" t="n"/>
      <c r="S55" s="29" t="n"/>
      <c r="T55" s="29" t="n"/>
      <c r="U55" s="29" t="n"/>
      <c r="V55" s="30">
        <f>IF(OR($A55="",$U55=""),"",IF($S55&lt;&gt;"",MAX(0,$S55-$U55),MAX(0,TODAY()-$U55)))</f>
        <v/>
      </c>
      <c r="W55" s="30">
        <f>IF($A55="","",IF(OR($N55="Live",$N55="Retired"),"",TODAY()-MAX($O55,$P55,$Q55,$R55)))</f>
        <v/>
      </c>
      <c r="X55" s="23" t="n"/>
      <c r="Y55" s="30">
        <f>IF($A55="","",COUNTIFS('Issues Log'!$C$5:$C$504,$A55,'Issues Log'!$K$5:$K$504,"Open")+COUNTIFS('Issues Log'!$C$5:$C$504,$A55,'Issues Log'!$K$5:$K$504,"In progress"))</f>
        <v/>
      </c>
      <c r="Z55" s="27" t="n"/>
    </row>
    <row r="56">
      <c r="A56" s="27" t="n"/>
      <c r="B56" s="27" t="n"/>
      <c r="C56" s="27" t="n"/>
      <c r="D56" s="28">
        <f>IF($C56="","",IFERROR(INDEX('Topic Plan'!$C$5:$C$115,MATCH($C56,'Topic Plan'!$B$5:$B$115,0)),"UNKNOWN TOPIC ID"))</f>
        <v/>
      </c>
      <c r="E56" s="28">
        <f>IF($C56="","",IFERROR(INDEX('Topic Plan'!$D$5:$D$115,MATCH($C56,'Topic Plan'!$B$5:$B$115,0)),""))</f>
        <v/>
      </c>
      <c r="F56" s="28">
        <f>IF($C56="","",IFERROR(INDEX('Topic Plan'!$E$5:$E$115,MATCH($C56,'Topic Plan'!$B$5:$B$115,0)),""))</f>
        <v/>
      </c>
      <c r="G56" s="23" t="n"/>
      <c r="H56" s="27" t="n"/>
      <c r="I56" s="27" t="n"/>
      <c r="J56" s="27" t="n"/>
      <c r="K56" s="27" t="n"/>
      <c r="L56" s="27" t="n"/>
      <c r="M56" s="27" t="n"/>
      <c r="N56" s="23" t="n"/>
      <c r="O56" s="29" t="n"/>
      <c r="P56" s="29" t="n"/>
      <c r="Q56" s="29" t="n"/>
      <c r="R56" s="29" t="n"/>
      <c r="S56" s="29" t="n"/>
      <c r="T56" s="29" t="n"/>
      <c r="U56" s="29" t="n"/>
      <c r="V56" s="30">
        <f>IF(OR($A56="",$U56=""),"",IF($S56&lt;&gt;"",MAX(0,$S56-$U56),MAX(0,TODAY()-$U56)))</f>
        <v/>
      </c>
      <c r="W56" s="30">
        <f>IF($A56="","",IF(OR($N56="Live",$N56="Retired"),"",TODAY()-MAX($O56,$P56,$Q56,$R56)))</f>
        <v/>
      </c>
      <c r="X56" s="23" t="n"/>
      <c r="Y56" s="30">
        <f>IF($A56="","",COUNTIFS('Issues Log'!$C$5:$C$504,$A56,'Issues Log'!$K$5:$K$504,"Open")+COUNTIFS('Issues Log'!$C$5:$C$504,$A56,'Issues Log'!$K$5:$K$504,"In progress"))</f>
        <v/>
      </c>
      <c r="Z56" s="27" t="n"/>
    </row>
    <row r="57">
      <c r="A57" s="27" t="n"/>
      <c r="B57" s="27" t="n"/>
      <c r="C57" s="27" t="n"/>
      <c r="D57" s="28">
        <f>IF($C57="","",IFERROR(INDEX('Topic Plan'!$C$5:$C$115,MATCH($C57,'Topic Plan'!$B$5:$B$115,0)),"UNKNOWN TOPIC ID"))</f>
        <v/>
      </c>
      <c r="E57" s="28">
        <f>IF($C57="","",IFERROR(INDEX('Topic Plan'!$D$5:$D$115,MATCH($C57,'Topic Plan'!$B$5:$B$115,0)),""))</f>
        <v/>
      </c>
      <c r="F57" s="28">
        <f>IF($C57="","",IFERROR(INDEX('Topic Plan'!$E$5:$E$115,MATCH($C57,'Topic Plan'!$B$5:$B$115,0)),""))</f>
        <v/>
      </c>
      <c r="G57" s="23" t="n"/>
      <c r="H57" s="27" t="n"/>
      <c r="I57" s="27" t="n"/>
      <c r="J57" s="27" t="n"/>
      <c r="K57" s="27" t="n"/>
      <c r="L57" s="27" t="n"/>
      <c r="M57" s="27" t="n"/>
      <c r="N57" s="23" t="n"/>
      <c r="O57" s="29" t="n"/>
      <c r="P57" s="29" t="n"/>
      <c r="Q57" s="29" t="n"/>
      <c r="R57" s="29" t="n"/>
      <c r="S57" s="29" t="n"/>
      <c r="T57" s="29" t="n"/>
      <c r="U57" s="29" t="n"/>
      <c r="V57" s="30">
        <f>IF(OR($A57="",$U57=""),"",IF($S57&lt;&gt;"",MAX(0,$S57-$U57),MAX(0,TODAY()-$U57)))</f>
        <v/>
      </c>
      <c r="W57" s="30">
        <f>IF($A57="","",IF(OR($N57="Live",$N57="Retired"),"",TODAY()-MAX($O57,$P57,$Q57,$R57)))</f>
        <v/>
      </c>
      <c r="X57" s="23" t="n"/>
      <c r="Y57" s="30">
        <f>IF($A57="","",COUNTIFS('Issues Log'!$C$5:$C$504,$A57,'Issues Log'!$K$5:$K$504,"Open")+COUNTIFS('Issues Log'!$C$5:$C$504,$A57,'Issues Log'!$K$5:$K$504,"In progress"))</f>
        <v/>
      </c>
      <c r="Z57" s="27" t="n"/>
    </row>
    <row r="58">
      <c r="A58" s="27" t="n"/>
      <c r="B58" s="27" t="n"/>
      <c r="C58" s="27" t="n"/>
      <c r="D58" s="28">
        <f>IF($C58="","",IFERROR(INDEX('Topic Plan'!$C$5:$C$115,MATCH($C58,'Topic Plan'!$B$5:$B$115,0)),"UNKNOWN TOPIC ID"))</f>
        <v/>
      </c>
      <c r="E58" s="28">
        <f>IF($C58="","",IFERROR(INDEX('Topic Plan'!$D$5:$D$115,MATCH($C58,'Topic Plan'!$B$5:$B$115,0)),""))</f>
        <v/>
      </c>
      <c r="F58" s="28">
        <f>IF($C58="","",IFERROR(INDEX('Topic Plan'!$E$5:$E$115,MATCH($C58,'Topic Plan'!$B$5:$B$115,0)),""))</f>
        <v/>
      </c>
      <c r="G58" s="23" t="n"/>
      <c r="H58" s="27" t="n"/>
      <c r="I58" s="27" t="n"/>
      <c r="J58" s="27" t="n"/>
      <c r="K58" s="27" t="n"/>
      <c r="L58" s="27" t="n"/>
      <c r="M58" s="27" t="n"/>
      <c r="N58" s="23" t="n"/>
      <c r="O58" s="29" t="n"/>
      <c r="P58" s="29" t="n"/>
      <c r="Q58" s="29" t="n"/>
      <c r="R58" s="29" t="n"/>
      <c r="S58" s="29" t="n"/>
      <c r="T58" s="29" t="n"/>
      <c r="U58" s="29" t="n"/>
      <c r="V58" s="30">
        <f>IF(OR($A58="",$U58=""),"",IF($S58&lt;&gt;"",MAX(0,$S58-$U58),MAX(0,TODAY()-$U58)))</f>
        <v/>
      </c>
      <c r="W58" s="30">
        <f>IF($A58="","",IF(OR($N58="Live",$N58="Retired"),"",TODAY()-MAX($O58,$P58,$Q58,$R58)))</f>
        <v/>
      </c>
      <c r="X58" s="23" t="n"/>
      <c r="Y58" s="30">
        <f>IF($A58="","",COUNTIFS('Issues Log'!$C$5:$C$504,$A58,'Issues Log'!$K$5:$K$504,"Open")+COUNTIFS('Issues Log'!$C$5:$C$504,$A58,'Issues Log'!$K$5:$K$504,"In progress"))</f>
        <v/>
      </c>
      <c r="Z58" s="27" t="n"/>
    </row>
    <row r="59">
      <c r="A59" s="27" t="n"/>
      <c r="B59" s="27" t="n"/>
      <c r="C59" s="27" t="n"/>
      <c r="D59" s="28">
        <f>IF($C59="","",IFERROR(INDEX('Topic Plan'!$C$5:$C$115,MATCH($C59,'Topic Plan'!$B$5:$B$115,0)),"UNKNOWN TOPIC ID"))</f>
        <v/>
      </c>
      <c r="E59" s="28">
        <f>IF($C59="","",IFERROR(INDEX('Topic Plan'!$D$5:$D$115,MATCH($C59,'Topic Plan'!$B$5:$B$115,0)),""))</f>
        <v/>
      </c>
      <c r="F59" s="28">
        <f>IF($C59="","",IFERROR(INDEX('Topic Plan'!$E$5:$E$115,MATCH($C59,'Topic Plan'!$B$5:$B$115,0)),""))</f>
        <v/>
      </c>
      <c r="G59" s="23" t="n"/>
      <c r="H59" s="27" t="n"/>
      <c r="I59" s="27" t="n"/>
      <c r="J59" s="27" t="n"/>
      <c r="K59" s="27" t="n"/>
      <c r="L59" s="27" t="n"/>
      <c r="M59" s="27" t="n"/>
      <c r="N59" s="23" t="n"/>
      <c r="O59" s="29" t="n"/>
      <c r="P59" s="29" t="n"/>
      <c r="Q59" s="29" t="n"/>
      <c r="R59" s="29" t="n"/>
      <c r="S59" s="29" t="n"/>
      <c r="T59" s="29" t="n"/>
      <c r="U59" s="29" t="n"/>
      <c r="V59" s="30">
        <f>IF(OR($A59="",$U59=""),"",IF($S59&lt;&gt;"",MAX(0,$S59-$U59),MAX(0,TODAY()-$U59)))</f>
        <v/>
      </c>
      <c r="W59" s="30">
        <f>IF($A59="","",IF(OR($N59="Live",$N59="Retired"),"",TODAY()-MAX($O59,$P59,$Q59,$R59)))</f>
        <v/>
      </c>
      <c r="X59" s="23" t="n"/>
      <c r="Y59" s="30">
        <f>IF($A59="","",COUNTIFS('Issues Log'!$C$5:$C$504,$A59,'Issues Log'!$K$5:$K$504,"Open")+COUNTIFS('Issues Log'!$C$5:$C$504,$A59,'Issues Log'!$K$5:$K$504,"In progress"))</f>
        <v/>
      </c>
      <c r="Z59" s="27" t="n"/>
    </row>
    <row r="60">
      <c r="A60" s="27" t="n"/>
      <c r="B60" s="27" t="n"/>
      <c r="C60" s="27" t="n"/>
      <c r="D60" s="28">
        <f>IF($C60="","",IFERROR(INDEX('Topic Plan'!$C$5:$C$115,MATCH($C60,'Topic Plan'!$B$5:$B$115,0)),"UNKNOWN TOPIC ID"))</f>
        <v/>
      </c>
      <c r="E60" s="28">
        <f>IF($C60="","",IFERROR(INDEX('Topic Plan'!$D$5:$D$115,MATCH($C60,'Topic Plan'!$B$5:$B$115,0)),""))</f>
        <v/>
      </c>
      <c r="F60" s="28">
        <f>IF($C60="","",IFERROR(INDEX('Topic Plan'!$E$5:$E$115,MATCH($C60,'Topic Plan'!$B$5:$B$115,0)),""))</f>
        <v/>
      </c>
      <c r="G60" s="23" t="n"/>
      <c r="H60" s="27" t="n"/>
      <c r="I60" s="27" t="n"/>
      <c r="J60" s="27" t="n"/>
      <c r="K60" s="27" t="n"/>
      <c r="L60" s="27" t="n"/>
      <c r="M60" s="27" t="n"/>
      <c r="N60" s="23" t="n"/>
      <c r="O60" s="29" t="n"/>
      <c r="P60" s="29" t="n"/>
      <c r="Q60" s="29" t="n"/>
      <c r="R60" s="29" t="n"/>
      <c r="S60" s="29" t="n"/>
      <c r="T60" s="29" t="n"/>
      <c r="U60" s="29" t="n"/>
      <c r="V60" s="30">
        <f>IF(OR($A60="",$U60=""),"",IF($S60&lt;&gt;"",MAX(0,$S60-$U60),MAX(0,TODAY()-$U60)))</f>
        <v/>
      </c>
      <c r="W60" s="30">
        <f>IF($A60="","",IF(OR($N60="Live",$N60="Retired"),"",TODAY()-MAX($O60,$P60,$Q60,$R60)))</f>
        <v/>
      </c>
      <c r="X60" s="23" t="n"/>
      <c r="Y60" s="30">
        <f>IF($A60="","",COUNTIFS('Issues Log'!$C$5:$C$504,$A60,'Issues Log'!$K$5:$K$504,"Open")+COUNTIFS('Issues Log'!$C$5:$C$504,$A60,'Issues Log'!$K$5:$K$504,"In progress"))</f>
        <v/>
      </c>
      <c r="Z60" s="27" t="n"/>
    </row>
    <row r="61">
      <c r="A61" s="27" t="n"/>
      <c r="B61" s="27" t="n"/>
      <c r="C61" s="27" t="n"/>
      <c r="D61" s="28">
        <f>IF($C61="","",IFERROR(INDEX('Topic Plan'!$C$5:$C$115,MATCH($C61,'Topic Plan'!$B$5:$B$115,0)),"UNKNOWN TOPIC ID"))</f>
        <v/>
      </c>
      <c r="E61" s="28">
        <f>IF($C61="","",IFERROR(INDEX('Topic Plan'!$D$5:$D$115,MATCH($C61,'Topic Plan'!$B$5:$B$115,0)),""))</f>
        <v/>
      </c>
      <c r="F61" s="28">
        <f>IF($C61="","",IFERROR(INDEX('Topic Plan'!$E$5:$E$115,MATCH($C61,'Topic Plan'!$B$5:$B$115,0)),""))</f>
        <v/>
      </c>
      <c r="G61" s="23" t="n"/>
      <c r="H61" s="27" t="n"/>
      <c r="I61" s="27" t="n"/>
      <c r="J61" s="27" t="n"/>
      <c r="K61" s="27" t="n"/>
      <c r="L61" s="27" t="n"/>
      <c r="M61" s="27" t="n"/>
      <c r="N61" s="23" t="n"/>
      <c r="O61" s="29" t="n"/>
      <c r="P61" s="29" t="n"/>
      <c r="Q61" s="29" t="n"/>
      <c r="R61" s="29" t="n"/>
      <c r="S61" s="29" t="n"/>
      <c r="T61" s="29" t="n"/>
      <c r="U61" s="29" t="n"/>
      <c r="V61" s="30">
        <f>IF(OR($A61="",$U61=""),"",IF($S61&lt;&gt;"",MAX(0,$S61-$U61),MAX(0,TODAY()-$U61)))</f>
        <v/>
      </c>
      <c r="W61" s="30">
        <f>IF($A61="","",IF(OR($N61="Live",$N61="Retired"),"",TODAY()-MAX($O61,$P61,$Q61,$R61)))</f>
        <v/>
      </c>
      <c r="X61" s="23" t="n"/>
      <c r="Y61" s="30">
        <f>IF($A61="","",COUNTIFS('Issues Log'!$C$5:$C$504,$A61,'Issues Log'!$K$5:$K$504,"Open")+COUNTIFS('Issues Log'!$C$5:$C$504,$A61,'Issues Log'!$K$5:$K$504,"In progress"))</f>
        <v/>
      </c>
      <c r="Z61" s="27" t="n"/>
    </row>
    <row r="62">
      <c r="A62" s="27" t="n"/>
      <c r="B62" s="27" t="n"/>
      <c r="C62" s="27" t="n"/>
      <c r="D62" s="28">
        <f>IF($C62="","",IFERROR(INDEX('Topic Plan'!$C$5:$C$115,MATCH($C62,'Topic Plan'!$B$5:$B$115,0)),"UNKNOWN TOPIC ID"))</f>
        <v/>
      </c>
      <c r="E62" s="28">
        <f>IF($C62="","",IFERROR(INDEX('Topic Plan'!$D$5:$D$115,MATCH($C62,'Topic Plan'!$B$5:$B$115,0)),""))</f>
        <v/>
      </c>
      <c r="F62" s="28">
        <f>IF($C62="","",IFERROR(INDEX('Topic Plan'!$E$5:$E$115,MATCH($C62,'Topic Plan'!$B$5:$B$115,0)),""))</f>
        <v/>
      </c>
      <c r="G62" s="23" t="n"/>
      <c r="H62" s="27" t="n"/>
      <c r="I62" s="27" t="n"/>
      <c r="J62" s="27" t="n"/>
      <c r="K62" s="27" t="n"/>
      <c r="L62" s="27" t="n"/>
      <c r="M62" s="27" t="n"/>
      <c r="N62" s="23" t="n"/>
      <c r="O62" s="29" t="n"/>
      <c r="P62" s="29" t="n"/>
      <c r="Q62" s="29" t="n"/>
      <c r="R62" s="29" t="n"/>
      <c r="S62" s="29" t="n"/>
      <c r="T62" s="29" t="n"/>
      <c r="U62" s="29" t="n"/>
      <c r="V62" s="30">
        <f>IF(OR($A62="",$U62=""),"",IF($S62&lt;&gt;"",MAX(0,$S62-$U62),MAX(0,TODAY()-$U62)))</f>
        <v/>
      </c>
      <c r="W62" s="30">
        <f>IF($A62="","",IF(OR($N62="Live",$N62="Retired"),"",TODAY()-MAX($O62,$P62,$Q62,$R62)))</f>
        <v/>
      </c>
      <c r="X62" s="23" t="n"/>
      <c r="Y62" s="30">
        <f>IF($A62="","",COUNTIFS('Issues Log'!$C$5:$C$504,$A62,'Issues Log'!$K$5:$K$504,"Open")+COUNTIFS('Issues Log'!$C$5:$C$504,$A62,'Issues Log'!$K$5:$K$504,"In progress"))</f>
        <v/>
      </c>
      <c r="Z62" s="27" t="n"/>
    </row>
    <row r="63">
      <c r="A63" s="27" t="n"/>
      <c r="B63" s="27" t="n"/>
      <c r="C63" s="27" t="n"/>
      <c r="D63" s="28">
        <f>IF($C63="","",IFERROR(INDEX('Topic Plan'!$C$5:$C$115,MATCH($C63,'Topic Plan'!$B$5:$B$115,0)),"UNKNOWN TOPIC ID"))</f>
        <v/>
      </c>
      <c r="E63" s="28">
        <f>IF($C63="","",IFERROR(INDEX('Topic Plan'!$D$5:$D$115,MATCH($C63,'Topic Plan'!$B$5:$B$115,0)),""))</f>
        <v/>
      </c>
      <c r="F63" s="28">
        <f>IF($C63="","",IFERROR(INDEX('Topic Plan'!$E$5:$E$115,MATCH($C63,'Topic Plan'!$B$5:$B$115,0)),""))</f>
        <v/>
      </c>
      <c r="G63" s="23" t="n"/>
      <c r="H63" s="27" t="n"/>
      <c r="I63" s="27" t="n"/>
      <c r="J63" s="27" t="n"/>
      <c r="K63" s="27" t="n"/>
      <c r="L63" s="27" t="n"/>
      <c r="M63" s="27" t="n"/>
      <c r="N63" s="23" t="n"/>
      <c r="O63" s="29" t="n"/>
      <c r="P63" s="29" t="n"/>
      <c r="Q63" s="29" t="n"/>
      <c r="R63" s="29" t="n"/>
      <c r="S63" s="29" t="n"/>
      <c r="T63" s="29" t="n"/>
      <c r="U63" s="29" t="n"/>
      <c r="V63" s="30">
        <f>IF(OR($A63="",$U63=""),"",IF($S63&lt;&gt;"",MAX(0,$S63-$U63),MAX(0,TODAY()-$U63)))</f>
        <v/>
      </c>
      <c r="W63" s="30">
        <f>IF($A63="","",IF(OR($N63="Live",$N63="Retired"),"",TODAY()-MAX($O63,$P63,$Q63,$R63)))</f>
        <v/>
      </c>
      <c r="X63" s="23" t="n"/>
      <c r="Y63" s="30">
        <f>IF($A63="","",COUNTIFS('Issues Log'!$C$5:$C$504,$A63,'Issues Log'!$K$5:$K$504,"Open")+COUNTIFS('Issues Log'!$C$5:$C$504,$A63,'Issues Log'!$K$5:$K$504,"In progress"))</f>
        <v/>
      </c>
      <c r="Z63" s="27" t="n"/>
    </row>
    <row r="64">
      <c r="A64" s="27" t="n"/>
      <c r="B64" s="27" t="n"/>
      <c r="C64" s="27" t="n"/>
      <c r="D64" s="28">
        <f>IF($C64="","",IFERROR(INDEX('Topic Plan'!$C$5:$C$115,MATCH($C64,'Topic Plan'!$B$5:$B$115,0)),"UNKNOWN TOPIC ID"))</f>
        <v/>
      </c>
      <c r="E64" s="28">
        <f>IF($C64="","",IFERROR(INDEX('Topic Plan'!$D$5:$D$115,MATCH($C64,'Topic Plan'!$B$5:$B$115,0)),""))</f>
        <v/>
      </c>
      <c r="F64" s="28">
        <f>IF($C64="","",IFERROR(INDEX('Topic Plan'!$E$5:$E$115,MATCH($C64,'Topic Plan'!$B$5:$B$115,0)),""))</f>
        <v/>
      </c>
      <c r="G64" s="23" t="n"/>
      <c r="H64" s="27" t="n"/>
      <c r="I64" s="27" t="n"/>
      <c r="J64" s="27" t="n"/>
      <c r="K64" s="27" t="n"/>
      <c r="L64" s="27" t="n"/>
      <c r="M64" s="27" t="n"/>
      <c r="N64" s="23" t="n"/>
      <c r="O64" s="29" t="n"/>
      <c r="P64" s="29" t="n"/>
      <c r="Q64" s="29" t="n"/>
      <c r="R64" s="29" t="n"/>
      <c r="S64" s="29" t="n"/>
      <c r="T64" s="29" t="n"/>
      <c r="U64" s="29" t="n"/>
      <c r="V64" s="30">
        <f>IF(OR($A64="",$U64=""),"",IF($S64&lt;&gt;"",MAX(0,$S64-$U64),MAX(0,TODAY()-$U64)))</f>
        <v/>
      </c>
      <c r="W64" s="30">
        <f>IF($A64="","",IF(OR($N64="Live",$N64="Retired"),"",TODAY()-MAX($O64,$P64,$Q64,$R64)))</f>
        <v/>
      </c>
      <c r="X64" s="23" t="n"/>
      <c r="Y64" s="30">
        <f>IF($A64="","",COUNTIFS('Issues Log'!$C$5:$C$504,$A64,'Issues Log'!$K$5:$K$504,"Open")+COUNTIFS('Issues Log'!$C$5:$C$504,$A64,'Issues Log'!$K$5:$K$504,"In progress"))</f>
        <v/>
      </c>
      <c r="Z64" s="27" t="n"/>
    </row>
    <row r="65">
      <c r="A65" s="27" t="n"/>
      <c r="B65" s="27" t="n"/>
      <c r="C65" s="27" t="n"/>
      <c r="D65" s="28">
        <f>IF($C65="","",IFERROR(INDEX('Topic Plan'!$C$5:$C$115,MATCH($C65,'Topic Plan'!$B$5:$B$115,0)),"UNKNOWN TOPIC ID"))</f>
        <v/>
      </c>
      <c r="E65" s="28">
        <f>IF($C65="","",IFERROR(INDEX('Topic Plan'!$D$5:$D$115,MATCH($C65,'Topic Plan'!$B$5:$B$115,0)),""))</f>
        <v/>
      </c>
      <c r="F65" s="28">
        <f>IF($C65="","",IFERROR(INDEX('Topic Plan'!$E$5:$E$115,MATCH($C65,'Topic Plan'!$B$5:$B$115,0)),""))</f>
        <v/>
      </c>
      <c r="G65" s="23" t="n"/>
      <c r="H65" s="27" t="n"/>
      <c r="I65" s="27" t="n"/>
      <c r="J65" s="27" t="n"/>
      <c r="K65" s="27" t="n"/>
      <c r="L65" s="27" t="n"/>
      <c r="M65" s="27" t="n"/>
      <c r="N65" s="23" t="n"/>
      <c r="O65" s="29" t="n"/>
      <c r="P65" s="29" t="n"/>
      <c r="Q65" s="29" t="n"/>
      <c r="R65" s="29" t="n"/>
      <c r="S65" s="29" t="n"/>
      <c r="T65" s="29" t="n"/>
      <c r="U65" s="29" t="n"/>
      <c r="V65" s="30">
        <f>IF(OR($A65="",$U65=""),"",IF($S65&lt;&gt;"",MAX(0,$S65-$U65),MAX(0,TODAY()-$U65)))</f>
        <v/>
      </c>
      <c r="W65" s="30">
        <f>IF($A65="","",IF(OR($N65="Live",$N65="Retired"),"",TODAY()-MAX($O65,$P65,$Q65,$R65)))</f>
        <v/>
      </c>
      <c r="X65" s="23" t="n"/>
      <c r="Y65" s="30">
        <f>IF($A65="","",COUNTIFS('Issues Log'!$C$5:$C$504,$A65,'Issues Log'!$K$5:$K$504,"Open")+COUNTIFS('Issues Log'!$C$5:$C$504,$A65,'Issues Log'!$K$5:$K$504,"In progress"))</f>
        <v/>
      </c>
      <c r="Z65" s="27" t="n"/>
    </row>
    <row r="66">
      <c r="A66" s="27" t="n"/>
      <c r="B66" s="27" t="n"/>
      <c r="C66" s="27" t="n"/>
      <c r="D66" s="28">
        <f>IF($C66="","",IFERROR(INDEX('Topic Plan'!$C$5:$C$115,MATCH($C66,'Topic Plan'!$B$5:$B$115,0)),"UNKNOWN TOPIC ID"))</f>
        <v/>
      </c>
      <c r="E66" s="28">
        <f>IF($C66="","",IFERROR(INDEX('Topic Plan'!$D$5:$D$115,MATCH($C66,'Topic Plan'!$B$5:$B$115,0)),""))</f>
        <v/>
      </c>
      <c r="F66" s="28">
        <f>IF($C66="","",IFERROR(INDEX('Topic Plan'!$E$5:$E$115,MATCH($C66,'Topic Plan'!$B$5:$B$115,0)),""))</f>
        <v/>
      </c>
      <c r="G66" s="23" t="n"/>
      <c r="H66" s="27" t="n"/>
      <c r="I66" s="27" t="n"/>
      <c r="J66" s="27" t="n"/>
      <c r="K66" s="27" t="n"/>
      <c r="L66" s="27" t="n"/>
      <c r="M66" s="27" t="n"/>
      <c r="N66" s="23" t="n"/>
      <c r="O66" s="29" t="n"/>
      <c r="P66" s="29" t="n"/>
      <c r="Q66" s="29" t="n"/>
      <c r="R66" s="29" t="n"/>
      <c r="S66" s="29" t="n"/>
      <c r="T66" s="29" t="n"/>
      <c r="U66" s="29" t="n"/>
      <c r="V66" s="30">
        <f>IF(OR($A66="",$U66=""),"",IF($S66&lt;&gt;"",MAX(0,$S66-$U66),MAX(0,TODAY()-$U66)))</f>
        <v/>
      </c>
      <c r="W66" s="30">
        <f>IF($A66="","",IF(OR($N66="Live",$N66="Retired"),"",TODAY()-MAX($O66,$P66,$Q66,$R66)))</f>
        <v/>
      </c>
      <c r="X66" s="23" t="n"/>
      <c r="Y66" s="30">
        <f>IF($A66="","",COUNTIFS('Issues Log'!$C$5:$C$504,$A66,'Issues Log'!$K$5:$K$504,"Open")+COUNTIFS('Issues Log'!$C$5:$C$504,$A66,'Issues Log'!$K$5:$K$504,"In progress"))</f>
        <v/>
      </c>
      <c r="Z66" s="27" t="n"/>
    </row>
    <row r="67">
      <c r="A67" s="27" t="n"/>
      <c r="B67" s="27" t="n"/>
      <c r="C67" s="27" t="n"/>
      <c r="D67" s="28">
        <f>IF($C67="","",IFERROR(INDEX('Topic Plan'!$C$5:$C$115,MATCH($C67,'Topic Plan'!$B$5:$B$115,0)),"UNKNOWN TOPIC ID"))</f>
        <v/>
      </c>
      <c r="E67" s="28">
        <f>IF($C67="","",IFERROR(INDEX('Topic Plan'!$D$5:$D$115,MATCH($C67,'Topic Plan'!$B$5:$B$115,0)),""))</f>
        <v/>
      </c>
      <c r="F67" s="28">
        <f>IF($C67="","",IFERROR(INDEX('Topic Plan'!$E$5:$E$115,MATCH($C67,'Topic Plan'!$B$5:$B$115,0)),""))</f>
        <v/>
      </c>
      <c r="G67" s="23" t="n"/>
      <c r="H67" s="27" t="n"/>
      <c r="I67" s="27" t="n"/>
      <c r="J67" s="27" t="n"/>
      <c r="K67" s="27" t="n"/>
      <c r="L67" s="27" t="n"/>
      <c r="M67" s="27" t="n"/>
      <c r="N67" s="23" t="n"/>
      <c r="O67" s="29" t="n"/>
      <c r="P67" s="29" t="n"/>
      <c r="Q67" s="29" t="n"/>
      <c r="R67" s="29" t="n"/>
      <c r="S67" s="29" t="n"/>
      <c r="T67" s="29" t="n"/>
      <c r="U67" s="29" t="n"/>
      <c r="V67" s="30">
        <f>IF(OR($A67="",$U67=""),"",IF($S67&lt;&gt;"",MAX(0,$S67-$U67),MAX(0,TODAY()-$U67)))</f>
        <v/>
      </c>
      <c r="W67" s="30">
        <f>IF($A67="","",IF(OR($N67="Live",$N67="Retired"),"",TODAY()-MAX($O67,$P67,$Q67,$R67)))</f>
        <v/>
      </c>
      <c r="X67" s="23" t="n"/>
      <c r="Y67" s="30">
        <f>IF($A67="","",COUNTIFS('Issues Log'!$C$5:$C$504,$A67,'Issues Log'!$K$5:$K$504,"Open")+COUNTIFS('Issues Log'!$C$5:$C$504,$A67,'Issues Log'!$K$5:$K$504,"In progress"))</f>
        <v/>
      </c>
      <c r="Z67" s="27" t="n"/>
    </row>
    <row r="68">
      <c r="A68" s="27" t="n"/>
      <c r="B68" s="27" t="n"/>
      <c r="C68" s="27" t="n"/>
      <c r="D68" s="28">
        <f>IF($C68="","",IFERROR(INDEX('Topic Plan'!$C$5:$C$115,MATCH($C68,'Topic Plan'!$B$5:$B$115,0)),"UNKNOWN TOPIC ID"))</f>
        <v/>
      </c>
      <c r="E68" s="28">
        <f>IF($C68="","",IFERROR(INDEX('Topic Plan'!$D$5:$D$115,MATCH($C68,'Topic Plan'!$B$5:$B$115,0)),""))</f>
        <v/>
      </c>
      <c r="F68" s="28">
        <f>IF($C68="","",IFERROR(INDEX('Topic Plan'!$E$5:$E$115,MATCH($C68,'Topic Plan'!$B$5:$B$115,0)),""))</f>
        <v/>
      </c>
      <c r="G68" s="23" t="n"/>
      <c r="H68" s="27" t="n"/>
      <c r="I68" s="27" t="n"/>
      <c r="J68" s="27" t="n"/>
      <c r="K68" s="27" t="n"/>
      <c r="L68" s="27" t="n"/>
      <c r="M68" s="27" t="n"/>
      <c r="N68" s="23" t="n"/>
      <c r="O68" s="29" t="n"/>
      <c r="P68" s="29" t="n"/>
      <c r="Q68" s="29" t="n"/>
      <c r="R68" s="29" t="n"/>
      <c r="S68" s="29" t="n"/>
      <c r="T68" s="29" t="n"/>
      <c r="U68" s="29" t="n"/>
      <c r="V68" s="30">
        <f>IF(OR($A68="",$U68=""),"",IF($S68&lt;&gt;"",MAX(0,$S68-$U68),MAX(0,TODAY()-$U68)))</f>
        <v/>
      </c>
      <c r="W68" s="30">
        <f>IF($A68="","",IF(OR($N68="Live",$N68="Retired"),"",TODAY()-MAX($O68,$P68,$Q68,$R68)))</f>
        <v/>
      </c>
      <c r="X68" s="23" t="n"/>
      <c r="Y68" s="30">
        <f>IF($A68="","",COUNTIFS('Issues Log'!$C$5:$C$504,$A68,'Issues Log'!$K$5:$K$504,"Open")+COUNTIFS('Issues Log'!$C$5:$C$504,$A68,'Issues Log'!$K$5:$K$504,"In progress"))</f>
        <v/>
      </c>
      <c r="Z68" s="27" t="n"/>
    </row>
    <row r="69">
      <c r="A69" s="27" t="n"/>
      <c r="B69" s="27" t="n"/>
      <c r="C69" s="27" t="n"/>
      <c r="D69" s="28">
        <f>IF($C69="","",IFERROR(INDEX('Topic Plan'!$C$5:$C$115,MATCH($C69,'Topic Plan'!$B$5:$B$115,0)),"UNKNOWN TOPIC ID"))</f>
        <v/>
      </c>
      <c r="E69" s="28">
        <f>IF($C69="","",IFERROR(INDEX('Topic Plan'!$D$5:$D$115,MATCH($C69,'Topic Plan'!$B$5:$B$115,0)),""))</f>
        <v/>
      </c>
      <c r="F69" s="28">
        <f>IF($C69="","",IFERROR(INDEX('Topic Plan'!$E$5:$E$115,MATCH($C69,'Topic Plan'!$B$5:$B$115,0)),""))</f>
        <v/>
      </c>
      <c r="G69" s="23" t="n"/>
      <c r="H69" s="27" t="n"/>
      <c r="I69" s="27" t="n"/>
      <c r="J69" s="27" t="n"/>
      <c r="K69" s="27" t="n"/>
      <c r="L69" s="27" t="n"/>
      <c r="M69" s="27" t="n"/>
      <c r="N69" s="23" t="n"/>
      <c r="O69" s="29" t="n"/>
      <c r="P69" s="29" t="n"/>
      <c r="Q69" s="29" t="n"/>
      <c r="R69" s="29" t="n"/>
      <c r="S69" s="29" t="n"/>
      <c r="T69" s="29" t="n"/>
      <c r="U69" s="29" t="n"/>
      <c r="V69" s="30">
        <f>IF(OR($A69="",$U69=""),"",IF($S69&lt;&gt;"",MAX(0,$S69-$U69),MAX(0,TODAY()-$U69)))</f>
        <v/>
      </c>
      <c r="W69" s="30">
        <f>IF($A69="","",IF(OR($N69="Live",$N69="Retired"),"",TODAY()-MAX($O69,$P69,$Q69,$R69)))</f>
        <v/>
      </c>
      <c r="X69" s="23" t="n"/>
      <c r="Y69" s="30">
        <f>IF($A69="","",COUNTIFS('Issues Log'!$C$5:$C$504,$A69,'Issues Log'!$K$5:$K$504,"Open")+COUNTIFS('Issues Log'!$C$5:$C$504,$A69,'Issues Log'!$K$5:$K$504,"In progress"))</f>
        <v/>
      </c>
      <c r="Z69" s="27" t="n"/>
    </row>
    <row r="70">
      <c r="A70" s="27" t="n"/>
      <c r="B70" s="27" t="n"/>
      <c r="C70" s="27" t="n"/>
      <c r="D70" s="28">
        <f>IF($C70="","",IFERROR(INDEX('Topic Plan'!$C$5:$C$115,MATCH($C70,'Topic Plan'!$B$5:$B$115,0)),"UNKNOWN TOPIC ID"))</f>
        <v/>
      </c>
      <c r="E70" s="28">
        <f>IF($C70="","",IFERROR(INDEX('Topic Plan'!$D$5:$D$115,MATCH($C70,'Topic Plan'!$B$5:$B$115,0)),""))</f>
        <v/>
      </c>
      <c r="F70" s="28">
        <f>IF($C70="","",IFERROR(INDEX('Topic Plan'!$E$5:$E$115,MATCH($C70,'Topic Plan'!$B$5:$B$115,0)),""))</f>
        <v/>
      </c>
      <c r="G70" s="23" t="n"/>
      <c r="H70" s="27" t="n"/>
      <c r="I70" s="27" t="n"/>
      <c r="J70" s="27" t="n"/>
      <c r="K70" s="27" t="n"/>
      <c r="L70" s="27" t="n"/>
      <c r="M70" s="27" t="n"/>
      <c r="N70" s="23" t="n"/>
      <c r="O70" s="29" t="n"/>
      <c r="P70" s="29" t="n"/>
      <c r="Q70" s="29" t="n"/>
      <c r="R70" s="29" t="n"/>
      <c r="S70" s="29" t="n"/>
      <c r="T70" s="29" t="n"/>
      <c r="U70" s="29" t="n"/>
      <c r="V70" s="30">
        <f>IF(OR($A70="",$U70=""),"",IF($S70&lt;&gt;"",MAX(0,$S70-$U70),MAX(0,TODAY()-$U70)))</f>
        <v/>
      </c>
      <c r="W70" s="30">
        <f>IF($A70="","",IF(OR($N70="Live",$N70="Retired"),"",TODAY()-MAX($O70,$P70,$Q70,$R70)))</f>
        <v/>
      </c>
      <c r="X70" s="23" t="n"/>
      <c r="Y70" s="30">
        <f>IF($A70="","",COUNTIFS('Issues Log'!$C$5:$C$504,$A70,'Issues Log'!$K$5:$K$504,"Open")+COUNTIFS('Issues Log'!$C$5:$C$504,$A70,'Issues Log'!$K$5:$K$504,"In progress"))</f>
        <v/>
      </c>
      <c r="Z70" s="27" t="n"/>
    </row>
    <row r="71">
      <c r="A71" s="27" t="n"/>
      <c r="B71" s="27" t="n"/>
      <c r="C71" s="27" t="n"/>
      <c r="D71" s="28">
        <f>IF($C71="","",IFERROR(INDEX('Topic Plan'!$C$5:$C$115,MATCH($C71,'Topic Plan'!$B$5:$B$115,0)),"UNKNOWN TOPIC ID"))</f>
        <v/>
      </c>
      <c r="E71" s="28">
        <f>IF($C71="","",IFERROR(INDEX('Topic Plan'!$D$5:$D$115,MATCH($C71,'Topic Plan'!$B$5:$B$115,0)),""))</f>
        <v/>
      </c>
      <c r="F71" s="28">
        <f>IF($C71="","",IFERROR(INDEX('Topic Plan'!$E$5:$E$115,MATCH($C71,'Topic Plan'!$B$5:$B$115,0)),""))</f>
        <v/>
      </c>
      <c r="G71" s="23" t="n"/>
      <c r="H71" s="27" t="n"/>
      <c r="I71" s="27" t="n"/>
      <c r="J71" s="27" t="n"/>
      <c r="K71" s="27" t="n"/>
      <c r="L71" s="27" t="n"/>
      <c r="M71" s="27" t="n"/>
      <c r="N71" s="23" t="n"/>
      <c r="O71" s="29" t="n"/>
      <c r="P71" s="29" t="n"/>
      <c r="Q71" s="29" t="n"/>
      <c r="R71" s="29" t="n"/>
      <c r="S71" s="29" t="n"/>
      <c r="T71" s="29" t="n"/>
      <c r="U71" s="29" t="n"/>
      <c r="V71" s="30">
        <f>IF(OR($A71="",$U71=""),"",IF($S71&lt;&gt;"",MAX(0,$S71-$U71),MAX(0,TODAY()-$U71)))</f>
        <v/>
      </c>
      <c r="W71" s="30">
        <f>IF($A71="","",IF(OR($N71="Live",$N71="Retired"),"",TODAY()-MAX($O71,$P71,$Q71,$R71)))</f>
        <v/>
      </c>
      <c r="X71" s="23" t="n"/>
      <c r="Y71" s="30">
        <f>IF($A71="","",COUNTIFS('Issues Log'!$C$5:$C$504,$A71,'Issues Log'!$K$5:$K$504,"Open")+COUNTIFS('Issues Log'!$C$5:$C$504,$A71,'Issues Log'!$K$5:$K$504,"In progress"))</f>
        <v/>
      </c>
      <c r="Z71" s="27" t="n"/>
    </row>
    <row r="72">
      <c r="A72" s="27" t="n"/>
      <c r="B72" s="27" t="n"/>
      <c r="C72" s="27" t="n"/>
      <c r="D72" s="28">
        <f>IF($C72="","",IFERROR(INDEX('Topic Plan'!$C$5:$C$115,MATCH($C72,'Topic Plan'!$B$5:$B$115,0)),"UNKNOWN TOPIC ID"))</f>
        <v/>
      </c>
      <c r="E72" s="28">
        <f>IF($C72="","",IFERROR(INDEX('Topic Plan'!$D$5:$D$115,MATCH($C72,'Topic Plan'!$B$5:$B$115,0)),""))</f>
        <v/>
      </c>
      <c r="F72" s="28">
        <f>IF($C72="","",IFERROR(INDEX('Topic Plan'!$E$5:$E$115,MATCH($C72,'Topic Plan'!$B$5:$B$115,0)),""))</f>
        <v/>
      </c>
      <c r="G72" s="23" t="n"/>
      <c r="H72" s="27" t="n"/>
      <c r="I72" s="27" t="n"/>
      <c r="J72" s="27" t="n"/>
      <c r="K72" s="27" t="n"/>
      <c r="L72" s="27" t="n"/>
      <c r="M72" s="27" t="n"/>
      <c r="N72" s="23" t="n"/>
      <c r="O72" s="29" t="n"/>
      <c r="P72" s="29" t="n"/>
      <c r="Q72" s="29" t="n"/>
      <c r="R72" s="29" t="n"/>
      <c r="S72" s="29" t="n"/>
      <c r="T72" s="29" t="n"/>
      <c r="U72" s="29" t="n"/>
      <c r="V72" s="30">
        <f>IF(OR($A72="",$U72=""),"",IF($S72&lt;&gt;"",MAX(0,$S72-$U72),MAX(0,TODAY()-$U72)))</f>
        <v/>
      </c>
      <c r="W72" s="30">
        <f>IF($A72="","",IF(OR($N72="Live",$N72="Retired"),"",TODAY()-MAX($O72,$P72,$Q72,$R72)))</f>
        <v/>
      </c>
      <c r="X72" s="23" t="n"/>
      <c r="Y72" s="30">
        <f>IF($A72="","",COUNTIFS('Issues Log'!$C$5:$C$504,$A72,'Issues Log'!$K$5:$K$504,"Open")+COUNTIFS('Issues Log'!$C$5:$C$504,$A72,'Issues Log'!$K$5:$K$504,"In progress"))</f>
        <v/>
      </c>
      <c r="Z72" s="27" t="n"/>
    </row>
    <row r="73">
      <c r="A73" s="27" t="n"/>
      <c r="B73" s="27" t="n"/>
      <c r="C73" s="27" t="n"/>
      <c r="D73" s="28">
        <f>IF($C73="","",IFERROR(INDEX('Topic Plan'!$C$5:$C$115,MATCH($C73,'Topic Plan'!$B$5:$B$115,0)),"UNKNOWN TOPIC ID"))</f>
        <v/>
      </c>
      <c r="E73" s="28">
        <f>IF($C73="","",IFERROR(INDEX('Topic Plan'!$D$5:$D$115,MATCH($C73,'Topic Plan'!$B$5:$B$115,0)),""))</f>
        <v/>
      </c>
      <c r="F73" s="28">
        <f>IF($C73="","",IFERROR(INDEX('Topic Plan'!$E$5:$E$115,MATCH($C73,'Topic Plan'!$B$5:$B$115,0)),""))</f>
        <v/>
      </c>
      <c r="G73" s="23" t="n"/>
      <c r="H73" s="27" t="n"/>
      <c r="I73" s="27" t="n"/>
      <c r="J73" s="27" t="n"/>
      <c r="K73" s="27" t="n"/>
      <c r="L73" s="27" t="n"/>
      <c r="M73" s="27" t="n"/>
      <c r="N73" s="23" t="n"/>
      <c r="O73" s="29" t="n"/>
      <c r="P73" s="29" t="n"/>
      <c r="Q73" s="29" t="n"/>
      <c r="R73" s="29" t="n"/>
      <c r="S73" s="29" t="n"/>
      <c r="T73" s="29" t="n"/>
      <c r="U73" s="29" t="n"/>
      <c r="V73" s="30">
        <f>IF(OR($A73="",$U73=""),"",IF($S73&lt;&gt;"",MAX(0,$S73-$U73),MAX(0,TODAY()-$U73)))</f>
        <v/>
      </c>
      <c r="W73" s="30">
        <f>IF($A73="","",IF(OR($N73="Live",$N73="Retired"),"",TODAY()-MAX($O73,$P73,$Q73,$R73)))</f>
        <v/>
      </c>
      <c r="X73" s="23" t="n"/>
      <c r="Y73" s="30">
        <f>IF($A73="","",COUNTIFS('Issues Log'!$C$5:$C$504,$A73,'Issues Log'!$K$5:$K$504,"Open")+COUNTIFS('Issues Log'!$C$5:$C$504,$A73,'Issues Log'!$K$5:$K$504,"In progress"))</f>
        <v/>
      </c>
      <c r="Z73" s="27" t="n"/>
    </row>
    <row r="74">
      <c r="A74" s="27" t="n"/>
      <c r="B74" s="27" t="n"/>
      <c r="C74" s="27" t="n"/>
      <c r="D74" s="28">
        <f>IF($C74="","",IFERROR(INDEX('Topic Plan'!$C$5:$C$115,MATCH($C74,'Topic Plan'!$B$5:$B$115,0)),"UNKNOWN TOPIC ID"))</f>
        <v/>
      </c>
      <c r="E74" s="28">
        <f>IF($C74="","",IFERROR(INDEX('Topic Plan'!$D$5:$D$115,MATCH($C74,'Topic Plan'!$B$5:$B$115,0)),""))</f>
        <v/>
      </c>
      <c r="F74" s="28">
        <f>IF($C74="","",IFERROR(INDEX('Topic Plan'!$E$5:$E$115,MATCH($C74,'Topic Plan'!$B$5:$B$115,0)),""))</f>
        <v/>
      </c>
      <c r="G74" s="23" t="n"/>
      <c r="H74" s="27" t="n"/>
      <c r="I74" s="27" t="n"/>
      <c r="J74" s="27" t="n"/>
      <c r="K74" s="27" t="n"/>
      <c r="L74" s="27" t="n"/>
      <c r="M74" s="27" t="n"/>
      <c r="N74" s="23" t="n"/>
      <c r="O74" s="29" t="n"/>
      <c r="P74" s="29" t="n"/>
      <c r="Q74" s="29" t="n"/>
      <c r="R74" s="29" t="n"/>
      <c r="S74" s="29" t="n"/>
      <c r="T74" s="29" t="n"/>
      <c r="U74" s="29" t="n"/>
      <c r="V74" s="30">
        <f>IF(OR($A74="",$U74=""),"",IF($S74&lt;&gt;"",MAX(0,$S74-$U74),MAX(0,TODAY()-$U74)))</f>
        <v/>
      </c>
      <c r="W74" s="30">
        <f>IF($A74="","",IF(OR($N74="Live",$N74="Retired"),"",TODAY()-MAX($O74,$P74,$Q74,$R74)))</f>
        <v/>
      </c>
      <c r="X74" s="23" t="n"/>
      <c r="Y74" s="30">
        <f>IF($A74="","",COUNTIFS('Issues Log'!$C$5:$C$504,$A74,'Issues Log'!$K$5:$K$504,"Open")+COUNTIFS('Issues Log'!$C$5:$C$504,$A74,'Issues Log'!$K$5:$K$504,"In progress"))</f>
        <v/>
      </c>
      <c r="Z74" s="27" t="n"/>
    </row>
    <row r="75">
      <c r="A75" s="27" t="n"/>
      <c r="B75" s="27" t="n"/>
      <c r="C75" s="27" t="n"/>
      <c r="D75" s="28">
        <f>IF($C75="","",IFERROR(INDEX('Topic Plan'!$C$5:$C$115,MATCH($C75,'Topic Plan'!$B$5:$B$115,0)),"UNKNOWN TOPIC ID"))</f>
        <v/>
      </c>
      <c r="E75" s="28">
        <f>IF($C75="","",IFERROR(INDEX('Topic Plan'!$D$5:$D$115,MATCH($C75,'Topic Plan'!$B$5:$B$115,0)),""))</f>
        <v/>
      </c>
      <c r="F75" s="28">
        <f>IF($C75="","",IFERROR(INDEX('Topic Plan'!$E$5:$E$115,MATCH($C75,'Topic Plan'!$B$5:$B$115,0)),""))</f>
        <v/>
      </c>
      <c r="G75" s="23" t="n"/>
      <c r="H75" s="27" t="n"/>
      <c r="I75" s="27" t="n"/>
      <c r="J75" s="27" t="n"/>
      <c r="K75" s="27" t="n"/>
      <c r="L75" s="27" t="n"/>
      <c r="M75" s="27" t="n"/>
      <c r="N75" s="23" t="n"/>
      <c r="O75" s="29" t="n"/>
      <c r="P75" s="29" t="n"/>
      <c r="Q75" s="29" t="n"/>
      <c r="R75" s="29" t="n"/>
      <c r="S75" s="29" t="n"/>
      <c r="T75" s="29" t="n"/>
      <c r="U75" s="29" t="n"/>
      <c r="V75" s="30">
        <f>IF(OR($A75="",$U75=""),"",IF($S75&lt;&gt;"",MAX(0,$S75-$U75),MAX(0,TODAY()-$U75)))</f>
        <v/>
      </c>
      <c r="W75" s="30">
        <f>IF($A75="","",IF(OR($N75="Live",$N75="Retired"),"",TODAY()-MAX($O75,$P75,$Q75,$R75)))</f>
        <v/>
      </c>
      <c r="X75" s="23" t="n"/>
      <c r="Y75" s="30">
        <f>IF($A75="","",COUNTIFS('Issues Log'!$C$5:$C$504,$A75,'Issues Log'!$K$5:$K$504,"Open")+COUNTIFS('Issues Log'!$C$5:$C$504,$A75,'Issues Log'!$K$5:$K$504,"In progress"))</f>
        <v/>
      </c>
      <c r="Z75" s="27" t="n"/>
    </row>
    <row r="76">
      <c r="A76" s="27" t="n"/>
      <c r="B76" s="27" t="n"/>
      <c r="C76" s="27" t="n"/>
      <c r="D76" s="28">
        <f>IF($C76="","",IFERROR(INDEX('Topic Plan'!$C$5:$C$115,MATCH($C76,'Topic Plan'!$B$5:$B$115,0)),"UNKNOWN TOPIC ID"))</f>
        <v/>
      </c>
      <c r="E76" s="28">
        <f>IF($C76="","",IFERROR(INDEX('Topic Plan'!$D$5:$D$115,MATCH($C76,'Topic Plan'!$B$5:$B$115,0)),""))</f>
        <v/>
      </c>
      <c r="F76" s="28">
        <f>IF($C76="","",IFERROR(INDEX('Topic Plan'!$E$5:$E$115,MATCH($C76,'Topic Plan'!$B$5:$B$115,0)),""))</f>
        <v/>
      </c>
      <c r="G76" s="23" t="n"/>
      <c r="H76" s="27" t="n"/>
      <c r="I76" s="27" t="n"/>
      <c r="J76" s="27" t="n"/>
      <c r="K76" s="27" t="n"/>
      <c r="L76" s="27" t="n"/>
      <c r="M76" s="27" t="n"/>
      <c r="N76" s="23" t="n"/>
      <c r="O76" s="29" t="n"/>
      <c r="P76" s="29" t="n"/>
      <c r="Q76" s="29" t="n"/>
      <c r="R76" s="29" t="n"/>
      <c r="S76" s="29" t="n"/>
      <c r="T76" s="29" t="n"/>
      <c r="U76" s="29" t="n"/>
      <c r="V76" s="30">
        <f>IF(OR($A76="",$U76=""),"",IF($S76&lt;&gt;"",MAX(0,$S76-$U76),MAX(0,TODAY()-$U76)))</f>
        <v/>
      </c>
      <c r="W76" s="30">
        <f>IF($A76="","",IF(OR($N76="Live",$N76="Retired"),"",TODAY()-MAX($O76,$P76,$Q76,$R76)))</f>
        <v/>
      </c>
      <c r="X76" s="23" t="n"/>
      <c r="Y76" s="30">
        <f>IF($A76="","",COUNTIFS('Issues Log'!$C$5:$C$504,$A76,'Issues Log'!$K$5:$K$504,"Open")+COUNTIFS('Issues Log'!$C$5:$C$504,$A76,'Issues Log'!$K$5:$K$504,"In progress"))</f>
        <v/>
      </c>
      <c r="Z76" s="27" t="n"/>
    </row>
    <row r="77">
      <c r="A77" s="27" t="n"/>
      <c r="B77" s="27" t="n"/>
      <c r="C77" s="27" t="n"/>
      <c r="D77" s="28">
        <f>IF($C77="","",IFERROR(INDEX('Topic Plan'!$C$5:$C$115,MATCH($C77,'Topic Plan'!$B$5:$B$115,0)),"UNKNOWN TOPIC ID"))</f>
        <v/>
      </c>
      <c r="E77" s="28">
        <f>IF($C77="","",IFERROR(INDEX('Topic Plan'!$D$5:$D$115,MATCH($C77,'Topic Plan'!$B$5:$B$115,0)),""))</f>
        <v/>
      </c>
      <c r="F77" s="28">
        <f>IF($C77="","",IFERROR(INDEX('Topic Plan'!$E$5:$E$115,MATCH($C77,'Topic Plan'!$B$5:$B$115,0)),""))</f>
        <v/>
      </c>
      <c r="G77" s="23" t="n"/>
      <c r="H77" s="27" t="n"/>
      <c r="I77" s="27" t="n"/>
      <c r="J77" s="27" t="n"/>
      <c r="K77" s="27" t="n"/>
      <c r="L77" s="27" t="n"/>
      <c r="M77" s="27" t="n"/>
      <c r="N77" s="23" t="n"/>
      <c r="O77" s="29" t="n"/>
      <c r="P77" s="29" t="n"/>
      <c r="Q77" s="29" t="n"/>
      <c r="R77" s="29" t="n"/>
      <c r="S77" s="29" t="n"/>
      <c r="T77" s="29" t="n"/>
      <c r="U77" s="29" t="n"/>
      <c r="V77" s="30">
        <f>IF(OR($A77="",$U77=""),"",IF($S77&lt;&gt;"",MAX(0,$S77-$U77),MAX(0,TODAY()-$U77)))</f>
        <v/>
      </c>
      <c r="W77" s="30">
        <f>IF($A77="","",IF(OR($N77="Live",$N77="Retired"),"",TODAY()-MAX($O77,$P77,$Q77,$R77)))</f>
        <v/>
      </c>
      <c r="X77" s="23" t="n"/>
      <c r="Y77" s="30">
        <f>IF($A77="","",COUNTIFS('Issues Log'!$C$5:$C$504,$A77,'Issues Log'!$K$5:$K$504,"Open")+COUNTIFS('Issues Log'!$C$5:$C$504,$A77,'Issues Log'!$K$5:$K$504,"In progress"))</f>
        <v/>
      </c>
      <c r="Z77" s="27" t="n"/>
    </row>
    <row r="78">
      <c r="A78" s="27" t="n"/>
      <c r="B78" s="27" t="n"/>
      <c r="C78" s="27" t="n"/>
      <c r="D78" s="28">
        <f>IF($C78="","",IFERROR(INDEX('Topic Plan'!$C$5:$C$115,MATCH($C78,'Topic Plan'!$B$5:$B$115,0)),"UNKNOWN TOPIC ID"))</f>
        <v/>
      </c>
      <c r="E78" s="28">
        <f>IF($C78="","",IFERROR(INDEX('Topic Plan'!$D$5:$D$115,MATCH($C78,'Topic Plan'!$B$5:$B$115,0)),""))</f>
        <v/>
      </c>
      <c r="F78" s="28">
        <f>IF($C78="","",IFERROR(INDEX('Topic Plan'!$E$5:$E$115,MATCH($C78,'Topic Plan'!$B$5:$B$115,0)),""))</f>
        <v/>
      </c>
      <c r="G78" s="23" t="n"/>
      <c r="H78" s="27" t="n"/>
      <c r="I78" s="27" t="n"/>
      <c r="J78" s="27" t="n"/>
      <c r="K78" s="27" t="n"/>
      <c r="L78" s="27" t="n"/>
      <c r="M78" s="27" t="n"/>
      <c r="N78" s="23" t="n"/>
      <c r="O78" s="29" t="n"/>
      <c r="P78" s="29" t="n"/>
      <c r="Q78" s="29" t="n"/>
      <c r="R78" s="29" t="n"/>
      <c r="S78" s="29" t="n"/>
      <c r="T78" s="29" t="n"/>
      <c r="U78" s="29" t="n"/>
      <c r="V78" s="30">
        <f>IF(OR($A78="",$U78=""),"",IF($S78&lt;&gt;"",MAX(0,$S78-$U78),MAX(0,TODAY()-$U78)))</f>
        <v/>
      </c>
      <c r="W78" s="30">
        <f>IF($A78="","",IF(OR($N78="Live",$N78="Retired"),"",TODAY()-MAX($O78,$P78,$Q78,$R78)))</f>
        <v/>
      </c>
      <c r="X78" s="23" t="n"/>
      <c r="Y78" s="30">
        <f>IF($A78="","",COUNTIFS('Issues Log'!$C$5:$C$504,$A78,'Issues Log'!$K$5:$K$504,"Open")+COUNTIFS('Issues Log'!$C$5:$C$504,$A78,'Issues Log'!$K$5:$K$504,"In progress"))</f>
        <v/>
      </c>
      <c r="Z78" s="27" t="n"/>
    </row>
    <row r="79">
      <c r="A79" s="27" t="n"/>
      <c r="B79" s="27" t="n"/>
      <c r="C79" s="27" t="n"/>
      <c r="D79" s="28">
        <f>IF($C79="","",IFERROR(INDEX('Topic Plan'!$C$5:$C$115,MATCH($C79,'Topic Plan'!$B$5:$B$115,0)),"UNKNOWN TOPIC ID"))</f>
        <v/>
      </c>
      <c r="E79" s="28">
        <f>IF($C79="","",IFERROR(INDEX('Topic Plan'!$D$5:$D$115,MATCH($C79,'Topic Plan'!$B$5:$B$115,0)),""))</f>
        <v/>
      </c>
      <c r="F79" s="28">
        <f>IF($C79="","",IFERROR(INDEX('Topic Plan'!$E$5:$E$115,MATCH($C79,'Topic Plan'!$B$5:$B$115,0)),""))</f>
        <v/>
      </c>
      <c r="G79" s="23" t="n"/>
      <c r="H79" s="27" t="n"/>
      <c r="I79" s="27" t="n"/>
      <c r="J79" s="27" t="n"/>
      <c r="K79" s="27" t="n"/>
      <c r="L79" s="27" t="n"/>
      <c r="M79" s="27" t="n"/>
      <c r="N79" s="23" t="n"/>
      <c r="O79" s="29" t="n"/>
      <c r="P79" s="29" t="n"/>
      <c r="Q79" s="29" t="n"/>
      <c r="R79" s="29" t="n"/>
      <c r="S79" s="29" t="n"/>
      <c r="T79" s="29" t="n"/>
      <c r="U79" s="29" t="n"/>
      <c r="V79" s="30">
        <f>IF(OR($A79="",$U79=""),"",IF($S79&lt;&gt;"",MAX(0,$S79-$U79),MAX(0,TODAY()-$U79)))</f>
        <v/>
      </c>
      <c r="W79" s="30">
        <f>IF($A79="","",IF(OR($N79="Live",$N79="Retired"),"",TODAY()-MAX($O79,$P79,$Q79,$R79)))</f>
        <v/>
      </c>
      <c r="X79" s="23" t="n"/>
      <c r="Y79" s="30">
        <f>IF($A79="","",COUNTIFS('Issues Log'!$C$5:$C$504,$A79,'Issues Log'!$K$5:$K$504,"Open")+COUNTIFS('Issues Log'!$C$5:$C$504,$A79,'Issues Log'!$K$5:$K$504,"In progress"))</f>
        <v/>
      </c>
      <c r="Z79" s="27" t="n"/>
    </row>
    <row r="80">
      <c r="A80" s="27" t="n"/>
      <c r="B80" s="27" t="n"/>
      <c r="C80" s="27" t="n"/>
      <c r="D80" s="28">
        <f>IF($C80="","",IFERROR(INDEX('Topic Plan'!$C$5:$C$115,MATCH($C80,'Topic Plan'!$B$5:$B$115,0)),"UNKNOWN TOPIC ID"))</f>
        <v/>
      </c>
      <c r="E80" s="28">
        <f>IF($C80="","",IFERROR(INDEX('Topic Plan'!$D$5:$D$115,MATCH($C80,'Topic Plan'!$B$5:$B$115,0)),""))</f>
        <v/>
      </c>
      <c r="F80" s="28">
        <f>IF($C80="","",IFERROR(INDEX('Topic Plan'!$E$5:$E$115,MATCH($C80,'Topic Plan'!$B$5:$B$115,0)),""))</f>
        <v/>
      </c>
      <c r="G80" s="23" t="n"/>
      <c r="H80" s="27" t="n"/>
      <c r="I80" s="27" t="n"/>
      <c r="J80" s="27" t="n"/>
      <c r="K80" s="27" t="n"/>
      <c r="L80" s="27" t="n"/>
      <c r="M80" s="27" t="n"/>
      <c r="N80" s="23" t="n"/>
      <c r="O80" s="29" t="n"/>
      <c r="P80" s="29" t="n"/>
      <c r="Q80" s="29" t="n"/>
      <c r="R80" s="29" t="n"/>
      <c r="S80" s="29" t="n"/>
      <c r="T80" s="29" t="n"/>
      <c r="U80" s="29" t="n"/>
      <c r="V80" s="30">
        <f>IF(OR($A80="",$U80=""),"",IF($S80&lt;&gt;"",MAX(0,$S80-$U80),MAX(0,TODAY()-$U80)))</f>
        <v/>
      </c>
      <c r="W80" s="30">
        <f>IF($A80="","",IF(OR($N80="Live",$N80="Retired"),"",TODAY()-MAX($O80,$P80,$Q80,$R80)))</f>
        <v/>
      </c>
      <c r="X80" s="23" t="n"/>
      <c r="Y80" s="30">
        <f>IF($A80="","",COUNTIFS('Issues Log'!$C$5:$C$504,$A80,'Issues Log'!$K$5:$K$504,"Open")+COUNTIFS('Issues Log'!$C$5:$C$504,$A80,'Issues Log'!$K$5:$K$504,"In progress"))</f>
        <v/>
      </c>
      <c r="Z80" s="27" t="n"/>
    </row>
    <row r="81">
      <c r="A81" s="27" t="n"/>
      <c r="B81" s="27" t="n"/>
      <c r="C81" s="27" t="n"/>
      <c r="D81" s="28">
        <f>IF($C81="","",IFERROR(INDEX('Topic Plan'!$C$5:$C$115,MATCH($C81,'Topic Plan'!$B$5:$B$115,0)),"UNKNOWN TOPIC ID"))</f>
        <v/>
      </c>
      <c r="E81" s="28">
        <f>IF($C81="","",IFERROR(INDEX('Topic Plan'!$D$5:$D$115,MATCH($C81,'Topic Plan'!$B$5:$B$115,0)),""))</f>
        <v/>
      </c>
      <c r="F81" s="28">
        <f>IF($C81="","",IFERROR(INDEX('Topic Plan'!$E$5:$E$115,MATCH($C81,'Topic Plan'!$B$5:$B$115,0)),""))</f>
        <v/>
      </c>
      <c r="G81" s="23" t="n"/>
      <c r="H81" s="27" t="n"/>
      <c r="I81" s="27" t="n"/>
      <c r="J81" s="27" t="n"/>
      <c r="K81" s="27" t="n"/>
      <c r="L81" s="27" t="n"/>
      <c r="M81" s="27" t="n"/>
      <c r="N81" s="23" t="n"/>
      <c r="O81" s="29" t="n"/>
      <c r="P81" s="29" t="n"/>
      <c r="Q81" s="29" t="n"/>
      <c r="R81" s="29" t="n"/>
      <c r="S81" s="29" t="n"/>
      <c r="T81" s="29" t="n"/>
      <c r="U81" s="29" t="n"/>
      <c r="V81" s="30">
        <f>IF(OR($A81="",$U81=""),"",IF($S81&lt;&gt;"",MAX(0,$S81-$U81),MAX(0,TODAY()-$U81)))</f>
        <v/>
      </c>
      <c r="W81" s="30">
        <f>IF($A81="","",IF(OR($N81="Live",$N81="Retired"),"",TODAY()-MAX($O81,$P81,$Q81,$R81)))</f>
        <v/>
      </c>
      <c r="X81" s="23" t="n"/>
      <c r="Y81" s="30">
        <f>IF($A81="","",COUNTIFS('Issues Log'!$C$5:$C$504,$A81,'Issues Log'!$K$5:$K$504,"Open")+COUNTIFS('Issues Log'!$C$5:$C$504,$A81,'Issues Log'!$K$5:$K$504,"In progress"))</f>
        <v/>
      </c>
      <c r="Z81" s="27" t="n"/>
    </row>
    <row r="82">
      <c r="A82" s="27" t="n"/>
      <c r="B82" s="27" t="n"/>
      <c r="C82" s="27" t="n"/>
      <c r="D82" s="28">
        <f>IF($C82="","",IFERROR(INDEX('Topic Plan'!$C$5:$C$115,MATCH($C82,'Topic Plan'!$B$5:$B$115,0)),"UNKNOWN TOPIC ID"))</f>
        <v/>
      </c>
      <c r="E82" s="28">
        <f>IF($C82="","",IFERROR(INDEX('Topic Plan'!$D$5:$D$115,MATCH($C82,'Topic Plan'!$B$5:$B$115,0)),""))</f>
        <v/>
      </c>
      <c r="F82" s="28">
        <f>IF($C82="","",IFERROR(INDEX('Topic Plan'!$E$5:$E$115,MATCH($C82,'Topic Plan'!$B$5:$B$115,0)),""))</f>
        <v/>
      </c>
      <c r="G82" s="23" t="n"/>
      <c r="H82" s="27" t="n"/>
      <c r="I82" s="27" t="n"/>
      <c r="J82" s="27" t="n"/>
      <c r="K82" s="27" t="n"/>
      <c r="L82" s="27" t="n"/>
      <c r="M82" s="27" t="n"/>
      <c r="N82" s="23" t="n"/>
      <c r="O82" s="29" t="n"/>
      <c r="P82" s="29" t="n"/>
      <c r="Q82" s="29" t="n"/>
      <c r="R82" s="29" t="n"/>
      <c r="S82" s="29" t="n"/>
      <c r="T82" s="29" t="n"/>
      <c r="U82" s="29" t="n"/>
      <c r="V82" s="30">
        <f>IF(OR($A82="",$U82=""),"",IF($S82&lt;&gt;"",MAX(0,$S82-$U82),MAX(0,TODAY()-$U82)))</f>
        <v/>
      </c>
      <c r="W82" s="30">
        <f>IF($A82="","",IF(OR($N82="Live",$N82="Retired"),"",TODAY()-MAX($O82,$P82,$Q82,$R82)))</f>
        <v/>
      </c>
      <c r="X82" s="23" t="n"/>
      <c r="Y82" s="30">
        <f>IF($A82="","",COUNTIFS('Issues Log'!$C$5:$C$504,$A82,'Issues Log'!$K$5:$K$504,"Open")+COUNTIFS('Issues Log'!$C$5:$C$504,$A82,'Issues Log'!$K$5:$K$504,"In progress"))</f>
        <v/>
      </c>
      <c r="Z82" s="27" t="n"/>
    </row>
    <row r="83">
      <c r="A83" s="27" t="n"/>
      <c r="B83" s="27" t="n"/>
      <c r="C83" s="27" t="n"/>
      <c r="D83" s="28">
        <f>IF($C83="","",IFERROR(INDEX('Topic Plan'!$C$5:$C$115,MATCH($C83,'Topic Plan'!$B$5:$B$115,0)),"UNKNOWN TOPIC ID"))</f>
        <v/>
      </c>
      <c r="E83" s="28">
        <f>IF($C83="","",IFERROR(INDEX('Topic Plan'!$D$5:$D$115,MATCH($C83,'Topic Plan'!$B$5:$B$115,0)),""))</f>
        <v/>
      </c>
      <c r="F83" s="28">
        <f>IF($C83="","",IFERROR(INDEX('Topic Plan'!$E$5:$E$115,MATCH($C83,'Topic Plan'!$B$5:$B$115,0)),""))</f>
        <v/>
      </c>
      <c r="G83" s="23" t="n"/>
      <c r="H83" s="27" t="n"/>
      <c r="I83" s="27" t="n"/>
      <c r="J83" s="27" t="n"/>
      <c r="K83" s="27" t="n"/>
      <c r="L83" s="27" t="n"/>
      <c r="M83" s="27" t="n"/>
      <c r="N83" s="23" t="n"/>
      <c r="O83" s="29" t="n"/>
      <c r="P83" s="29" t="n"/>
      <c r="Q83" s="29" t="n"/>
      <c r="R83" s="29" t="n"/>
      <c r="S83" s="29" t="n"/>
      <c r="T83" s="29" t="n"/>
      <c r="U83" s="29" t="n"/>
      <c r="V83" s="30">
        <f>IF(OR($A83="",$U83=""),"",IF($S83&lt;&gt;"",MAX(0,$S83-$U83),MAX(0,TODAY()-$U83)))</f>
        <v/>
      </c>
      <c r="W83" s="30">
        <f>IF($A83="","",IF(OR($N83="Live",$N83="Retired"),"",TODAY()-MAX($O83,$P83,$Q83,$R83)))</f>
        <v/>
      </c>
      <c r="X83" s="23" t="n"/>
      <c r="Y83" s="30">
        <f>IF($A83="","",COUNTIFS('Issues Log'!$C$5:$C$504,$A83,'Issues Log'!$K$5:$K$504,"Open")+COUNTIFS('Issues Log'!$C$5:$C$504,$A83,'Issues Log'!$K$5:$K$504,"In progress"))</f>
        <v/>
      </c>
      <c r="Z83" s="27" t="n"/>
    </row>
    <row r="84">
      <c r="A84" s="27" t="n"/>
      <c r="B84" s="27" t="n"/>
      <c r="C84" s="27" t="n"/>
      <c r="D84" s="28">
        <f>IF($C84="","",IFERROR(INDEX('Topic Plan'!$C$5:$C$115,MATCH($C84,'Topic Plan'!$B$5:$B$115,0)),"UNKNOWN TOPIC ID"))</f>
        <v/>
      </c>
      <c r="E84" s="28">
        <f>IF($C84="","",IFERROR(INDEX('Topic Plan'!$D$5:$D$115,MATCH($C84,'Topic Plan'!$B$5:$B$115,0)),""))</f>
        <v/>
      </c>
      <c r="F84" s="28">
        <f>IF($C84="","",IFERROR(INDEX('Topic Plan'!$E$5:$E$115,MATCH($C84,'Topic Plan'!$B$5:$B$115,0)),""))</f>
        <v/>
      </c>
      <c r="G84" s="23" t="n"/>
      <c r="H84" s="27" t="n"/>
      <c r="I84" s="27" t="n"/>
      <c r="J84" s="27" t="n"/>
      <c r="K84" s="27" t="n"/>
      <c r="L84" s="27" t="n"/>
      <c r="M84" s="27" t="n"/>
      <c r="N84" s="23" t="n"/>
      <c r="O84" s="29" t="n"/>
      <c r="P84" s="29" t="n"/>
      <c r="Q84" s="29" t="n"/>
      <c r="R84" s="29" t="n"/>
      <c r="S84" s="29" t="n"/>
      <c r="T84" s="29" t="n"/>
      <c r="U84" s="29" t="n"/>
      <c r="V84" s="30">
        <f>IF(OR($A84="",$U84=""),"",IF($S84&lt;&gt;"",MAX(0,$S84-$U84),MAX(0,TODAY()-$U84)))</f>
        <v/>
      </c>
      <c r="W84" s="30">
        <f>IF($A84="","",IF(OR($N84="Live",$N84="Retired"),"",TODAY()-MAX($O84,$P84,$Q84,$R84)))</f>
        <v/>
      </c>
      <c r="X84" s="23" t="n"/>
      <c r="Y84" s="30">
        <f>IF($A84="","",COUNTIFS('Issues Log'!$C$5:$C$504,$A84,'Issues Log'!$K$5:$K$504,"Open")+COUNTIFS('Issues Log'!$C$5:$C$504,$A84,'Issues Log'!$K$5:$K$504,"In progress"))</f>
        <v/>
      </c>
      <c r="Z84" s="27" t="n"/>
    </row>
    <row r="85">
      <c r="A85" s="27" t="n"/>
      <c r="B85" s="27" t="n"/>
      <c r="C85" s="27" t="n"/>
      <c r="D85" s="28">
        <f>IF($C85="","",IFERROR(INDEX('Topic Plan'!$C$5:$C$115,MATCH($C85,'Topic Plan'!$B$5:$B$115,0)),"UNKNOWN TOPIC ID"))</f>
        <v/>
      </c>
      <c r="E85" s="28">
        <f>IF($C85="","",IFERROR(INDEX('Topic Plan'!$D$5:$D$115,MATCH($C85,'Topic Plan'!$B$5:$B$115,0)),""))</f>
        <v/>
      </c>
      <c r="F85" s="28">
        <f>IF($C85="","",IFERROR(INDEX('Topic Plan'!$E$5:$E$115,MATCH($C85,'Topic Plan'!$B$5:$B$115,0)),""))</f>
        <v/>
      </c>
      <c r="G85" s="23" t="n"/>
      <c r="H85" s="27" t="n"/>
      <c r="I85" s="27" t="n"/>
      <c r="J85" s="27" t="n"/>
      <c r="K85" s="27" t="n"/>
      <c r="L85" s="27" t="n"/>
      <c r="M85" s="27" t="n"/>
      <c r="N85" s="23" t="n"/>
      <c r="O85" s="29" t="n"/>
      <c r="P85" s="29" t="n"/>
      <c r="Q85" s="29" t="n"/>
      <c r="R85" s="29" t="n"/>
      <c r="S85" s="29" t="n"/>
      <c r="T85" s="29" t="n"/>
      <c r="U85" s="29" t="n"/>
      <c r="V85" s="30">
        <f>IF(OR($A85="",$U85=""),"",IF($S85&lt;&gt;"",MAX(0,$S85-$U85),MAX(0,TODAY()-$U85)))</f>
        <v/>
      </c>
      <c r="W85" s="30">
        <f>IF($A85="","",IF(OR($N85="Live",$N85="Retired"),"",TODAY()-MAX($O85,$P85,$Q85,$R85)))</f>
        <v/>
      </c>
      <c r="X85" s="23" t="n"/>
      <c r="Y85" s="30">
        <f>IF($A85="","",COUNTIFS('Issues Log'!$C$5:$C$504,$A85,'Issues Log'!$K$5:$K$504,"Open")+COUNTIFS('Issues Log'!$C$5:$C$504,$A85,'Issues Log'!$K$5:$K$504,"In progress"))</f>
        <v/>
      </c>
      <c r="Z85" s="27" t="n"/>
    </row>
    <row r="86">
      <c r="A86" s="27" t="n"/>
      <c r="B86" s="27" t="n"/>
      <c r="C86" s="27" t="n"/>
      <c r="D86" s="28">
        <f>IF($C86="","",IFERROR(INDEX('Topic Plan'!$C$5:$C$115,MATCH($C86,'Topic Plan'!$B$5:$B$115,0)),"UNKNOWN TOPIC ID"))</f>
        <v/>
      </c>
      <c r="E86" s="28">
        <f>IF($C86="","",IFERROR(INDEX('Topic Plan'!$D$5:$D$115,MATCH($C86,'Topic Plan'!$B$5:$B$115,0)),""))</f>
        <v/>
      </c>
      <c r="F86" s="28">
        <f>IF($C86="","",IFERROR(INDEX('Topic Plan'!$E$5:$E$115,MATCH($C86,'Topic Plan'!$B$5:$B$115,0)),""))</f>
        <v/>
      </c>
      <c r="G86" s="23" t="n"/>
      <c r="H86" s="27" t="n"/>
      <c r="I86" s="27" t="n"/>
      <c r="J86" s="27" t="n"/>
      <c r="K86" s="27" t="n"/>
      <c r="L86" s="27" t="n"/>
      <c r="M86" s="27" t="n"/>
      <c r="N86" s="23" t="n"/>
      <c r="O86" s="29" t="n"/>
      <c r="P86" s="29" t="n"/>
      <c r="Q86" s="29" t="n"/>
      <c r="R86" s="29" t="n"/>
      <c r="S86" s="29" t="n"/>
      <c r="T86" s="29" t="n"/>
      <c r="U86" s="29" t="n"/>
      <c r="V86" s="30">
        <f>IF(OR($A86="",$U86=""),"",IF($S86&lt;&gt;"",MAX(0,$S86-$U86),MAX(0,TODAY()-$U86)))</f>
        <v/>
      </c>
      <c r="W86" s="30">
        <f>IF($A86="","",IF(OR($N86="Live",$N86="Retired"),"",TODAY()-MAX($O86,$P86,$Q86,$R86)))</f>
        <v/>
      </c>
      <c r="X86" s="23" t="n"/>
      <c r="Y86" s="30">
        <f>IF($A86="","",COUNTIFS('Issues Log'!$C$5:$C$504,$A86,'Issues Log'!$K$5:$K$504,"Open")+COUNTIFS('Issues Log'!$C$5:$C$504,$A86,'Issues Log'!$K$5:$K$504,"In progress"))</f>
        <v/>
      </c>
      <c r="Z86" s="27" t="n"/>
    </row>
    <row r="87">
      <c r="A87" s="27" t="n"/>
      <c r="B87" s="27" t="n"/>
      <c r="C87" s="27" t="n"/>
      <c r="D87" s="28">
        <f>IF($C87="","",IFERROR(INDEX('Topic Plan'!$C$5:$C$115,MATCH($C87,'Topic Plan'!$B$5:$B$115,0)),"UNKNOWN TOPIC ID"))</f>
        <v/>
      </c>
      <c r="E87" s="28">
        <f>IF($C87="","",IFERROR(INDEX('Topic Plan'!$D$5:$D$115,MATCH($C87,'Topic Plan'!$B$5:$B$115,0)),""))</f>
        <v/>
      </c>
      <c r="F87" s="28">
        <f>IF($C87="","",IFERROR(INDEX('Topic Plan'!$E$5:$E$115,MATCH($C87,'Topic Plan'!$B$5:$B$115,0)),""))</f>
        <v/>
      </c>
      <c r="G87" s="23" t="n"/>
      <c r="H87" s="27" t="n"/>
      <c r="I87" s="27" t="n"/>
      <c r="J87" s="27" t="n"/>
      <c r="K87" s="27" t="n"/>
      <c r="L87" s="27" t="n"/>
      <c r="M87" s="27" t="n"/>
      <c r="N87" s="23" t="n"/>
      <c r="O87" s="29" t="n"/>
      <c r="P87" s="29" t="n"/>
      <c r="Q87" s="29" t="n"/>
      <c r="R87" s="29" t="n"/>
      <c r="S87" s="29" t="n"/>
      <c r="T87" s="29" t="n"/>
      <c r="U87" s="29" t="n"/>
      <c r="V87" s="30">
        <f>IF(OR($A87="",$U87=""),"",IF($S87&lt;&gt;"",MAX(0,$S87-$U87),MAX(0,TODAY()-$U87)))</f>
        <v/>
      </c>
      <c r="W87" s="30">
        <f>IF($A87="","",IF(OR($N87="Live",$N87="Retired"),"",TODAY()-MAX($O87,$P87,$Q87,$R87)))</f>
        <v/>
      </c>
      <c r="X87" s="23" t="n"/>
      <c r="Y87" s="30">
        <f>IF($A87="","",COUNTIFS('Issues Log'!$C$5:$C$504,$A87,'Issues Log'!$K$5:$K$504,"Open")+COUNTIFS('Issues Log'!$C$5:$C$504,$A87,'Issues Log'!$K$5:$K$504,"In progress"))</f>
        <v/>
      </c>
      <c r="Z87" s="27" t="n"/>
    </row>
    <row r="88">
      <c r="A88" s="27" t="n"/>
      <c r="B88" s="27" t="n"/>
      <c r="C88" s="27" t="n"/>
      <c r="D88" s="28">
        <f>IF($C88="","",IFERROR(INDEX('Topic Plan'!$C$5:$C$115,MATCH($C88,'Topic Plan'!$B$5:$B$115,0)),"UNKNOWN TOPIC ID"))</f>
        <v/>
      </c>
      <c r="E88" s="28">
        <f>IF($C88="","",IFERROR(INDEX('Topic Plan'!$D$5:$D$115,MATCH($C88,'Topic Plan'!$B$5:$B$115,0)),""))</f>
        <v/>
      </c>
      <c r="F88" s="28">
        <f>IF($C88="","",IFERROR(INDEX('Topic Plan'!$E$5:$E$115,MATCH($C88,'Topic Plan'!$B$5:$B$115,0)),""))</f>
        <v/>
      </c>
      <c r="G88" s="23" t="n"/>
      <c r="H88" s="27" t="n"/>
      <c r="I88" s="27" t="n"/>
      <c r="J88" s="27" t="n"/>
      <c r="K88" s="27" t="n"/>
      <c r="L88" s="27" t="n"/>
      <c r="M88" s="27" t="n"/>
      <c r="N88" s="23" t="n"/>
      <c r="O88" s="29" t="n"/>
      <c r="P88" s="29" t="n"/>
      <c r="Q88" s="29" t="n"/>
      <c r="R88" s="29" t="n"/>
      <c r="S88" s="29" t="n"/>
      <c r="T88" s="29" t="n"/>
      <c r="U88" s="29" t="n"/>
      <c r="V88" s="30">
        <f>IF(OR($A88="",$U88=""),"",IF($S88&lt;&gt;"",MAX(0,$S88-$U88),MAX(0,TODAY()-$U88)))</f>
        <v/>
      </c>
      <c r="W88" s="30">
        <f>IF($A88="","",IF(OR($N88="Live",$N88="Retired"),"",TODAY()-MAX($O88,$P88,$Q88,$R88)))</f>
        <v/>
      </c>
      <c r="X88" s="23" t="n"/>
      <c r="Y88" s="30">
        <f>IF($A88="","",COUNTIFS('Issues Log'!$C$5:$C$504,$A88,'Issues Log'!$K$5:$K$504,"Open")+COUNTIFS('Issues Log'!$C$5:$C$504,$A88,'Issues Log'!$K$5:$K$504,"In progress"))</f>
        <v/>
      </c>
      <c r="Z88" s="27" t="n"/>
    </row>
    <row r="89">
      <c r="A89" s="27" t="n"/>
      <c r="B89" s="27" t="n"/>
      <c r="C89" s="27" t="n"/>
      <c r="D89" s="28">
        <f>IF($C89="","",IFERROR(INDEX('Topic Plan'!$C$5:$C$115,MATCH($C89,'Topic Plan'!$B$5:$B$115,0)),"UNKNOWN TOPIC ID"))</f>
        <v/>
      </c>
      <c r="E89" s="28">
        <f>IF($C89="","",IFERROR(INDEX('Topic Plan'!$D$5:$D$115,MATCH($C89,'Topic Plan'!$B$5:$B$115,0)),""))</f>
        <v/>
      </c>
      <c r="F89" s="28">
        <f>IF($C89="","",IFERROR(INDEX('Topic Plan'!$E$5:$E$115,MATCH($C89,'Topic Plan'!$B$5:$B$115,0)),""))</f>
        <v/>
      </c>
      <c r="G89" s="23" t="n"/>
      <c r="H89" s="27" t="n"/>
      <c r="I89" s="27" t="n"/>
      <c r="J89" s="27" t="n"/>
      <c r="K89" s="27" t="n"/>
      <c r="L89" s="27" t="n"/>
      <c r="M89" s="27" t="n"/>
      <c r="N89" s="23" t="n"/>
      <c r="O89" s="29" t="n"/>
      <c r="P89" s="29" t="n"/>
      <c r="Q89" s="29" t="n"/>
      <c r="R89" s="29" t="n"/>
      <c r="S89" s="29" t="n"/>
      <c r="T89" s="29" t="n"/>
      <c r="U89" s="29" t="n"/>
      <c r="V89" s="30">
        <f>IF(OR($A89="",$U89=""),"",IF($S89&lt;&gt;"",MAX(0,$S89-$U89),MAX(0,TODAY()-$U89)))</f>
        <v/>
      </c>
      <c r="W89" s="30">
        <f>IF($A89="","",IF(OR($N89="Live",$N89="Retired"),"",TODAY()-MAX($O89,$P89,$Q89,$R89)))</f>
        <v/>
      </c>
      <c r="X89" s="23" t="n"/>
      <c r="Y89" s="30">
        <f>IF($A89="","",COUNTIFS('Issues Log'!$C$5:$C$504,$A89,'Issues Log'!$K$5:$K$504,"Open")+COUNTIFS('Issues Log'!$C$5:$C$504,$A89,'Issues Log'!$K$5:$K$504,"In progress"))</f>
        <v/>
      </c>
      <c r="Z89" s="27" t="n"/>
    </row>
    <row r="90">
      <c r="A90" s="27" t="n"/>
      <c r="B90" s="27" t="n"/>
      <c r="C90" s="27" t="n"/>
      <c r="D90" s="28">
        <f>IF($C90="","",IFERROR(INDEX('Topic Plan'!$C$5:$C$115,MATCH($C90,'Topic Plan'!$B$5:$B$115,0)),"UNKNOWN TOPIC ID"))</f>
        <v/>
      </c>
      <c r="E90" s="28">
        <f>IF($C90="","",IFERROR(INDEX('Topic Plan'!$D$5:$D$115,MATCH($C90,'Topic Plan'!$B$5:$B$115,0)),""))</f>
        <v/>
      </c>
      <c r="F90" s="28">
        <f>IF($C90="","",IFERROR(INDEX('Topic Plan'!$E$5:$E$115,MATCH($C90,'Topic Plan'!$B$5:$B$115,0)),""))</f>
        <v/>
      </c>
      <c r="G90" s="23" t="n"/>
      <c r="H90" s="27" t="n"/>
      <c r="I90" s="27" t="n"/>
      <c r="J90" s="27" t="n"/>
      <c r="K90" s="27" t="n"/>
      <c r="L90" s="27" t="n"/>
      <c r="M90" s="27" t="n"/>
      <c r="N90" s="23" t="n"/>
      <c r="O90" s="29" t="n"/>
      <c r="P90" s="29" t="n"/>
      <c r="Q90" s="29" t="n"/>
      <c r="R90" s="29" t="n"/>
      <c r="S90" s="29" t="n"/>
      <c r="T90" s="29" t="n"/>
      <c r="U90" s="29" t="n"/>
      <c r="V90" s="30">
        <f>IF(OR($A90="",$U90=""),"",IF($S90&lt;&gt;"",MAX(0,$S90-$U90),MAX(0,TODAY()-$U90)))</f>
        <v/>
      </c>
      <c r="W90" s="30">
        <f>IF($A90="","",IF(OR($N90="Live",$N90="Retired"),"",TODAY()-MAX($O90,$P90,$Q90,$R90)))</f>
        <v/>
      </c>
      <c r="X90" s="23" t="n"/>
      <c r="Y90" s="30">
        <f>IF($A90="","",COUNTIFS('Issues Log'!$C$5:$C$504,$A90,'Issues Log'!$K$5:$K$504,"Open")+COUNTIFS('Issues Log'!$C$5:$C$504,$A90,'Issues Log'!$K$5:$K$504,"In progress"))</f>
        <v/>
      </c>
      <c r="Z90" s="27" t="n"/>
    </row>
    <row r="91">
      <c r="A91" s="27" t="n"/>
      <c r="B91" s="27" t="n"/>
      <c r="C91" s="27" t="n"/>
      <c r="D91" s="28">
        <f>IF($C91="","",IFERROR(INDEX('Topic Plan'!$C$5:$C$115,MATCH($C91,'Topic Plan'!$B$5:$B$115,0)),"UNKNOWN TOPIC ID"))</f>
        <v/>
      </c>
      <c r="E91" s="28">
        <f>IF($C91="","",IFERROR(INDEX('Topic Plan'!$D$5:$D$115,MATCH($C91,'Topic Plan'!$B$5:$B$115,0)),""))</f>
        <v/>
      </c>
      <c r="F91" s="28">
        <f>IF($C91="","",IFERROR(INDEX('Topic Plan'!$E$5:$E$115,MATCH($C91,'Topic Plan'!$B$5:$B$115,0)),""))</f>
        <v/>
      </c>
      <c r="G91" s="23" t="n"/>
      <c r="H91" s="27" t="n"/>
      <c r="I91" s="27" t="n"/>
      <c r="J91" s="27" t="n"/>
      <c r="K91" s="27" t="n"/>
      <c r="L91" s="27" t="n"/>
      <c r="M91" s="27" t="n"/>
      <c r="N91" s="23" t="n"/>
      <c r="O91" s="29" t="n"/>
      <c r="P91" s="29" t="n"/>
      <c r="Q91" s="29" t="n"/>
      <c r="R91" s="29" t="n"/>
      <c r="S91" s="29" t="n"/>
      <c r="T91" s="29" t="n"/>
      <c r="U91" s="29" t="n"/>
      <c r="V91" s="30">
        <f>IF(OR($A91="",$U91=""),"",IF($S91&lt;&gt;"",MAX(0,$S91-$U91),MAX(0,TODAY()-$U91)))</f>
        <v/>
      </c>
      <c r="W91" s="30">
        <f>IF($A91="","",IF(OR($N91="Live",$N91="Retired"),"",TODAY()-MAX($O91,$P91,$Q91,$R91)))</f>
        <v/>
      </c>
      <c r="X91" s="23" t="n"/>
      <c r="Y91" s="30">
        <f>IF($A91="","",COUNTIFS('Issues Log'!$C$5:$C$504,$A91,'Issues Log'!$K$5:$K$504,"Open")+COUNTIFS('Issues Log'!$C$5:$C$504,$A91,'Issues Log'!$K$5:$K$504,"In progress"))</f>
        <v/>
      </c>
      <c r="Z91" s="27" t="n"/>
    </row>
    <row r="92">
      <c r="A92" s="27" t="n"/>
      <c r="B92" s="27" t="n"/>
      <c r="C92" s="27" t="n"/>
      <c r="D92" s="28">
        <f>IF($C92="","",IFERROR(INDEX('Topic Plan'!$C$5:$C$115,MATCH($C92,'Topic Plan'!$B$5:$B$115,0)),"UNKNOWN TOPIC ID"))</f>
        <v/>
      </c>
      <c r="E92" s="28">
        <f>IF($C92="","",IFERROR(INDEX('Topic Plan'!$D$5:$D$115,MATCH($C92,'Topic Plan'!$B$5:$B$115,0)),""))</f>
        <v/>
      </c>
      <c r="F92" s="28">
        <f>IF($C92="","",IFERROR(INDEX('Topic Plan'!$E$5:$E$115,MATCH($C92,'Topic Plan'!$B$5:$B$115,0)),""))</f>
        <v/>
      </c>
      <c r="G92" s="23" t="n"/>
      <c r="H92" s="27" t="n"/>
      <c r="I92" s="27" t="n"/>
      <c r="J92" s="27" t="n"/>
      <c r="K92" s="27" t="n"/>
      <c r="L92" s="27" t="n"/>
      <c r="M92" s="27" t="n"/>
      <c r="N92" s="23" t="n"/>
      <c r="O92" s="29" t="n"/>
      <c r="P92" s="29" t="n"/>
      <c r="Q92" s="29" t="n"/>
      <c r="R92" s="29" t="n"/>
      <c r="S92" s="29" t="n"/>
      <c r="T92" s="29" t="n"/>
      <c r="U92" s="29" t="n"/>
      <c r="V92" s="30">
        <f>IF(OR($A92="",$U92=""),"",IF($S92&lt;&gt;"",MAX(0,$S92-$U92),MAX(0,TODAY()-$U92)))</f>
        <v/>
      </c>
      <c r="W92" s="30">
        <f>IF($A92="","",IF(OR($N92="Live",$N92="Retired"),"",TODAY()-MAX($O92,$P92,$Q92,$R92)))</f>
        <v/>
      </c>
      <c r="X92" s="23" t="n"/>
      <c r="Y92" s="30">
        <f>IF($A92="","",COUNTIFS('Issues Log'!$C$5:$C$504,$A92,'Issues Log'!$K$5:$K$504,"Open")+COUNTIFS('Issues Log'!$C$5:$C$504,$A92,'Issues Log'!$K$5:$K$504,"In progress"))</f>
        <v/>
      </c>
      <c r="Z92" s="27" t="n"/>
    </row>
    <row r="93">
      <c r="A93" s="27" t="n"/>
      <c r="B93" s="27" t="n"/>
      <c r="C93" s="27" t="n"/>
      <c r="D93" s="28">
        <f>IF($C93="","",IFERROR(INDEX('Topic Plan'!$C$5:$C$115,MATCH($C93,'Topic Plan'!$B$5:$B$115,0)),"UNKNOWN TOPIC ID"))</f>
        <v/>
      </c>
      <c r="E93" s="28">
        <f>IF($C93="","",IFERROR(INDEX('Topic Plan'!$D$5:$D$115,MATCH($C93,'Topic Plan'!$B$5:$B$115,0)),""))</f>
        <v/>
      </c>
      <c r="F93" s="28">
        <f>IF($C93="","",IFERROR(INDEX('Topic Plan'!$E$5:$E$115,MATCH($C93,'Topic Plan'!$B$5:$B$115,0)),""))</f>
        <v/>
      </c>
      <c r="G93" s="23" t="n"/>
      <c r="H93" s="27" t="n"/>
      <c r="I93" s="27" t="n"/>
      <c r="J93" s="27" t="n"/>
      <c r="K93" s="27" t="n"/>
      <c r="L93" s="27" t="n"/>
      <c r="M93" s="27" t="n"/>
      <c r="N93" s="23" t="n"/>
      <c r="O93" s="29" t="n"/>
      <c r="P93" s="29" t="n"/>
      <c r="Q93" s="29" t="n"/>
      <c r="R93" s="29" t="n"/>
      <c r="S93" s="29" t="n"/>
      <c r="T93" s="29" t="n"/>
      <c r="U93" s="29" t="n"/>
      <c r="V93" s="30">
        <f>IF(OR($A93="",$U93=""),"",IF($S93&lt;&gt;"",MAX(0,$S93-$U93),MAX(0,TODAY()-$U93)))</f>
        <v/>
      </c>
      <c r="W93" s="30">
        <f>IF($A93="","",IF(OR($N93="Live",$N93="Retired"),"",TODAY()-MAX($O93,$P93,$Q93,$R93)))</f>
        <v/>
      </c>
      <c r="X93" s="23" t="n"/>
      <c r="Y93" s="30">
        <f>IF($A93="","",COUNTIFS('Issues Log'!$C$5:$C$504,$A93,'Issues Log'!$K$5:$K$504,"Open")+COUNTIFS('Issues Log'!$C$5:$C$504,$A93,'Issues Log'!$K$5:$K$504,"In progress"))</f>
        <v/>
      </c>
      <c r="Z93" s="27" t="n"/>
    </row>
    <row r="94">
      <c r="A94" s="27" t="n"/>
      <c r="B94" s="27" t="n"/>
      <c r="C94" s="27" t="n"/>
      <c r="D94" s="28">
        <f>IF($C94="","",IFERROR(INDEX('Topic Plan'!$C$5:$C$115,MATCH($C94,'Topic Plan'!$B$5:$B$115,0)),"UNKNOWN TOPIC ID"))</f>
        <v/>
      </c>
      <c r="E94" s="28">
        <f>IF($C94="","",IFERROR(INDEX('Topic Plan'!$D$5:$D$115,MATCH($C94,'Topic Plan'!$B$5:$B$115,0)),""))</f>
        <v/>
      </c>
      <c r="F94" s="28">
        <f>IF($C94="","",IFERROR(INDEX('Topic Plan'!$E$5:$E$115,MATCH($C94,'Topic Plan'!$B$5:$B$115,0)),""))</f>
        <v/>
      </c>
      <c r="G94" s="23" t="n"/>
      <c r="H94" s="27" t="n"/>
      <c r="I94" s="27" t="n"/>
      <c r="J94" s="27" t="n"/>
      <c r="K94" s="27" t="n"/>
      <c r="L94" s="27" t="n"/>
      <c r="M94" s="27" t="n"/>
      <c r="N94" s="23" t="n"/>
      <c r="O94" s="29" t="n"/>
      <c r="P94" s="29" t="n"/>
      <c r="Q94" s="29" t="n"/>
      <c r="R94" s="29" t="n"/>
      <c r="S94" s="29" t="n"/>
      <c r="T94" s="29" t="n"/>
      <c r="U94" s="29" t="n"/>
      <c r="V94" s="30">
        <f>IF(OR($A94="",$U94=""),"",IF($S94&lt;&gt;"",MAX(0,$S94-$U94),MAX(0,TODAY()-$U94)))</f>
        <v/>
      </c>
      <c r="W94" s="30">
        <f>IF($A94="","",IF(OR($N94="Live",$N94="Retired"),"",TODAY()-MAX($O94,$P94,$Q94,$R94)))</f>
        <v/>
      </c>
      <c r="X94" s="23" t="n"/>
      <c r="Y94" s="30">
        <f>IF($A94="","",COUNTIFS('Issues Log'!$C$5:$C$504,$A94,'Issues Log'!$K$5:$K$504,"Open")+COUNTIFS('Issues Log'!$C$5:$C$504,$A94,'Issues Log'!$K$5:$K$504,"In progress"))</f>
        <v/>
      </c>
      <c r="Z94" s="27" t="n"/>
    </row>
    <row r="95">
      <c r="A95" s="27" t="n"/>
      <c r="B95" s="27" t="n"/>
      <c r="C95" s="27" t="n"/>
      <c r="D95" s="28">
        <f>IF($C95="","",IFERROR(INDEX('Topic Plan'!$C$5:$C$115,MATCH($C95,'Topic Plan'!$B$5:$B$115,0)),"UNKNOWN TOPIC ID"))</f>
        <v/>
      </c>
      <c r="E95" s="28">
        <f>IF($C95="","",IFERROR(INDEX('Topic Plan'!$D$5:$D$115,MATCH($C95,'Topic Plan'!$B$5:$B$115,0)),""))</f>
        <v/>
      </c>
      <c r="F95" s="28">
        <f>IF($C95="","",IFERROR(INDEX('Topic Plan'!$E$5:$E$115,MATCH($C95,'Topic Plan'!$B$5:$B$115,0)),""))</f>
        <v/>
      </c>
      <c r="G95" s="23" t="n"/>
      <c r="H95" s="27" t="n"/>
      <c r="I95" s="27" t="n"/>
      <c r="J95" s="27" t="n"/>
      <c r="K95" s="27" t="n"/>
      <c r="L95" s="27" t="n"/>
      <c r="M95" s="27" t="n"/>
      <c r="N95" s="23" t="n"/>
      <c r="O95" s="29" t="n"/>
      <c r="P95" s="29" t="n"/>
      <c r="Q95" s="29" t="n"/>
      <c r="R95" s="29" t="n"/>
      <c r="S95" s="29" t="n"/>
      <c r="T95" s="29" t="n"/>
      <c r="U95" s="29" t="n"/>
      <c r="V95" s="30">
        <f>IF(OR($A95="",$U95=""),"",IF($S95&lt;&gt;"",MAX(0,$S95-$U95),MAX(0,TODAY()-$U95)))</f>
        <v/>
      </c>
      <c r="W95" s="30">
        <f>IF($A95="","",IF(OR($N95="Live",$N95="Retired"),"",TODAY()-MAX($O95,$P95,$Q95,$R95)))</f>
        <v/>
      </c>
      <c r="X95" s="23" t="n"/>
      <c r="Y95" s="30">
        <f>IF($A95="","",COUNTIFS('Issues Log'!$C$5:$C$504,$A95,'Issues Log'!$K$5:$K$504,"Open")+COUNTIFS('Issues Log'!$C$5:$C$504,$A95,'Issues Log'!$K$5:$K$504,"In progress"))</f>
        <v/>
      </c>
      <c r="Z95" s="27" t="n"/>
    </row>
    <row r="96">
      <c r="A96" s="27" t="n"/>
      <c r="B96" s="27" t="n"/>
      <c r="C96" s="27" t="n"/>
      <c r="D96" s="28">
        <f>IF($C96="","",IFERROR(INDEX('Topic Plan'!$C$5:$C$115,MATCH($C96,'Topic Plan'!$B$5:$B$115,0)),"UNKNOWN TOPIC ID"))</f>
        <v/>
      </c>
      <c r="E96" s="28">
        <f>IF($C96="","",IFERROR(INDEX('Topic Plan'!$D$5:$D$115,MATCH($C96,'Topic Plan'!$B$5:$B$115,0)),""))</f>
        <v/>
      </c>
      <c r="F96" s="28">
        <f>IF($C96="","",IFERROR(INDEX('Topic Plan'!$E$5:$E$115,MATCH($C96,'Topic Plan'!$B$5:$B$115,0)),""))</f>
        <v/>
      </c>
      <c r="G96" s="23" t="n"/>
      <c r="H96" s="27" t="n"/>
      <c r="I96" s="27" t="n"/>
      <c r="J96" s="27" t="n"/>
      <c r="K96" s="27" t="n"/>
      <c r="L96" s="27" t="n"/>
      <c r="M96" s="27" t="n"/>
      <c r="N96" s="23" t="n"/>
      <c r="O96" s="29" t="n"/>
      <c r="P96" s="29" t="n"/>
      <c r="Q96" s="29" t="n"/>
      <c r="R96" s="29" t="n"/>
      <c r="S96" s="29" t="n"/>
      <c r="T96" s="29" t="n"/>
      <c r="U96" s="29" t="n"/>
      <c r="V96" s="30">
        <f>IF(OR($A96="",$U96=""),"",IF($S96&lt;&gt;"",MAX(0,$S96-$U96),MAX(0,TODAY()-$U96)))</f>
        <v/>
      </c>
      <c r="W96" s="30">
        <f>IF($A96="","",IF(OR($N96="Live",$N96="Retired"),"",TODAY()-MAX($O96,$P96,$Q96,$R96)))</f>
        <v/>
      </c>
      <c r="X96" s="23" t="n"/>
      <c r="Y96" s="30">
        <f>IF($A96="","",COUNTIFS('Issues Log'!$C$5:$C$504,$A96,'Issues Log'!$K$5:$K$504,"Open")+COUNTIFS('Issues Log'!$C$5:$C$504,$A96,'Issues Log'!$K$5:$K$504,"In progress"))</f>
        <v/>
      </c>
      <c r="Z96" s="27" t="n"/>
    </row>
    <row r="97">
      <c r="A97" s="27" t="n"/>
      <c r="B97" s="27" t="n"/>
      <c r="C97" s="27" t="n"/>
      <c r="D97" s="28">
        <f>IF($C97="","",IFERROR(INDEX('Topic Plan'!$C$5:$C$115,MATCH($C97,'Topic Plan'!$B$5:$B$115,0)),"UNKNOWN TOPIC ID"))</f>
        <v/>
      </c>
      <c r="E97" s="28">
        <f>IF($C97="","",IFERROR(INDEX('Topic Plan'!$D$5:$D$115,MATCH($C97,'Topic Plan'!$B$5:$B$115,0)),""))</f>
        <v/>
      </c>
      <c r="F97" s="28">
        <f>IF($C97="","",IFERROR(INDEX('Topic Plan'!$E$5:$E$115,MATCH($C97,'Topic Plan'!$B$5:$B$115,0)),""))</f>
        <v/>
      </c>
      <c r="G97" s="23" t="n"/>
      <c r="H97" s="27" t="n"/>
      <c r="I97" s="27" t="n"/>
      <c r="J97" s="27" t="n"/>
      <c r="K97" s="27" t="n"/>
      <c r="L97" s="27" t="n"/>
      <c r="M97" s="27" t="n"/>
      <c r="N97" s="23" t="n"/>
      <c r="O97" s="29" t="n"/>
      <c r="P97" s="29" t="n"/>
      <c r="Q97" s="29" t="n"/>
      <c r="R97" s="29" t="n"/>
      <c r="S97" s="29" t="n"/>
      <c r="T97" s="29" t="n"/>
      <c r="U97" s="29" t="n"/>
      <c r="V97" s="30">
        <f>IF(OR($A97="",$U97=""),"",IF($S97&lt;&gt;"",MAX(0,$S97-$U97),MAX(0,TODAY()-$U97)))</f>
        <v/>
      </c>
      <c r="W97" s="30">
        <f>IF($A97="","",IF(OR($N97="Live",$N97="Retired"),"",TODAY()-MAX($O97,$P97,$Q97,$R97)))</f>
        <v/>
      </c>
      <c r="X97" s="23" t="n"/>
      <c r="Y97" s="30">
        <f>IF($A97="","",COUNTIFS('Issues Log'!$C$5:$C$504,$A97,'Issues Log'!$K$5:$K$504,"Open")+COUNTIFS('Issues Log'!$C$5:$C$504,$A97,'Issues Log'!$K$5:$K$504,"In progress"))</f>
        <v/>
      </c>
      <c r="Z97" s="27" t="n"/>
    </row>
    <row r="98">
      <c r="A98" s="27" t="n"/>
      <c r="B98" s="27" t="n"/>
      <c r="C98" s="27" t="n"/>
      <c r="D98" s="28">
        <f>IF($C98="","",IFERROR(INDEX('Topic Plan'!$C$5:$C$115,MATCH($C98,'Topic Plan'!$B$5:$B$115,0)),"UNKNOWN TOPIC ID"))</f>
        <v/>
      </c>
      <c r="E98" s="28">
        <f>IF($C98="","",IFERROR(INDEX('Topic Plan'!$D$5:$D$115,MATCH($C98,'Topic Plan'!$B$5:$B$115,0)),""))</f>
        <v/>
      </c>
      <c r="F98" s="28">
        <f>IF($C98="","",IFERROR(INDEX('Topic Plan'!$E$5:$E$115,MATCH($C98,'Topic Plan'!$B$5:$B$115,0)),""))</f>
        <v/>
      </c>
      <c r="G98" s="23" t="n"/>
      <c r="H98" s="27" t="n"/>
      <c r="I98" s="27" t="n"/>
      <c r="J98" s="27" t="n"/>
      <c r="K98" s="27" t="n"/>
      <c r="L98" s="27" t="n"/>
      <c r="M98" s="27" t="n"/>
      <c r="N98" s="23" t="n"/>
      <c r="O98" s="29" t="n"/>
      <c r="P98" s="29" t="n"/>
      <c r="Q98" s="29" t="n"/>
      <c r="R98" s="29" t="n"/>
      <c r="S98" s="29" t="n"/>
      <c r="T98" s="29" t="n"/>
      <c r="U98" s="29" t="n"/>
      <c r="V98" s="30">
        <f>IF(OR($A98="",$U98=""),"",IF($S98&lt;&gt;"",MAX(0,$S98-$U98),MAX(0,TODAY()-$U98)))</f>
        <v/>
      </c>
      <c r="W98" s="30">
        <f>IF($A98="","",IF(OR($N98="Live",$N98="Retired"),"",TODAY()-MAX($O98,$P98,$Q98,$R98)))</f>
        <v/>
      </c>
      <c r="X98" s="23" t="n"/>
      <c r="Y98" s="30">
        <f>IF($A98="","",COUNTIFS('Issues Log'!$C$5:$C$504,$A98,'Issues Log'!$K$5:$K$504,"Open")+COUNTIFS('Issues Log'!$C$5:$C$504,$A98,'Issues Log'!$K$5:$K$504,"In progress"))</f>
        <v/>
      </c>
      <c r="Z98" s="27" t="n"/>
    </row>
    <row r="99">
      <c r="A99" s="27" t="n"/>
      <c r="B99" s="27" t="n"/>
      <c r="C99" s="27" t="n"/>
      <c r="D99" s="28">
        <f>IF($C99="","",IFERROR(INDEX('Topic Plan'!$C$5:$C$115,MATCH($C99,'Topic Plan'!$B$5:$B$115,0)),"UNKNOWN TOPIC ID"))</f>
        <v/>
      </c>
      <c r="E99" s="28">
        <f>IF($C99="","",IFERROR(INDEX('Topic Plan'!$D$5:$D$115,MATCH($C99,'Topic Plan'!$B$5:$B$115,0)),""))</f>
        <v/>
      </c>
      <c r="F99" s="28">
        <f>IF($C99="","",IFERROR(INDEX('Topic Plan'!$E$5:$E$115,MATCH($C99,'Topic Plan'!$B$5:$B$115,0)),""))</f>
        <v/>
      </c>
      <c r="G99" s="23" t="n"/>
      <c r="H99" s="27" t="n"/>
      <c r="I99" s="27" t="n"/>
      <c r="J99" s="27" t="n"/>
      <c r="K99" s="27" t="n"/>
      <c r="L99" s="27" t="n"/>
      <c r="M99" s="27" t="n"/>
      <c r="N99" s="23" t="n"/>
      <c r="O99" s="29" t="n"/>
      <c r="P99" s="29" t="n"/>
      <c r="Q99" s="29" t="n"/>
      <c r="R99" s="29" t="n"/>
      <c r="S99" s="29" t="n"/>
      <c r="T99" s="29" t="n"/>
      <c r="U99" s="29" t="n"/>
      <c r="V99" s="30">
        <f>IF(OR($A99="",$U99=""),"",IF($S99&lt;&gt;"",MAX(0,$S99-$U99),MAX(0,TODAY()-$U99)))</f>
        <v/>
      </c>
      <c r="W99" s="30">
        <f>IF($A99="","",IF(OR($N99="Live",$N99="Retired"),"",TODAY()-MAX($O99,$P99,$Q99,$R99)))</f>
        <v/>
      </c>
      <c r="X99" s="23" t="n"/>
      <c r="Y99" s="30">
        <f>IF($A99="","",COUNTIFS('Issues Log'!$C$5:$C$504,$A99,'Issues Log'!$K$5:$K$504,"Open")+COUNTIFS('Issues Log'!$C$5:$C$504,$A99,'Issues Log'!$K$5:$K$504,"In progress"))</f>
        <v/>
      </c>
      <c r="Z99" s="27" t="n"/>
    </row>
    <row r="100">
      <c r="A100" s="27" t="n"/>
      <c r="B100" s="27" t="n"/>
      <c r="C100" s="27" t="n"/>
      <c r="D100" s="28">
        <f>IF($C100="","",IFERROR(INDEX('Topic Plan'!$C$5:$C$115,MATCH($C100,'Topic Plan'!$B$5:$B$115,0)),"UNKNOWN TOPIC ID"))</f>
        <v/>
      </c>
      <c r="E100" s="28">
        <f>IF($C100="","",IFERROR(INDEX('Topic Plan'!$D$5:$D$115,MATCH($C100,'Topic Plan'!$B$5:$B$115,0)),""))</f>
        <v/>
      </c>
      <c r="F100" s="28">
        <f>IF($C100="","",IFERROR(INDEX('Topic Plan'!$E$5:$E$115,MATCH($C100,'Topic Plan'!$B$5:$B$115,0)),""))</f>
        <v/>
      </c>
      <c r="G100" s="23" t="n"/>
      <c r="H100" s="27" t="n"/>
      <c r="I100" s="27" t="n"/>
      <c r="J100" s="27" t="n"/>
      <c r="K100" s="27" t="n"/>
      <c r="L100" s="27" t="n"/>
      <c r="M100" s="27" t="n"/>
      <c r="N100" s="23" t="n"/>
      <c r="O100" s="29" t="n"/>
      <c r="P100" s="29" t="n"/>
      <c r="Q100" s="29" t="n"/>
      <c r="R100" s="29" t="n"/>
      <c r="S100" s="29" t="n"/>
      <c r="T100" s="29" t="n"/>
      <c r="U100" s="29" t="n"/>
      <c r="V100" s="30">
        <f>IF(OR($A100="",$U100=""),"",IF($S100&lt;&gt;"",MAX(0,$S100-$U100),MAX(0,TODAY()-$U100)))</f>
        <v/>
      </c>
      <c r="W100" s="30">
        <f>IF($A100="","",IF(OR($N100="Live",$N100="Retired"),"",TODAY()-MAX($O100,$P100,$Q100,$R100)))</f>
        <v/>
      </c>
      <c r="X100" s="23" t="n"/>
      <c r="Y100" s="30">
        <f>IF($A100="","",COUNTIFS('Issues Log'!$C$5:$C$504,$A100,'Issues Log'!$K$5:$K$504,"Open")+COUNTIFS('Issues Log'!$C$5:$C$504,$A100,'Issues Log'!$K$5:$K$504,"In progress"))</f>
        <v/>
      </c>
      <c r="Z100" s="27" t="n"/>
    </row>
    <row r="101">
      <c r="A101" s="27" t="n"/>
      <c r="B101" s="27" t="n"/>
      <c r="C101" s="27" t="n"/>
      <c r="D101" s="28">
        <f>IF($C101="","",IFERROR(INDEX('Topic Plan'!$C$5:$C$115,MATCH($C101,'Topic Plan'!$B$5:$B$115,0)),"UNKNOWN TOPIC ID"))</f>
        <v/>
      </c>
      <c r="E101" s="28">
        <f>IF($C101="","",IFERROR(INDEX('Topic Plan'!$D$5:$D$115,MATCH($C101,'Topic Plan'!$B$5:$B$115,0)),""))</f>
        <v/>
      </c>
      <c r="F101" s="28">
        <f>IF($C101="","",IFERROR(INDEX('Topic Plan'!$E$5:$E$115,MATCH($C101,'Topic Plan'!$B$5:$B$115,0)),""))</f>
        <v/>
      </c>
      <c r="G101" s="23" t="n"/>
      <c r="H101" s="27" t="n"/>
      <c r="I101" s="27" t="n"/>
      <c r="J101" s="27" t="n"/>
      <c r="K101" s="27" t="n"/>
      <c r="L101" s="27" t="n"/>
      <c r="M101" s="27" t="n"/>
      <c r="N101" s="23" t="n"/>
      <c r="O101" s="29" t="n"/>
      <c r="P101" s="29" t="n"/>
      <c r="Q101" s="29" t="n"/>
      <c r="R101" s="29" t="n"/>
      <c r="S101" s="29" t="n"/>
      <c r="T101" s="29" t="n"/>
      <c r="U101" s="29" t="n"/>
      <c r="V101" s="30">
        <f>IF(OR($A101="",$U101=""),"",IF($S101&lt;&gt;"",MAX(0,$S101-$U101),MAX(0,TODAY()-$U101)))</f>
        <v/>
      </c>
      <c r="W101" s="30">
        <f>IF($A101="","",IF(OR($N101="Live",$N101="Retired"),"",TODAY()-MAX($O101,$P101,$Q101,$R101)))</f>
        <v/>
      </c>
      <c r="X101" s="23" t="n"/>
      <c r="Y101" s="30">
        <f>IF($A101="","",COUNTIFS('Issues Log'!$C$5:$C$504,$A101,'Issues Log'!$K$5:$K$504,"Open")+COUNTIFS('Issues Log'!$C$5:$C$504,$A101,'Issues Log'!$K$5:$K$504,"In progress"))</f>
        <v/>
      </c>
      <c r="Z101" s="27" t="n"/>
    </row>
    <row r="102">
      <c r="A102" s="27" t="n"/>
      <c r="B102" s="27" t="n"/>
      <c r="C102" s="27" t="n"/>
      <c r="D102" s="28">
        <f>IF($C102="","",IFERROR(INDEX('Topic Plan'!$C$5:$C$115,MATCH($C102,'Topic Plan'!$B$5:$B$115,0)),"UNKNOWN TOPIC ID"))</f>
        <v/>
      </c>
      <c r="E102" s="28">
        <f>IF($C102="","",IFERROR(INDEX('Topic Plan'!$D$5:$D$115,MATCH($C102,'Topic Plan'!$B$5:$B$115,0)),""))</f>
        <v/>
      </c>
      <c r="F102" s="28">
        <f>IF($C102="","",IFERROR(INDEX('Topic Plan'!$E$5:$E$115,MATCH($C102,'Topic Plan'!$B$5:$B$115,0)),""))</f>
        <v/>
      </c>
      <c r="G102" s="23" t="n"/>
      <c r="H102" s="27" t="n"/>
      <c r="I102" s="27" t="n"/>
      <c r="J102" s="27" t="n"/>
      <c r="K102" s="27" t="n"/>
      <c r="L102" s="27" t="n"/>
      <c r="M102" s="27" t="n"/>
      <c r="N102" s="23" t="n"/>
      <c r="O102" s="29" t="n"/>
      <c r="P102" s="29" t="n"/>
      <c r="Q102" s="29" t="n"/>
      <c r="R102" s="29" t="n"/>
      <c r="S102" s="29" t="n"/>
      <c r="T102" s="29" t="n"/>
      <c r="U102" s="29" t="n"/>
      <c r="V102" s="30">
        <f>IF(OR($A102="",$U102=""),"",IF($S102&lt;&gt;"",MAX(0,$S102-$U102),MAX(0,TODAY()-$U102)))</f>
        <v/>
      </c>
      <c r="W102" s="30">
        <f>IF($A102="","",IF(OR($N102="Live",$N102="Retired"),"",TODAY()-MAX($O102,$P102,$Q102,$R102)))</f>
        <v/>
      </c>
      <c r="X102" s="23" t="n"/>
      <c r="Y102" s="30">
        <f>IF($A102="","",COUNTIFS('Issues Log'!$C$5:$C$504,$A102,'Issues Log'!$K$5:$K$504,"Open")+COUNTIFS('Issues Log'!$C$5:$C$504,$A102,'Issues Log'!$K$5:$K$504,"In progress"))</f>
        <v/>
      </c>
      <c r="Z102" s="27" t="n"/>
    </row>
    <row r="103">
      <c r="A103" s="27" t="n"/>
      <c r="B103" s="27" t="n"/>
      <c r="C103" s="27" t="n"/>
      <c r="D103" s="28">
        <f>IF($C103="","",IFERROR(INDEX('Topic Plan'!$C$5:$C$115,MATCH($C103,'Topic Plan'!$B$5:$B$115,0)),"UNKNOWN TOPIC ID"))</f>
        <v/>
      </c>
      <c r="E103" s="28">
        <f>IF($C103="","",IFERROR(INDEX('Topic Plan'!$D$5:$D$115,MATCH($C103,'Topic Plan'!$B$5:$B$115,0)),""))</f>
        <v/>
      </c>
      <c r="F103" s="28">
        <f>IF($C103="","",IFERROR(INDEX('Topic Plan'!$E$5:$E$115,MATCH($C103,'Topic Plan'!$B$5:$B$115,0)),""))</f>
        <v/>
      </c>
      <c r="G103" s="23" t="n"/>
      <c r="H103" s="27" t="n"/>
      <c r="I103" s="27" t="n"/>
      <c r="J103" s="27" t="n"/>
      <c r="K103" s="27" t="n"/>
      <c r="L103" s="27" t="n"/>
      <c r="M103" s="27" t="n"/>
      <c r="N103" s="23" t="n"/>
      <c r="O103" s="29" t="n"/>
      <c r="P103" s="29" t="n"/>
      <c r="Q103" s="29" t="n"/>
      <c r="R103" s="29" t="n"/>
      <c r="S103" s="29" t="n"/>
      <c r="T103" s="29" t="n"/>
      <c r="U103" s="29" t="n"/>
      <c r="V103" s="30">
        <f>IF(OR($A103="",$U103=""),"",IF($S103&lt;&gt;"",MAX(0,$S103-$U103),MAX(0,TODAY()-$U103)))</f>
        <v/>
      </c>
      <c r="W103" s="30">
        <f>IF($A103="","",IF(OR($N103="Live",$N103="Retired"),"",TODAY()-MAX($O103,$P103,$Q103,$R103)))</f>
        <v/>
      </c>
      <c r="X103" s="23" t="n"/>
      <c r="Y103" s="30">
        <f>IF($A103="","",COUNTIFS('Issues Log'!$C$5:$C$504,$A103,'Issues Log'!$K$5:$K$504,"Open")+COUNTIFS('Issues Log'!$C$5:$C$504,$A103,'Issues Log'!$K$5:$K$504,"In progress"))</f>
        <v/>
      </c>
      <c r="Z103" s="27" t="n"/>
    </row>
    <row r="104">
      <c r="A104" s="27" t="n"/>
      <c r="B104" s="27" t="n"/>
      <c r="C104" s="27" t="n"/>
      <c r="D104" s="28">
        <f>IF($C104="","",IFERROR(INDEX('Topic Plan'!$C$5:$C$115,MATCH($C104,'Topic Plan'!$B$5:$B$115,0)),"UNKNOWN TOPIC ID"))</f>
        <v/>
      </c>
      <c r="E104" s="28">
        <f>IF($C104="","",IFERROR(INDEX('Topic Plan'!$D$5:$D$115,MATCH($C104,'Topic Plan'!$B$5:$B$115,0)),""))</f>
        <v/>
      </c>
      <c r="F104" s="28">
        <f>IF($C104="","",IFERROR(INDEX('Topic Plan'!$E$5:$E$115,MATCH($C104,'Topic Plan'!$B$5:$B$115,0)),""))</f>
        <v/>
      </c>
      <c r="G104" s="23" t="n"/>
      <c r="H104" s="27" t="n"/>
      <c r="I104" s="27" t="n"/>
      <c r="J104" s="27" t="n"/>
      <c r="K104" s="27" t="n"/>
      <c r="L104" s="27" t="n"/>
      <c r="M104" s="27" t="n"/>
      <c r="N104" s="23" t="n"/>
      <c r="O104" s="29" t="n"/>
      <c r="P104" s="29" t="n"/>
      <c r="Q104" s="29" t="n"/>
      <c r="R104" s="29" t="n"/>
      <c r="S104" s="29" t="n"/>
      <c r="T104" s="29" t="n"/>
      <c r="U104" s="29" t="n"/>
      <c r="V104" s="30">
        <f>IF(OR($A104="",$U104=""),"",IF($S104&lt;&gt;"",MAX(0,$S104-$U104),MAX(0,TODAY()-$U104)))</f>
        <v/>
      </c>
      <c r="W104" s="30">
        <f>IF($A104="","",IF(OR($N104="Live",$N104="Retired"),"",TODAY()-MAX($O104,$P104,$Q104,$R104)))</f>
        <v/>
      </c>
      <c r="X104" s="23" t="n"/>
      <c r="Y104" s="30">
        <f>IF($A104="","",COUNTIFS('Issues Log'!$C$5:$C$504,$A104,'Issues Log'!$K$5:$K$504,"Open")+COUNTIFS('Issues Log'!$C$5:$C$504,$A104,'Issues Log'!$K$5:$K$504,"In progress"))</f>
        <v/>
      </c>
      <c r="Z104" s="27" t="n"/>
    </row>
    <row r="105">
      <c r="A105" s="27" t="n"/>
      <c r="B105" s="27" t="n"/>
      <c r="C105" s="27" t="n"/>
      <c r="D105" s="28">
        <f>IF($C105="","",IFERROR(INDEX('Topic Plan'!$C$5:$C$115,MATCH($C105,'Topic Plan'!$B$5:$B$115,0)),"UNKNOWN TOPIC ID"))</f>
        <v/>
      </c>
      <c r="E105" s="28">
        <f>IF($C105="","",IFERROR(INDEX('Topic Plan'!$D$5:$D$115,MATCH($C105,'Topic Plan'!$B$5:$B$115,0)),""))</f>
        <v/>
      </c>
      <c r="F105" s="28">
        <f>IF($C105="","",IFERROR(INDEX('Topic Plan'!$E$5:$E$115,MATCH($C105,'Topic Plan'!$B$5:$B$115,0)),""))</f>
        <v/>
      </c>
      <c r="G105" s="23" t="n"/>
      <c r="H105" s="27" t="n"/>
      <c r="I105" s="27" t="n"/>
      <c r="J105" s="27" t="n"/>
      <c r="K105" s="27" t="n"/>
      <c r="L105" s="27" t="n"/>
      <c r="M105" s="27" t="n"/>
      <c r="N105" s="23" t="n"/>
      <c r="O105" s="29" t="n"/>
      <c r="P105" s="29" t="n"/>
      <c r="Q105" s="29" t="n"/>
      <c r="R105" s="29" t="n"/>
      <c r="S105" s="29" t="n"/>
      <c r="T105" s="29" t="n"/>
      <c r="U105" s="29" t="n"/>
      <c r="V105" s="30">
        <f>IF(OR($A105="",$U105=""),"",IF($S105&lt;&gt;"",MAX(0,$S105-$U105),MAX(0,TODAY()-$U105)))</f>
        <v/>
      </c>
      <c r="W105" s="30">
        <f>IF($A105="","",IF(OR($N105="Live",$N105="Retired"),"",TODAY()-MAX($O105,$P105,$Q105,$R105)))</f>
        <v/>
      </c>
      <c r="X105" s="23" t="n"/>
      <c r="Y105" s="30">
        <f>IF($A105="","",COUNTIFS('Issues Log'!$C$5:$C$504,$A105,'Issues Log'!$K$5:$K$504,"Open")+COUNTIFS('Issues Log'!$C$5:$C$504,$A105,'Issues Log'!$K$5:$K$504,"In progress"))</f>
        <v/>
      </c>
      <c r="Z105" s="27" t="n"/>
    </row>
    <row r="106">
      <c r="A106" s="27" t="n"/>
      <c r="B106" s="27" t="n"/>
      <c r="C106" s="27" t="n"/>
      <c r="D106" s="28">
        <f>IF($C106="","",IFERROR(INDEX('Topic Plan'!$C$5:$C$115,MATCH($C106,'Topic Plan'!$B$5:$B$115,0)),"UNKNOWN TOPIC ID"))</f>
        <v/>
      </c>
      <c r="E106" s="28">
        <f>IF($C106="","",IFERROR(INDEX('Topic Plan'!$D$5:$D$115,MATCH($C106,'Topic Plan'!$B$5:$B$115,0)),""))</f>
        <v/>
      </c>
      <c r="F106" s="28">
        <f>IF($C106="","",IFERROR(INDEX('Topic Plan'!$E$5:$E$115,MATCH($C106,'Topic Plan'!$B$5:$B$115,0)),""))</f>
        <v/>
      </c>
      <c r="G106" s="23" t="n"/>
      <c r="H106" s="27" t="n"/>
      <c r="I106" s="27" t="n"/>
      <c r="J106" s="27" t="n"/>
      <c r="K106" s="27" t="n"/>
      <c r="L106" s="27" t="n"/>
      <c r="M106" s="27" t="n"/>
      <c r="N106" s="23" t="n"/>
      <c r="O106" s="29" t="n"/>
      <c r="P106" s="29" t="n"/>
      <c r="Q106" s="29" t="n"/>
      <c r="R106" s="29" t="n"/>
      <c r="S106" s="29" t="n"/>
      <c r="T106" s="29" t="n"/>
      <c r="U106" s="29" t="n"/>
      <c r="V106" s="30">
        <f>IF(OR($A106="",$U106=""),"",IF($S106&lt;&gt;"",MAX(0,$S106-$U106),MAX(0,TODAY()-$U106)))</f>
        <v/>
      </c>
      <c r="W106" s="30">
        <f>IF($A106="","",IF(OR($N106="Live",$N106="Retired"),"",TODAY()-MAX($O106,$P106,$Q106,$R106)))</f>
        <v/>
      </c>
      <c r="X106" s="23" t="n"/>
      <c r="Y106" s="30">
        <f>IF($A106="","",COUNTIFS('Issues Log'!$C$5:$C$504,$A106,'Issues Log'!$K$5:$K$504,"Open")+COUNTIFS('Issues Log'!$C$5:$C$504,$A106,'Issues Log'!$K$5:$K$504,"In progress"))</f>
        <v/>
      </c>
      <c r="Z106" s="27" t="n"/>
    </row>
    <row r="107">
      <c r="A107" s="27" t="n"/>
      <c r="B107" s="27" t="n"/>
      <c r="C107" s="27" t="n"/>
      <c r="D107" s="28">
        <f>IF($C107="","",IFERROR(INDEX('Topic Plan'!$C$5:$C$115,MATCH($C107,'Topic Plan'!$B$5:$B$115,0)),"UNKNOWN TOPIC ID"))</f>
        <v/>
      </c>
      <c r="E107" s="28">
        <f>IF($C107="","",IFERROR(INDEX('Topic Plan'!$D$5:$D$115,MATCH($C107,'Topic Plan'!$B$5:$B$115,0)),""))</f>
        <v/>
      </c>
      <c r="F107" s="28">
        <f>IF($C107="","",IFERROR(INDEX('Topic Plan'!$E$5:$E$115,MATCH($C107,'Topic Plan'!$B$5:$B$115,0)),""))</f>
        <v/>
      </c>
      <c r="G107" s="23" t="n"/>
      <c r="H107" s="27" t="n"/>
      <c r="I107" s="27" t="n"/>
      <c r="J107" s="27" t="n"/>
      <c r="K107" s="27" t="n"/>
      <c r="L107" s="27" t="n"/>
      <c r="M107" s="27" t="n"/>
      <c r="N107" s="23" t="n"/>
      <c r="O107" s="29" t="n"/>
      <c r="P107" s="29" t="n"/>
      <c r="Q107" s="29" t="n"/>
      <c r="R107" s="29" t="n"/>
      <c r="S107" s="29" t="n"/>
      <c r="T107" s="29" t="n"/>
      <c r="U107" s="29" t="n"/>
      <c r="V107" s="30">
        <f>IF(OR($A107="",$U107=""),"",IF($S107&lt;&gt;"",MAX(0,$S107-$U107),MAX(0,TODAY()-$U107)))</f>
        <v/>
      </c>
      <c r="W107" s="30">
        <f>IF($A107="","",IF(OR($N107="Live",$N107="Retired"),"",TODAY()-MAX($O107,$P107,$Q107,$R107)))</f>
        <v/>
      </c>
      <c r="X107" s="23" t="n"/>
      <c r="Y107" s="30">
        <f>IF($A107="","",COUNTIFS('Issues Log'!$C$5:$C$504,$A107,'Issues Log'!$K$5:$K$504,"Open")+COUNTIFS('Issues Log'!$C$5:$C$504,$A107,'Issues Log'!$K$5:$K$504,"In progress"))</f>
        <v/>
      </c>
      <c r="Z107" s="27" t="n"/>
    </row>
    <row r="108">
      <c r="A108" s="27" t="n"/>
      <c r="B108" s="27" t="n"/>
      <c r="C108" s="27" t="n"/>
      <c r="D108" s="28">
        <f>IF($C108="","",IFERROR(INDEX('Topic Plan'!$C$5:$C$115,MATCH($C108,'Topic Plan'!$B$5:$B$115,0)),"UNKNOWN TOPIC ID"))</f>
        <v/>
      </c>
      <c r="E108" s="28">
        <f>IF($C108="","",IFERROR(INDEX('Topic Plan'!$D$5:$D$115,MATCH($C108,'Topic Plan'!$B$5:$B$115,0)),""))</f>
        <v/>
      </c>
      <c r="F108" s="28">
        <f>IF($C108="","",IFERROR(INDEX('Topic Plan'!$E$5:$E$115,MATCH($C108,'Topic Plan'!$B$5:$B$115,0)),""))</f>
        <v/>
      </c>
      <c r="G108" s="23" t="n"/>
      <c r="H108" s="27" t="n"/>
      <c r="I108" s="27" t="n"/>
      <c r="J108" s="27" t="n"/>
      <c r="K108" s="27" t="n"/>
      <c r="L108" s="27" t="n"/>
      <c r="M108" s="27" t="n"/>
      <c r="N108" s="23" t="n"/>
      <c r="O108" s="29" t="n"/>
      <c r="P108" s="29" t="n"/>
      <c r="Q108" s="29" t="n"/>
      <c r="R108" s="29" t="n"/>
      <c r="S108" s="29" t="n"/>
      <c r="T108" s="29" t="n"/>
      <c r="U108" s="29" t="n"/>
      <c r="V108" s="30">
        <f>IF(OR($A108="",$U108=""),"",IF($S108&lt;&gt;"",MAX(0,$S108-$U108),MAX(0,TODAY()-$U108)))</f>
        <v/>
      </c>
      <c r="W108" s="30">
        <f>IF($A108="","",IF(OR($N108="Live",$N108="Retired"),"",TODAY()-MAX($O108,$P108,$Q108,$R108)))</f>
        <v/>
      </c>
      <c r="X108" s="23" t="n"/>
      <c r="Y108" s="30">
        <f>IF($A108="","",COUNTIFS('Issues Log'!$C$5:$C$504,$A108,'Issues Log'!$K$5:$K$504,"Open")+COUNTIFS('Issues Log'!$C$5:$C$504,$A108,'Issues Log'!$K$5:$K$504,"In progress"))</f>
        <v/>
      </c>
      <c r="Z108" s="27" t="n"/>
    </row>
    <row r="109">
      <c r="A109" s="27" t="n"/>
      <c r="B109" s="27" t="n"/>
      <c r="C109" s="27" t="n"/>
      <c r="D109" s="28">
        <f>IF($C109="","",IFERROR(INDEX('Topic Plan'!$C$5:$C$115,MATCH($C109,'Topic Plan'!$B$5:$B$115,0)),"UNKNOWN TOPIC ID"))</f>
        <v/>
      </c>
      <c r="E109" s="28">
        <f>IF($C109="","",IFERROR(INDEX('Topic Plan'!$D$5:$D$115,MATCH($C109,'Topic Plan'!$B$5:$B$115,0)),""))</f>
        <v/>
      </c>
      <c r="F109" s="28">
        <f>IF($C109="","",IFERROR(INDEX('Topic Plan'!$E$5:$E$115,MATCH($C109,'Topic Plan'!$B$5:$B$115,0)),""))</f>
        <v/>
      </c>
      <c r="G109" s="23" t="n"/>
      <c r="H109" s="27" t="n"/>
      <c r="I109" s="27" t="n"/>
      <c r="J109" s="27" t="n"/>
      <c r="K109" s="27" t="n"/>
      <c r="L109" s="27" t="n"/>
      <c r="M109" s="27" t="n"/>
      <c r="N109" s="23" t="n"/>
      <c r="O109" s="29" t="n"/>
      <c r="P109" s="29" t="n"/>
      <c r="Q109" s="29" t="n"/>
      <c r="R109" s="29" t="n"/>
      <c r="S109" s="29" t="n"/>
      <c r="T109" s="29" t="n"/>
      <c r="U109" s="29" t="n"/>
      <c r="V109" s="30">
        <f>IF(OR($A109="",$U109=""),"",IF($S109&lt;&gt;"",MAX(0,$S109-$U109),MAX(0,TODAY()-$U109)))</f>
        <v/>
      </c>
      <c r="W109" s="30">
        <f>IF($A109="","",IF(OR($N109="Live",$N109="Retired"),"",TODAY()-MAX($O109,$P109,$Q109,$R109)))</f>
        <v/>
      </c>
      <c r="X109" s="23" t="n"/>
      <c r="Y109" s="30">
        <f>IF($A109="","",COUNTIFS('Issues Log'!$C$5:$C$504,$A109,'Issues Log'!$K$5:$K$504,"Open")+COUNTIFS('Issues Log'!$C$5:$C$504,$A109,'Issues Log'!$K$5:$K$504,"In progress"))</f>
        <v/>
      </c>
      <c r="Z109" s="27" t="n"/>
    </row>
    <row r="110">
      <c r="A110" s="27" t="n"/>
      <c r="B110" s="27" t="n"/>
      <c r="C110" s="27" t="n"/>
      <c r="D110" s="28">
        <f>IF($C110="","",IFERROR(INDEX('Topic Plan'!$C$5:$C$115,MATCH($C110,'Topic Plan'!$B$5:$B$115,0)),"UNKNOWN TOPIC ID"))</f>
        <v/>
      </c>
      <c r="E110" s="28">
        <f>IF($C110="","",IFERROR(INDEX('Topic Plan'!$D$5:$D$115,MATCH($C110,'Topic Plan'!$B$5:$B$115,0)),""))</f>
        <v/>
      </c>
      <c r="F110" s="28">
        <f>IF($C110="","",IFERROR(INDEX('Topic Plan'!$E$5:$E$115,MATCH($C110,'Topic Plan'!$B$5:$B$115,0)),""))</f>
        <v/>
      </c>
      <c r="G110" s="23" t="n"/>
      <c r="H110" s="27" t="n"/>
      <c r="I110" s="27" t="n"/>
      <c r="J110" s="27" t="n"/>
      <c r="K110" s="27" t="n"/>
      <c r="L110" s="27" t="n"/>
      <c r="M110" s="27" t="n"/>
      <c r="N110" s="23" t="n"/>
      <c r="O110" s="29" t="n"/>
      <c r="P110" s="29" t="n"/>
      <c r="Q110" s="29" t="n"/>
      <c r="R110" s="29" t="n"/>
      <c r="S110" s="29" t="n"/>
      <c r="T110" s="29" t="n"/>
      <c r="U110" s="29" t="n"/>
      <c r="V110" s="30">
        <f>IF(OR($A110="",$U110=""),"",IF($S110&lt;&gt;"",MAX(0,$S110-$U110),MAX(0,TODAY()-$U110)))</f>
        <v/>
      </c>
      <c r="W110" s="30">
        <f>IF($A110="","",IF(OR($N110="Live",$N110="Retired"),"",TODAY()-MAX($O110,$P110,$Q110,$R110)))</f>
        <v/>
      </c>
      <c r="X110" s="23" t="n"/>
      <c r="Y110" s="30">
        <f>IF($A110="","",COUNTIFS('Issues Log'!$C$5:$C$504,$A110,'Issues Log'!$K$5:$K$504,"Open")+COUNTIFS('Issues Log'!$C$5:$C$504,$A110,'Issues Log'!$K$5:$K$504,"In progress"))</f>
        <v/>
      </c>
      <c r="Z110" s="27" t="n"/>
    </row>
    <row r="111">
      <c r="A111" s="27" t="n"/>
      <c r="B111" s="27" t="n"/>
      <c r="C111" s="27" t="n"/>
      <c r="D111" s="28">
        <f>IF($C111="","",IFERROR(INDEX('Topic Plan'!$C$5:$C$115,MATCH($C111,'Topic Plan'!$B$5:$B$115,0)),"UNKNOWN TOPIC ID"))</f>
        <v/>
      </c>
      <c r="E111" s="28">
        <f>IF($C111="","",IFERROR(INDEX('Topic Plan'!$D$5:$D$115,MATCH($C111,'Topic Plan'!$B$5:$B$115,0)),""))</f>
        <v/>
      </c>
      <c r="F111" s="28">
        <f>IF($C111="","",IFERROR(INDEX('Topic Plan'!$E$5:$E$115,MATCH($C111,'Topic Plan'!$B$5:$B$115,0)),""))</f>
        <v/>
      </c>
      <c r="G111" s="23" t="n"/>
      <c r="H111" s="27" t="n"/>
      <c r="I111" s="27" t="n"/>
      <c r="J111" s="27" t="n"/>
      <c r="K111" s="27" t="n"/>
      <c r="L111" s="27" t="n"/>
      <c r="M111" s="27" t="n"/>
      <c r="N111" s="23" t="n"/>
      <c r="O111" s="29" t="n"/>
      <c r="P111" s="29" t="n"/>
      <c r="Q111" s="29" t="n"/>
      <c r="R111" s="29" t="n"/>
      <c r="S111" s="29" t="n"/>
      <c r="T111" s="29" t="n"/>
      <c r="U111" s="29" t="n"/>
      <c r="V111" s="30">
        <f>IF(OR($A111="",$U111=""),"",IF($S111&lt;&gt;"",MAX(0,$S111-$U111),MAX(0,TODAY()-$U111)))</f>
        <v/>
      </c>
      <c r="W111" s="30">
        <f>IF($A111="","",IF(OR($N111="Live",$N111="Retired"),"",TODAY()-MAX($O111,$P111,$Q111,$R111)))</f>
        <v/>
      </c>
      <c r="X111" s="23" t="n"/>
      <c r="Y111" s="30">
        <f>IF($A111="","",COUNTIFS('Issues Log'!$C$5:$C$504,$A111,'Issues Log'!$K$5:$K$504,"Open")+COUNTIFS('Issues Log'!$C$5:$C$504,$A111,'Issues Log'!$K$5:$K$504,"In progress"))</f>
        <v/>
      </c>
      <c r="Z111" s="27" t="n"/>
    </row>
    <row r="112">
      <c r="A112" s="27" t="n"/>
      <c r="B112" s="27" t="n"/>
      <c r="C112" s="27" t="n"/>
      <c r="D112" s="28">
        <f>IF($C112="","",IFERROR(INDEX('Topic Plan'!$C$5:$C$115,MATCH($C112,'Topic Plan'!$B$5:$B$115,0)),"UNKNOWN TOPIC ID"))</f>
        <v/>
      </c>
      <c r="E112" s="28">
        <f>IF($C112="","",IFERROR(INDEX('Topic Plan'!$D$5:$D$115,MATCH($C112,'Topic Plan'!$B$5:$B$115,0)),""))</f>
        <v/>
      </c>
      <c r="F112" s="28">
        <f>IF($C112="","",IFERROR(INDEX('Topic Plan'!$E$5:$E$115,MATCH($C112,'Topic Plan'!$B$5:$B$115,0)),""))</f>
        <v/>
      </c>
      <c r="G112" s="23" t="n"/>
      <c r="H112" s="27" t="n"/>
      <c r="I112" s="27" t="n"/>
      <c r="J112" s="27" t="n"/>
      <c r="K112" s="27" t="n"/>
      <c r="L112" s="27" t="n"/>
      <c r="M112" s="27" t="n"/>
      <c r="N112" s="23" t="n"/>
      <c r="O112" s="29" t="n"/>
      <c r="P112" s="29" t="n"/>
      <c r="Q112" s="29" t="n"/>
      <c r="R112" s="29" t="n"/>
      <c r="S112" s="29" t="n"/>
      <c r="T112" s="29" t="n"/>
      <c r="U112" s="29" t="n"/>
      <c r="V112" s="30">
        <f>IF(OR($A112="",$U112=""),"",IF($S112&lt;&gt;"",MAX(0,$S112-$U112),MAX(0,TODAY()-$U112)))</f>
        <v/>
      </c>
      <c r="W112" s="30">
        <f>IF($A112="","",IF(OR($N112="Live",$N112="Retired"),"",TODAY()-MAX($O112,$P112,$Q112,$R112)))</f>
        <v/>
      </c>
      <c r="X112" s="23" t="n"/>
      <c r="Y112" s="30">
        <f>IF($A112="","",COUNTIFS('Issues Log'!$C$5:$C$504,$A112,'Issues Log'!$K$5:$K$504,"Open")+COUNTIFS('Issues Log'!$C$5:$C$504,$A112,'Issues Log'!$K$5:$K$504,"In progress"))</f>
        <v/>
      </c>
      <c r="Z112" s="27" t="n"/>
    </row>
    <row r="113">
      <c r="A113" s="27" t="n"/>
      <c r="B113" s="27" t="n"/>
      <c r="C113" s="27" t="n"/>
      <c r="D113" s="28">
        <f>IF($C113="","",IFERROR(INDEX('Topic Plan'!$C$5:$C$115,MATCH($C113,'Topic Plan'!$B$5:$B$115,0)),"UNKNOWN TOPIC ID"))</f>
        <v/>
      </c>
      <c r="E113" s="28">
        <f>IF($C113="","",IFERROR(INDEX('Topic Plan'!$D$5:$D$115,MATCH($C113,'Topic Plan'!$B$5:$B$115,0)),""))</f>
        <v/>
      </c>
      <c r="F113" s="28">
        <f>IF($C113="","",IFERROR(INDEX('Topic Plan'!$E$5:$E$115,MATCH($C113,'Topic Plan'!$B$5:$B$115,0)),""))</f>
        <v/>
      </c>
      <c r="G113" s="23" t="n"/>
      <c r="H113" s="27" t="n"/>
      <c r="I113" s="27" t="n"/>
      <c r="J113" s="27" t="n"/>
      <c r="K113" s="27" t="n"/>
      <c r="L113" s="27" t="n"/>
      <c r="M113" s="27" t="n"/>
      <c r="N113" s="23" t="n"/>
      <c r="O113" s="29" t="n"/>
      <c r="P113" s="29" t="n"/>
      <c r="Q113" s="29" t="n"/>
      <c r="R113" s="29" t="n"/>
      <c r="S113" s="29" t="n"/>
      <c r="T113" s="29" t="n"/>
      <c r="U113" s="29" t="n"/>
      <c r="V113" s="30">
        <f>IF(OR($A113="",$U113=""),"",IF($S113&lt;&gt;"",MAX(0,$S113-$U113),MAX(0,TODAY()-$U113)))</f>
        <v/>
      </c>
      <c r="W113" s="30">
        <f>IF($A113="","",IF(OR($N113="Live",$N113="Retired"),"",TODAY()-MAX($O113,$P113,$Q113,$R113)))</f>
        <v/>
      </c>
      <c r="X113" s="23" t="n"/>
      <c r="Y113" s="30">
        <f>IF($A113="","",COUNTIFS('Issues Log'!$C$5:$C$504,$A113,'Issues Log'!$K$5:$K$504,"Open")+COUNTIFS('Issues Log'!$C$5:$C$504,$A113,'Issues Log'!$K$5:$K$504,"In progress"))</f>
        <v/>
      </c>
      <c r="Z113" s="27" t="n"/>
    </row>
    <row r="114">
      <c r="A114" s="27" t="n"/>
      <c r="B114" s="27" t="n"/>
      <c r="C114" s="27" t="n"/>
      <c r="D114" s="28">
        <f>IF($C114="","",IFERROR(INDEX('Topic Plan'!$C$5:$C$115,MATCH($C114,'Topic Plan'!$B$5:$B$115,0)),"UNKNOWN TOPIC ID"))</f>
        <v/>
      </c>
      <c r="E114" s="28">
        <f>IF($C114="","",IFERROR(INDEX('Topic Plan'!$D$5:$D$115,MATCH($C114,'Topic Plan'!$B$5:$B$115,0)),""))</f>
        <v/>
      </c>
      <c r="F114" s="28">
        <f>IF($C114="","",IFERROR(INDEX('Topic Plan'!$E$5:$E$115,MATCH($C114,'Topic Plan'!$B$5:$B$115,0)),""))</f>
        <v/>
      </c>
      <c r="G114" s="23" t="n"/>
      <c r="H114" s="27" t="n"/>
      <c r="I114" s="27" t="n"/>
      <c r="J114" s="27" t="n"/>
      <c r="K114" s="27" t="n"/>
      <c r="L114" s="27" t="n"/>
      <c r="M114" s="27" t="n"/>
      <c r="N114" s="23" t="n"/>
      <c r="O114" s="29" t="n"/>
      <c r="P114" s="29" t="n"/>
      <c r="Q114" s="29" t="n"/>
      <c r="R114" s="29" t="n"/>
      <c r="S114" s="29" t="n"/>
      <c r="T114" s="29" t="n"/>
      <c r="U114" s="29" t="n"/>
      <c r="V114" s="30">
        <f>IF(OR($A114="",$U114=""),"",IF($S114&lt;&gt;"",MAX(0,$S114-$U114),MAX(0,TODAY()-$U114)))</f>
        <v/>
      </c>
      <c r="W114" s="30">
        <f>IF($A114="","",IF(OR($N114="Live",$N114="Retired"),"",TODAY()-MAX($O114,$P114,$Q114,$R114)))</f>
        <v/>
      </c>
      <c r="X114" s="23" t="n"/>
      <c r="Y114" s="30">
        <f>IF($A114="","",COUNTIFS('Issues Log'!$C$5:$C$504,$A114,'Issues Log'!$K$5:$K$504,"Open")+COUNTIFS('Issues Log'!$C$5:$C$504,$A114,'Issues Log'!$K$5:$K$504,"In progress"))</f>
        <v/>
      </c>
      <c r="Z114" s="27" t="n"/>
    </row>
    <row r="115">
      <c r="A115" s="27" t="n"/>
      <c r="B115" s="27" t="n"/>
      <c r="C115" s="27" t="n"/>
      <c r="D115" s="28">
        <f>IF($C115="","",IFERROR(INDEX('Topic Plan'!$C$5:$C$115,MATCH($C115,'Topic Plan'!$B$5:$B$115,0)),"UNKNOWN TOPIC ID"))</f>
        <v/>
      </c>
      <c r="E115" s="28">
        <f>IF($C115="","",IFERROR(INDEX('Topic Plan'!$D$5:$D$115,MATCH($C115,'Topic Plan'!$B$5:$B$115,0)),""))</f>
        <v/>
      </c>
      <c r="F115" s="28">
        <f>IF($C115="","",IFERROR(INDEX('Topic Plan'!$E$5:$E$115,MATCH($C115,'Topic Plan'!$B$5:$B$115,0)),""))</f>
        <v/>
      </c>
      <c r="G115" s="23" t="n"/>
      <c r="H115" s="27" t="n"/>
      <c r="I115" s="27" t="n"/>
      <c r="J115" s="27" t="n"/>
      <c r="K115" s="27" t="n"/>
      <c r="L115" s="27" t="n"/>
      <c r="M115" s="27" t="n"/>
      <c r="N115" s="23" t="n"/>
      <c r="O115" s="29" t="n"/>
      <c r="P115" s="29" t="n"/>
      <c r="Q115" s="29" t="n"/>
      <c r="R115" s="29" t="n"/>
      <c r="S115" s="29" t="n"/>
      <c r="T115" s="29" t="n"/>
      <c r="U115" s="29" t="n"/>
      <c r="V115" s="30">
        <f>IF(OR($A115="",$U115=""),"",IF($S115&lt;&gt;"",MAX(0,$S115-$U115),MAX(0,TODAY()-$U115)))</f>
        <v/>
      </c>
      <c r="W115" s="30">
        <f>IF($A115="","",IF(OR($N115="Live",$N115="Retired"),"",TODAY()-MAX($O115,$P115,$Q115,$R115)))</f>
        <v/>
      </c>
      <c r="X115" s="23" t="n"/>
      <c r="Y115" s="30">
        <f>IF($A115="","",COUNTIFS('Issues Log'!$C$5:$C$504,$A115,'Issues Log'!$K$5:$K$504,"Open")+COUNTIFS('Issues Log'!$C$5:$C$504,$A115,'Issues Log'!$K$5:$K$504,"In progress"))</f>
        <v/>
      </c>
      <c r="Z115" s="27" t="n"/>
    </row>
    <row r="116">
      <c r="A116" s="27" t="n"/>
      <c r="B116" s="27" t="n"/>
      <c r="C116" s="27" t="n"/>
      <c r="D116" s="28">
        <f>IF($C116="","",IFERROR(INDEX('Topic Plan'!$C$5:$C$115,MATCH($C116,'Topic Plan'!$B$5:$B$115,0)),"UNKNOWN TOPIC ID"))</f>
        <v/>
      </c>
      <c r="E116" s="28">
        <f>IF($C116="","",IFERROR(INDEX('Topic Plan'!$D$5:$D$115,MATCH($C116,'Topic Plan'!$B$5:$B$115,0)),""))</f>
        <v/>
      </c>
      <c r="F116" s="28">
        <f>IF($C116="","",IFERROR(INDEX('Topic Plan'!$E$5:$E$115,MATCH($C116,'Topic Plan'!$B$5:$B$115,0)),""))</f>
        <v/>
      </c>
      <c r="G116" s="23" t="n"/>
      <c r="H116" s="27" t="n"/>
      <c r="I116" s="27" t="n"/>
      <c r="J116" s="27" t="n"/>
      <c r="K116" s="27" t="n"/>
      <c r="L116" s="27" t="n"/>
      <c r="M116" s="27" t="n"/>
      <c r="N116" s="23" t="n"/>
      <c r="O116" s="29" t="n"/>
      <c r="P116" s="29" t="n"/>
      <c r="Q116" s="29" t="n"/>
      <c r="R116" s="29" t="n"/>
      <c r="S116" s="29" t="n"/>
      <c r="T116" s="29" t="n"/>
      <c r="U116" s="29" t="n"/>
      <c r="V116" s="30">
        <f>IF(OR($A116="",$U116=""),"",IF($S116&lt;&gt;"",MAX(0,$S116-$U116),MAX(0,TODAY()-$U116)))</f>
        <v/>
      </c>
      <c r="W116" s="30">
        <f>IF($A116="","",IF(OR($N116="Live",$N116="Retired"),"",TODAY()-MAX($O116,$P116,$Q116,$R116)))</f>
        <v/>
      </c>
      <c r="X116" s="23" t="n"/>
      <c r="Y116" s="30">
        <f>IF($A116="","",COUNTIFS('Issues Log'!$C$5:$C$504,$A116,'Issues Log'!$K$5:$K$504,"Open")+COUNTIFS('Issues Log'!$C$5:$C$504,$A116,'Issues Log'!$K$5:$K$504,"In progress"))</f>
        <v/>
      </c>
      <c r="Z116" s="27" t="n"/>
    </row>
    <row r="117">
      <c r="A117" s="27" t="n"/>
      <c r="B117" s="27" t="n"/>
      <c r="C117" s="27" t="n"/>
      <c r="D117" s="28">
        <f>IF($C117="","",IFERROR(INDEX('Topic Plan'!$C$5:$C$115,MATCH($C117,'Topic Plan'!$B$5:$B$115,0)),"UNKNOWN TOPIC ID"))</f>
        <v/>
      </c>
      <c r="E117" s="28">
        <f>IF($C117="","",IFERROR(INDEX('Topic Plan'!$D$5:$D$115,MATCH($C117,'Topic Plan'!$B$5:$B$115,0)),""))</f>
        <v/>
      </c>
      <c r="F117" s="28">
        <f>IF($C117="","",IFERROR(INDEX('Topic Plan'!$E$5:$E$115,MATCH($C117,'Topic Plan'!$B$5:$B$115,0)),""))</f>
        <v/>
      </c>
      <c r="G117" s="23" t="n"/>
      <c r="H117" s="27" t="n"/>
      <c r="I117" s="27" t="n"/>
      <c r="J117" s="27" t="n"/>
      <c r="K117" s="27" t="n"/>
      <c r="L117" s="27" t="n"/>
      <c r="M117" s="27" t="n"/>
      <c r="N117" s="23" t="n"/>
      <c r="O117" s="29" t="n"/>
      <c r="P117" s="29" t="n"/>
      <c r="Q117" s="29" t="n"/>
      <c r="R117" s="29" t="n"/>
      <c r="S117" s="29" t="n"/>
      <c r="T117" s="29" t="n"/>
      <c r="U117" s="29" t="n"/>
      <c r="V117" s="30">
        <f>IF(OR($A117="",$U117=""),"",IF($S117&lt;&gt;"",MAX(0,$S117-$U117),MAX(0,TODAY()-$U117)))</f>
        <v/>
      </c>
      <c r="W117" s="30">
        <f>IF($A117="","",IF(OR($N117="Live",$N117="Retired"),"",TODAY()-MAX($O117,$P117,$Q117,$R117)))</f>
        <v/>
      </c>
      <c r="X117" s="23" t="n"/>
      <c r="Y117" s="30">
        <f>IF($A117="","",COUNTIFS('Issues Log'!$C$5:$C$504,$A117,'Issues Log'!$K$5:$K$504,"Open")+COUNTIFS('Issues Log'!$C$5:$C$504,$A117,'Issues Log'!$K$5:$K$504,"In progress"))</f>
        <v/>
      </c>
      <c r="Z117" s="27" t="n"/>
    </row>
    <row r="118">
      <c r="A118" s="27" t="n"/>
      <c r="B118" s="27" t="n"/>
      <c r="C118" s="27" t="n"/>
      <c r="D118" s="28">
        <f>IF($C118="","",IFERROR(INDEX('Topic Plan'!$C$5:$C$115,MATCH($C118,'Topic Plan'!$B$5:$B$115,0)),"UNKNOWN TOPIC ID"))</f>
        <v/>
      </c>
      <c r="E118" s="28">
        <f>IF($C118="","",IFERROR(INDEX('Topic Plan'!$D$5:$D$115,MATCH($C118,'Topic Plan'!$B$5:$B$115,0)),""))</f>
        <v/>
      </c>
      <c r="F118" s="28">
        <f>IF($C118="","",IFERROR(INDEX('Topic Plan'!$E$5:$E$115,MATCH($C118,'Topic Plan'!$B$5:$B$115,0)),""))</f>
        <v/>
      </c>
      <c r="G118" s="23" t="n"/>
      <c r="H118" s="27" t="n"/>
      <c r="I118" s="27" t="n"/>
      <c r="J118" s="27" t="n"/>
      <c r="K118" s="27" t="n"/>
      <c r="L118" s="27" t="n"/>
      <c r="M118" s="27" t="n"/>
      <c r="N118" s="23" t="n"/>
      <c r="O118" s="29" t="n"/>
      <c r="P118" s="29" t="n"/>
      <c r="Q118" s="29" t="n"/>
      <c r="R118" s="29" t="n"/>
      <c r="S118" s="29" t="n"/>
      <c r="T118" s="29" t="n"/>
      <c r="U118" s="29" t="n"/>
      <c r="V118" s="30">
        <f>IF(OR($A118="",$U118=""),"",IF($S118&lt;&gt;"",MAX(0,$S118-$U118),MAX(0,TODAY()-$U118)))</f>
        <v/>
      </c>
      <c r="W118" s="30">
        <f>IF($A118="","",IF(OR($N118="Live",$N118="Retired"),"",TODAY()-MAX($O118,$P118,$Q118,$R118)))</f>
        <v/>
      </c>
      <c r="X118" s="23" t="n"/>
      <c r="Y118" s="30">
        <f>IF($A118="","",COUNTIFS('Issues Log'!$C$5:$C$504,$A118,'Issues Log'!$K$5:$K$504,"Open")+COUNTIFS('Issues Log'!$C$5:$C$504,$A118,'Issues Log'!$K$5:$K$504,"In progress"))</f>
        <v/>
      </c>
      <c r="Z118" s="27" t="n"/>
    </row>
    <row r="119">
      <c r="A119" s="27" t="n"/>
      <c r="B119" s="27" t="n"/>
      <c r="C119" s="27" t="n"/>
      <c r="D119" s="28">
        <f>IF($C119="","",IFERROR(INDEX('Topic Plan'!$C$5:$C$115,MATCH($C119,'Topic Plan'!$B$5:$B$115,0)),"UNKNOWN TOPIC ID"))</f>
        <v/>
      </c>
      <c r="E119" s="28">
        <f>IF($C119="","",IFERROR(INDEX('Topic Plan'!$D$5:$D$115,MATCH($C119,'Topic Plan'!$B$5:$B$115,0)),""))</f>
        <v/>
      </c>
      <c r="F119" s="28">
        <f>IF($C119="","",IFERROR(INDEX('Topic Plan'!$E$5:$E$115,MATCH($C119,'Topic Plan'!$B$5:$B$115,0)),""))</f>
        <v/>
      </c>
      <c r="G119" s="23" t="n"/>
      <c r="H119" s="27" t="n"/>
      <c r="I119" s="27" t="n"/>
      <c r="J119" s="27" t="n"/>
      <c r="K119" s="27" t="n"/>
      <c r="L119" s="27" t="n"/>
      <c r="M119" s="27" t="n"/>
      <c r="N119" s="23" t="n"/>
      <c r="O119" s="29" t="n"/>
      <c r="P119" s="29" t="n"/>
      <c r="Q119" s="29" t="n"/>
      <c r="R119" s="29" t="n"/>
      <c r="S119" s="29" t="n"/>
      <c r="T119" s="29" t="n"/>
      <c r="U119" s="29" t="n"/>
      <c r="V119" s="30">
        <f>IF(OR($A119="",$U119=""),"",IF($S119&lt;&gt;"",MAX(0,$S119-$U119),MAX(0,TODAY()-$U119)))</f>
        <v/>
      </c>
      <c r="W119" s="30">
        <f>IF($A119="","",IF(OR($N119="Live",$N119="Retired"),"",TODAY()-MAX($O119,$P119,$Q119,$R119)))</f>
        <v/>
      </c>
      <c r="X119" s="23" t="n"/>
      <c r="Y119" s="30">
        <f>IF($A119="","",COUNTIFS('Issues Log'!$C$5:$C$504,$A119,'Issues Log'!$K$5:$K$504,"Open")+COUNTIFS('Issues Log'!$C$5:$C$504,$A119,'Issues Log'!$K$5:$K$504,"In progress"))</f>
        <v/>
      </c>
      <c r="Z119" s="27" t="n"/>
    </row>
    <row r="120">
      <c r="A120" s="27" t="n"/>
      <c r="B120" s="27" t="n"/>
      <c r="C120" s="27" t="n"/>
      <c r="D120" s="28">
        <f>IF($C120="","",IFERROR(INDEX('Topic Plan'!$C$5:$C$115,MATCH($C120,'Topic Plan'!$B$5:$B$115,0)),"UNKNOWN TOPIC ID"))</f>
        <v/>
      </c>
      <c r="E120" s="28">
        <f>IF($C120="","",IFERROR(INDEX('Topic Plan'!$D$5:$D$115,MATCH($C120,'Topic Plan'!$B$5:$B$115,0)),""))</f>
        <v/>
      </c>
      <c r="F120" s="28">
        <f>IF($C120="","",IFERROR(INDEX('Topic Plan'!$E$5:$E$115,MATCH($C120,'Topic Plan'!$B$5:$B$115,0)),""))</f>
        <v/>
      </c>
      <c r="G120" s="23" t="n"/>
      <c r="H120" s="27" t="n"/>
      <c r="I120" s="27" t="n"/>
      <c r="J120" s="27" t="n"/>
      <c r="K120" s="27" t="n"/>
      <c r="L120" s="27" t="n"/>
      <c r="M120" s="27" t="n"/>
      <c r="N120" s="23" t="n"/>
      <c r="O120" s="29" t="n"/>
      <c r="P120" s="29" t="n"/>
      <c r="Q120" s="29" t="n"/>
      <c r="R120" s="29" t="n"/>
      <c r="S120" s="29" t="n"/>
      <c r="T120" s="29" t="n"/>
      <c r="U120" s="29" t="n"/>
      <c r="V120" s="30">
        <f>IF(OR($A120="",$U120=""),"",IF($S120&lt;&gt;"",MAX(0,$S120-$U120),MAX(0,TODAY()-$U120)))</f>
        <v/>
      </c>
      <c r="W120" s="30">
        <f>IF($A120="","",IF(OR($N120="Live",$N120="Retired"),"",TODAY()-MAX($O120,$P120,$Q120,$R120)))</f>
        <v/>
      </c>
      <c r="X120" s="23" t="n"/>
      <c r="Y120" s="30">
        <f>IF($A120="","",COUNTIFS('Issues Log'!$C$5:$C$504,$A120,'Issues Log'!$K$5:$K$504,"Open")+COUNTIFS('Issues Log'!$C$5:$C$504,$A120,'Issues Log'!$K$5:$K$504,"In progress"))</f>
        <v/>
      </c>
      <c r="Z120" s="27" t="n"/>
    </row>
    <row r="121">
      <c r="A121" s="27" t="n"/>
      <c r="B121" s="27" t="n"/>
      <c r="C121" s="27" t="n"/>
      <c r="D121" s="28">
        <f>IF($C121="","",IFERROR(INDEX('Topic Plan'!$C$5:$C$115,MATCH($C121,'Topic Plan'!$B$5:$B$115,0)),"UNKNOWN TOPIC ID"))</f>
        <v/>
      </c>
      <c r="E121" s="28">
        <f>IF($C121="","",IFERROR(INDEX('Topic Plan'!$D$5:$D$115,MATCH($C121,'Topic Plan'!$B$5:$B$115,0)),""))</f>
        <v/>
      </c>
      <c r="F121" s="28">
        <f>IF($C121="","",IFERROR(INDEX('Topic Plan'!$E$5:$E$115,MATCH($C121,'Topic Plan'!$B$5:$B$115,0)),""))</f>
        <v/>
      </c>
      <c r="G121" s="23" t="n"/>
      <c r="H121" s="27" t="n"/>
      <c r="I121" s="27" t="n"/>
      <c r="J121" s="27" t="n"/>
      <c r="K121" s="27" t="n"/>
      <c r="L121" s="27" t="n"/>
      <c r="M121" s="27" t="n"/>
      <c r="N121" s="23" t="n"/>
      <c r="O121" s="29" t="n"/>
      <c r="P121" s="29" t="n"/>
      <c r="Q121" s="29" t="n"/>
      <c r="R121" s="29" t="n"/>
      <c r="S121" s="29" t="n"/>
      <c r="T121" s="29" t="n"/>
      <c r="U121" s="29" t="n"/>
      <c r="V121" s="30">
        <f>IF(OR($A121="",$U121=""),"",IF($S121&lt;&gt;"",MAX(0,$S121-$U121),MAX(0,TODAY()-$U121)))</f>
        <v/>
      </c>
      <c r="W121" s="30">
        <f>IF($A121="","",IF(OR($N121="Live",$N121="Retired"),"",TODAY()-MAX($O121,$P121,$Q121,$R121)))</f>
        <v/>
      </c>
      <c r="X121" s="23" t="n"/>
      <c r="Y121" s="30">
        <f>IF($A121="","",COUNTIFS('Issues Log'!$C$5:$C$504,$A121,'Issues Log'!$K$5:$K$504,"Open")+COUNTIFS('Issues Log'!$C$5:$C$504,$A121,'Issues Log'!$K$5:$K$504,"In progress"))</f>
        <v/>
      </c>
      <c r="Z121" s="27" t="n"/>
    </row>
    <row r="122">
      <c r="A122" s="27" t="n"/>
      <c r="B122" s="27" t="n"/>
      <c r="C122" s="27" t="n"/>
      <c r="D122" s="28">
        <f>IF($C122="","",IFERROR(INDEX('Topic Plan'!$C$5:$C$115,MATCH($C122,'Topic Plan'!$B$5:$B$115,0)),"UNKNOWN TOPIC ID"))</f>
        <v/>
      </c>
      <c r="E122" s="28">
        <f>IF($C122="","",IFERROR(INDEX('Topic Plan'!$D$5:$D$115,MATCH($C122,'Topic Plan'!$B$5:$B$115,0)),""))</f>
        <v/>
      </c>
      <c r="F122" s="28">
        <f>IF($C122="","",IFERROR(INDEX('Topic Plan'!$E$5:$E$115,MATCH($C122,'Topic Plan'!$B$5:$B$115,0)),""))</f>
        <v/>
      </c>
      <c r="G122" s="23" t="n"/>
      <c r="H122" s="27" t="n"/>
      <c r="I122" s="27" t="n"/>
      <c r="J122" s="27" t="n"/>
      <c r="K122" s="27" t="n"/>
      <c r="L122" s="27" t="n"/>
      <c r="M122" s="27" t="n"/>
      <c r="N122" s="23" t="n"/>
      <c r="O122" s="29" t="n"/>
      <c r="P122" s="29" t="n"/>
      <c r="Q122" s="29" t="n"/>
      <c r="R122" s="29" t="n"/>
      <c r="S122" s="29" t="n"/>
      <c r="T122" s="29" t="n"/>
      <c r="U122" s="29" t="n"/>
      <c r="V122" s="30">
        <f>IF(OR($A122="",$U122=""),"",IF($S122&lt;&gt;"",MAX(0,$S122-$U122),MAX(0,TODAY()-$U122)))</f>
        <v/>
      </c>
      <c r="W122" s="30">
        <f>IF($A122="","",IF(OR($N122="Live",$N122="Retired"),"",TODAY()-MAX($O122,$P122,$Q122,$R122)))</f>
        <v/>
      </c>
      <c r="X122" s="23" t="n"/>
      <c r="Y122" s="30">
        <f>IF($A122="","",COUNTIFS('Issues Log'!$C$5:$C$504,$A122,'Issues Log'!$K$5:$K$504,"Open")+COUNTIFS('Issues Log'!$C$5:$C$504,$A122,'Issues Log'!$K$5:$K$504,"In progress"))</f>
        <v/>
      </c>
      <c r="Z122" s="27" t="n"/>
    </row>
    <row r="123">
      <c r="A123" s="27" t="n"/>
      <c r="B123" s="27" t="n"/>
      <c r="C123" s="27" t="n"/>
      <c r="D123" s="28">
        <f>IF($C123="","",IFERROR(INDEX('Topic Plan'!$C$5:$C$115,MATCH($C123,'Topic Plan'!$B$5:$B$115,0)),"UNKNOWN TOPIC ID"))</f>
        <v/>
      </c>
      <c r="E123" s="28">
        <f>IF($C123="","",IFERROR(INDEX('Topic Plan'!$D$5:$D$115,MATCH($C123,'Topic Plan'!$B$5:$B$115,0)),""))</f>
        <v/>
      </c>
      <c r="F123" s="28">
        <f>IF($C123="","",IFERROR(INDEX('Topic Plan'!$E$5:$E$115,MATCH($C123,'Topic Plan'!$B$5:$B$115,0)),""))</f>
        <v/>
      </c>
      <c r="G123" s="23" t="n"/>
      <c r="H123" s="27" t="n"/>
      <c r="I123" s="27" t="n"/>
      <c r="J123" s="27" t="n"/>
      <c r="K123" s="27" t="n"/>
      <c r="L123" s="27" t="n"/>
      <c r="M123" s="27" t="n"/>
      <c r="N123" s="23" t="n"/>
      <c r="O123" s="29" t="n"/>
      <c r="P123" s="29" t="n"/>
      <c r="Q123" s="29" t="n"/>
      <c r="R123" s="29" t="n"/>
      <c r="S123" s="29" t="n"/>
      <c r="T123" s="29" t="n"/>
      <c r="U123" s="29" t="n"/>
      <c r="V123" s="30">
        <f>IF(OR($A123="",$U123=""),"",IF($S123&lt;&gt;"",MAX(0,$S123-$U123),MAX(0,TODAY()-$U123)))</f>
        <v/>
      </c>
      <c r="W123" s="30">
        <f>IF($A123="","",IF(OR($N123="Live",$N123="Retired"),"",TODAY()-MAX($O123,$P123,$Q123,$R123)))</f>
        <v/>
      </c>
      <c r="X123" s="23" t="n"/>
      <c r="Y123" s="30">
        <f>IF($A123="","",COUNTIFS('Issues Log'!$C$5:$C$504,$A123,'Issues Log'!$K$5:$K$504,"Open")+COUNTIFS('Issues Log'!$C$5:$C$504,$A123,'Issues Log'!$K$5:$K$504,"In progress"))</f>
        <v/>
      </c>
      <c r="Z123" s="27" t="n"/>
    </row>
    <row r="124">
      <c r="A124" s="27" t="n"/>
      <c r="B124" s="27" t="n"/>
      <c r="C124" s="27" t="n"/>
      <c r="D124" s="28">
        <f>IF($C124="","",IFERROR(INDEX('Topic Plan'!$C$5:$C$115,MATCH($C124,'Topic Plan'!$B$5:$B$115,0)),"UNKNOWN TOPIC ID"))</f>
        <v/>
      </c>
      <c r="E124" s="28">
        <f>IF($C124="","",IFERROR(INDEX('Topic Plan'!$D$5:$D$115,MATCH($C124,'Topic Plan'!$B$5:$B$115,0)),""))</f>
        <v/>
      </c>
      <c r="F124" s="28">
        <f>IF($C124="","",IFERROR(INDEX('Topic Plan'!$E$5:$E$115,MATCH($C124,'Topic Plan'!$B$5:$B$115,0)),""))</f>
        <v/>
      </c>
      <c r="G124" s="23" t="n"/>
      <c r="H124" s="27" t="n"/>
      <c r="I124" s="27" t="n"/>
      <c r="J124" s="27" t="n"/>
      <c r="K124" s="27" t="n"/>
      <c r="L124" s="27" t="n"/>
      <c r="M124" s="27" t="n"/>
      <c r="N124" s="23" t="n"/>
      <c r="O124" s="29" t="n"/>
      <c r="P124" s="29" t="n"/>
      <c r="Q124" s="29" t="n"/>
      <c r="R124" s="29" t="n"/>
      <c r="S124" s="29" t="n"/>
      <c r="T124" s="29" t="n"/>
      <c r="U124" s="29" t="n"/>
      <c r="V124" s="30">
        <f>IF(OR($A124="",$U124=""),"",IF($S124&lt;&gt;"",MAX(0,$S124-$U124),MAX(0,TODAY()-$U124)))</f>
        <v/>
      </c>
      <c r="W124" s="30">
        <f>IF($A124="","",IF(OR($N124="Live",$N124="Retired"),"",TODAY()-MAX($O124,$P124,$Q124,$R124)))</f>
        <v/>
      </c>
      <c r="X124" s="23" t="n"/>
      <c r="Y124" s="30">
        <f>IF($A124="","",COUNTIFS('Issues Log'!$C$5:$C$504,$A124,'Issues Log'!$K$5:$K$504,"Open")+COUNTIFS('Issues Log'!$C$5:$C$504,$A124,'Issues Log'!$K$5:$K$504,"In progress"))</f>
        <v/>
      </c>
      <c r="Z124" s="27" t="n"/>
    </row>
    <row r="125">
      <c r="A125" s="27" t="n"/>
      <c r="B125" s="27" t="n"/>
      <c r="C125" s="27" t="n"/>
      <c r="D125" s="28">
        <f>IF($C125="","",IFERROR(INDEX('Topic Plan'!$C$5:$C$115,MATCH($C125,'Topic Plan'!$B$5:$B$115,0)),"UNKNOWN TOPIC ID"))</f>
        <v/>
      </c>
      <c r="E125" s="28">
        <f>IF($C125="","",IFERROR(INDEX('Topic Plan'!$D$5:$D$115,MATCH($C125,'Topic Plan'!$B$5:$B$115,0)),""))</f>
        <v/>
      </c>
      <c r="F125" s="28">
        <f>IF($C125="","",IFERROR(INDEX('Topic Plan'!$E$5:$E$115,MATCH($C125,'Topic Plan'!$B$5:$B$115,0)),""))</f>
        <v/>
      </c>
      <c r="G125" s="23" t="n"/>
      <c r="H125" s="27" t="n"/>
      <c r="I125" s="27" t="n"/>
      <c r="J125" s="27" t="n"/>
      <c r="K125" s="27" t="n"/>
      <c r="L125" s="27" t="n"/>
      <c r="M125" s="27" t="n"/>
      <c r="N125" s="23" t="n"/>
      <c r="O125" s="29" t="n"/>
      <c r="P125" s="29" t="n"/>
      <c r="Q125" s="29" t="n"/>
      <c r="R125" s="29" t="n"/>
      <c r="S125" s="29" t="n"/>
      <c r="T125" s="29" t="n"/>
      <c r="U125" s="29" t="n"/>
      <c r="V125" s="30">
        <f>IF(OR($A125="",$U125=""),"",IF($S125&lt;&gt;"",MAX(0,$S125-$U125),MAX(0,TODAY()-$U125)))</f>
        <v/>
      </c>
      <c r="W125" s="30">
        <f>IF($A125="","",IF(OR($N125="Live",$N125="Retired"),"",TODAY()-MAX($O125,$P125,$Q125,$R125)))</f>
        <v/>
      </c>
      <c r="X125" s="23" t="n"/>
      <c r="Y125" s="30">
        <f>IF($A125="","",COUNTIFS('Issues Log'!$C$5:$C$504,$A125,'Issues Log'!$K$5:$K$504,"Open")+COUNTIFS('Issues Log'!$C$5:$C$504,$A125,'Issues Log'!$K$5:$K$504,"In progress"))</f>
        <v/>
      </c>
      <c r="Z125" s="27" t="n"/>
    </row>
    <row r="126">
      <c r="A126" s="27" t="n"/>
      <c r="B126" s="27" t="n"/>
      <c r="C126" s="27" t="n"/>
      <c r="D126" s="28">
        <f>IF($C126="","",IFERROR(INDEX('Topic Plan'!$C$5:$C$115,MATCH($C126,'Topic Plan'!$B$5:$B$115,0)),"UNKNOWN TOPIC ID"))</f>
        <v/>
      </c>
      <c r="E126" s="28">
        <f>IF($C126="","",IFERROR(INDEX('Topic Plan'!$D$5:$D$115,MATCH($C126,'Topic Plan'!$B$5:$B$115,0)),""))</f>
        <v/>
      </c>
      <c r="F126" s="28">
        <f>IF($C126="","",IFERROR(INDEX('Topic Plan'!$E$5:$E$115,MATCH($C126,'Topic Plan'!$B$5:$B$115,0)),""))</f>
        <v/>
      </c>
      <c r="G126" s="23" t="n"/>
      <c r="H126" s="27" t="n"/>
      <c r="I126" s="27" t="n"/>
      <c r="J126" s="27" t="n"/>
      <c r="K126" s="27" t="n"/>
      <c r="L126" s="27" t="n"/>
      <c r="M126" s="27" t="n"/>
      <c r="N126" s="23" t="n"/>
      <c r="O126" s="29" t="n"/>
      <c r="P126" s="29" t="n"/>
      <c r="Q126" s="29" t="n"/>
      <c r="R126" s="29" t="n"/>
      <c r="S126" s="29" t="n"/>
      <c r="T126" s="29" t="n"/>
      <c r="U126" s="29" t="n"/>
      <c r="V126" s="30">
        <f>IF(OR($A126="",$U126=""),"",IF($S126&lt;&gt;"",MAX(0,$S126-$U126),MAX(0,TODAY()-$U126)))</f>
        <v/>
      </c>
      <c r="W126" s="30">
        <f>IF($A126="","",IF(OR($N126="Live",$N126="Retired"),"",TODAY()-MAX($O126,$P126,$Q126,$R126)))</f>
        <v/>
      </c>
      <c r="X126" s="23" t="n"/>
      <c r="Y126" s="30">
        <f>IF($A126="","",COUNTIFS('Issues Log'!$C$5:$C$504,$A126,'Issues Log'!$K$5:$K$504,"Open")+COUNTIFS('Issues Log'!$C$5:$C$504,$A126,'Issues Log'!$K$5:$K$504,"In progress"))</f>
        <v/>
      </c>
      <c r="Z126" s="27" t="n"/>
    </row>
    <row r="127">
      <c r="A127" s="27" t="n"/>
      <c r="B127" s="27" t="n"/>
      <c r="C127" s="27" t="n"/>
      <c r="D127" s="28">
        <f>IF($C127="","",IFERROR(INDEX('Topic Plan'!$C$5:$C$115,MATCH($C127,'Topic Plan'!$B$5:$B$115,0)),"UNKNOWN TOPIC ID"))</f>
        <v/>
      </c>
      <c r="E127" s="28">
        <f>IF($C127="","",IFERROR(INDEX('Topic Plan'!$D$5:$D$115,MATCH($C127,'Topic Plan'!$B$5:$B$115,0)),""))</f>
        <v/>
      </c>
      <c r="F127" s="28">
        <f>IF($C127="","",IFERROR(INDEX('Topic Plan'!$E$5:$E$115,MATCH($C127,'Topic Plan'!$B$5:$B$115,0)),""))</f>
        <v/>
      </c>
      <c r="G127" s="23" t="n"/>
      <c r="H127" s="27" t="n"/>
      <c r="I127" s="27" t="n"/>
      <c r="J127" s="27" t="n"/>
      <c r="K127" s="27" t="n"/>
      <c r="L127" s="27" t="n"/>
      <c r="M127" s="27" t="n"/>
      <c r="N127" s="23" t="n"/>
      <c r="O127" s="29" t="n"/>
      <c r="P127" s="29" t="n"/>
      <c r="Q127" s="29" t="n"/>
      <c r="R127" s="29" t="n"/>
      <c r="S127" s="29" t="n"/>
      <c r="T127" s="29" t="n"/>
      <c r="U127" s="29" t="n"/>
      <c r="V127" s="30">
        <f>IF(OR($A127="",$U127=""),"",IF($S127&lt;&gt;"",MAX(0,$S127-$U127),MAX(0,TODAY()-$U127)))</f>
        <v/>
      </c>
      <c r="W127" s="30">
        <f>IF($A127="","",IF(OR($N127="Live",$N127="Retired"),"",TODAY()-MAX($O127,$P127,$Q127,$R127)))</f>
        <v/>
      </c>
      <c r="X127" s="23" t="n"/>
      <c r="Y127" s="30">
        <f>IF($A127="","",COUNTIFS('Issues Log'!$C$5:$C$504,$A127,'Issues Log'!$K$5:$K$504,"Open")+COUNTIFS('Issues Log'!$C$5:$C$504,$A127,'Issues Log'!$K$5:$K$504,"In progress"))</f>
        <v/>
      </c>
      <c r="Z127" s="27" t="n"/>
    </row>
    <row r="128">
      <c r="A128" s="27" t="n"/>
      <c r="B128" s="27" t="n"/>
      <c r="C128" s="27" t="n"/>
      <c r="D128" s="28">
        <f>IF($C128="","",IFERROR(INDEX('Topic Plan'!$C$5:$C$115,MATCH($C128,'Topic Plan'!$B$5:$B$115,0)),"UNKNOWN TOPIC ID"))</f>
        <v/>
      </c>
      <c r="E128" s="28">
        <f>IF($C128="","",IFERROR(INDEX('Topic Plan'!$D$5:$D$115,MATCH($C128,'Topic Plan'!$B$5:$B$115,0)),""))</f>
        <v/>
      </c>
      <c r="F128" s="28">
        <f>IF($C128="","",IFERROR(INDEX('Topic Plan'!$E$5:$E$115,MATCH($C128,'Topic Plan'!$B$5:$B$115,0)),""))</f>
        <v/>
      </c>
      <c r="G128" s="23" t="n"/>
      <c r="H128" s="27" t="n"/>
      <c r="I128" s="27" t="n"/>
      <c r="J128" s="27" t="n"/>
      <c r="K128" s="27" t="n"/>
      <c r="L128" s="27" t="n"/>
      <c r="M128" s="27" t="n"/>
      <c r="N128" s="23" t="n"/>
      <c r="O128" s="29" t="n"/>
      <c r="P128" s="29" t="n"/>
      <c r="Q128" s="29" t="n"/>
      <c r="R128" s="29" t="n"/>
      <c r="S128" s="29" t="n"/>
      <c r="T128" s="29" t="n"/>
      <c r="U128" s="29" t="n"/>
      <c r="V128" s="30">
        <f>IF(OR($A128="",$U128=""),"",IF($S128&lt;&gt;"",MAX(0,$S128-$U128),MAX(0,TODAY()-$U128)))</f>
        <v/>
      </c>
      <c r="W128" s="30">
        <f>IF($A128="","",IF(OR($N128="Live",$N128="Retired"),"",TODAY()-MAX($O128,$P128,$Q128,$R128)))</f>
        <v/>
      </c>
      <c r="X128" s="23" t="n"/>
      <c r="Y128" s="30">
        <f>IF($A128="","",COUNTIFS('Issues Log'!$C$5:$C$504,$A128,'Issues Log'!$K$5:$K$504,"Open")+COUNTIFS('Issues Log'!$C$5:$C$504,$A128,'Issues Log'!$K$5:$K$504,"In progress"))</f>
        <v/>
      </c>
      <c r="Z128" s="27" t="n"/>
    </row>
    <row r="129">
      <c r="A129" s="27" t="n"/>
      <c r="B129" s="27" t="n"/>
      <c r="C129" s="27" t="n"/>
      <c r="D129" s="28">
        <f>IF($C129="","",IFERROR(INDEX('Topic Plan'!$C$5:$C$115,MATCH($C129,'Topic Plan'!$B$5:$B$115,0)),"UNKNOWN TOPIC ID"))</f>
        <v/>
      </c>
      <c r="E129" s="28">
        <f>IF($C129="","",IFERROR(INDEX('Topic Plan'!$D$5:$D$115,MATCH($C129,'Topic Plan'!$B$5:$B$115,0)),""))</f>
        <v/>
      </c>
      <c r="F129" s="28">
        <f>IF($C129="","",IFERROR(INDEX('Topic Plan'!$E$5:$E$115,MATCH($C129,'Topic Plan'!$B$5:$B$115,0)),""))</f>
        <v/>
      </c>
      <c r="G129" s="23" t="n"/>
      <c r="H129" s="27" t="n"/>
      <c r="I129" s="27" t="n"/>
      <c r="J129" s="27" t="n"/>
      <c r="K129" s="27" t="n"/>
      <c r="L129" s="27" t="n"/>
      <c r="M129" s="27" t="n"/>
      <c r="N129" s="23" t="n"/>
      <c r="O129" s="29" t="n"/>
      <c r="P129" s="29" t="n"/>
      <c r="Q129" s="29" t="n"/>
      <c r="R129" s="29" t="n"/>
      <c r="S129" s="29" t="n"/>
      <c r="T129" s="29" t="n"/>
      <c r="U129" s="29" t="n"/>
      <c r="V129" s="30">
        <f>IF(OR($A129="",$U129=""),"",IF($S129&lt;&gt;"",MAX(0,$S129-$U129),MAX(0,TODAY()-$U129)))</f>
        <v/>
      </c>
      <c r="W129" s="30">
        <f>IF($A129="","",IF(OR($N129="Live",$N129="Retired"),"",TODAY()-MAX($O129,$P129,$Q129,$R129)))</f>
        <v/>
      </c>
      <c r="X129" s="23" t="n"/>
      <c r="Y129" s="30">
        <f>IF($A129="","",COUNTIFS('Issues Log'!$C$5:$C$504,$A129,'Issues Log'!$K$5:$K$504,"Open")+COUNTIFS('Issues Log'!$C$5:$C$504,$A129,'Issues Log'!$K$5:$K$504,"In progress"))</f>
        <v/>
      </c>
      <c r="Z129" s="27" t="n"/>
    </row>
    <row r="130">
      <c r="A130" s="27" t="n"/>
      <c r="B130" s="27" t="n"/>
      <c r="C130" s="27" t="n"/>
      <c r="D130" s="28">
        <f>IF($C130="","",IFERROR(INDEX('Topic Plan'!$C$5:$C$115,MATCH($C130,'Topic Plan'!$B$5:$B$115,0)),"UNKNOWN TOPIC ID"))</f>
        <v/>
      </c>
      <c r="E130" s="28">
        <f>IF($C130="","",IFERROR(INDEX('Topic Plan'!$D$5:$D$115,MATCH($C130,'Topic Plan'!$B$5:$B$115,0)),""))</f>
        <v/>
      </c>
      <c r="F130" s="28">
        <f>IF($C130="","",IFERROR(INDEX('Topic Plan'!$E$5:$E$115,MATCH($C130,'Topic Plan'!$B$5:$B$115,0)),""))</f>
        <v/>
      </c>
      <c r="G130" s="23" t="n"/>
      <c r="H130" s="27" t="n"/>
      <c r="I130" s="27" t="n"/>
      <c r="J130" s="27" t="n"/>
      <c r="K130" s="27" t="n"/>
      <c r="L130" s="27" t="n"/>
      <c r="M130" s="27" t="n"/>
      <c r="N130" s="23" t="n"/>
      <c r="O130" s="29" t="n"/>
      <c r="P130" s="29" t="n"/>
      <c r="Q130" s="29" t="n"/>
      <c r="R130" s="29" t="n"/>
      <c r="S130" s="29" t="n"/>
      <c r="T130" s="29" t="n"/>
      <c r="U130" s="29" t="n"/>
      <c r="V130" s="30">
        <f>IF(OR($A130="",$U130=""),"",IF($S130&lt;&gt;"",MAX(0,$S130-$U130),MAX(0,TODAY()-$U130)))</f>
        <v/>
      </c>
      <c r="W130" s="30">
        <f>IF($A130="","",IF(OR($N130="Live",$N130="Retired"),"",TODAY()-MAX($O130,$P130,$Q130,$R130)))</f>
        <v/>
      </c>
      <c r="X130" s="23" t="n"/>
      <c r="Y130" s="30">
        <f>IF($A130="","",COUNTIFS('Issues Log'!$C$5:$C$504,$A130,'Issues Log'!$K$5:$K$504,"Open")+COUNTIFS('Issues Log'!$C$5:$C$504,$A130,'Issues Log'!$K$5:$K$504,"In progress"))</f>
        <v/>
      </c>
      <c r="Z130" s="27" t="n"/>
    </row>
    <row r="131">
      <c r="A131" s="27" t="n"/>
      <c r="B131" s="27" t="n"/>
      <c r="C131" s="27" t="n"/>
      <c r="D131" s="28">
        <f>IF($C131="","",IFERROR(INDEX('Topic Plan'!$C$5:$C$115,MATCH($C131,'Topic Plan'!$B$5:$B$115,0)),"UNKNOWN TOPIC ID"))</f>
        <v/>
      </c>
      <c r="E131" s="28">
        <f>IF($C131="","",IFERROR(INDEX('Topic Plan'!$D$5:$D$115,MATCH($C131,'Topic Plan'!$B$5:$B$115,0)),""))</f>
        <v/>
      </c>
      <c r="F131" s="28">
        <f>IF($C131="","",IFERROR(INDEX('Topic Plan'!$E$5:$E$115,MATCH($C131,'Topic Plan'!$B$5:$B$115,0)),""))</f>
        <v/>
      </c>
      <c r="G131" s="23" t="n"/>
      <c r="H131" s="27" t="n"/>
      <c r="I131" s="27" t="n"/>
      <c r="J131" s="27" t="n"/>
      <c r="K131" s="27" t="n"/>
      <c r="L131" s="27" t="n"/>
      <c r="M131" s="27" t="n"/>
      <c r="N131" s="23" t="n"/>
      <c r="O131" s="29" t="n"/>
      <c r="P131" s="29" t="n"/>
      <c r="Q131" s="29" t="n"/>
      <c r="R131" s="29" t="n"/>
      <c r="S131" s="29" t="n"/>
      <c r="T131" s="29" t="n"/>
      <c r="U131" s="29" t="n"/>
      <c r="V131" s="30">
        <f>IF(OR($A131="",$U131=""),"",IF($S131&lt;&gt;"",MAX(0,$S131-$U131),MAX(0,TODAY()-$U131)))</f>
        <v/>
      </c>
      <c r="W131" s="30">
        <f>IF($A131="","",IF(OR($N131="Live",$N131="Retired"),"",TODAY()-MAX($O131,$P131,$Q131,$R131)))</f>
        <v/>
      </c>
      <c r="X131" s="23" t="n"/>
      <c r="Y131" s="30">
        <f>IF($A131="","",COUNTIFS('Issues Log'!$C$5:$C$504,$A131,'Issues Log'!$K$5:$K$504,"Open")+COUNTIFS('Issues Log'!$C$5:$C$504,$A131,'Issues Log'!$K$5:$K$504,"In progress"))</f>
        <v/>
      </c>
      <c r="Z131" s="27" t="n"/>
    </row>
    <row r="132">
      <c r="A132" s="27" t="n"/>
      <c r="B132" s="27" t="n"/>
      <c r="C132" s="27" t="n"/>
      <c r="D132" s="28">
        <f>IF($C132="","",IFERROR(INDEX('Topic Plan'!$C$5:$C$115,MATCH($C132,'Topic Plan'!$B$5:$B$115,0)),"UNKNOWN TOPIC ID"))</f>
        <v/>
      </c>
      <c r="E132" s="28">
        <f>IF($C132="","",IFERROR(INDEX('Topic Plan'!$D$5:$D$115,MATCH($C132,'Topic Plan'!$B$5:$B$115,0)),""))</f>
        <v/>
      </c>
      <c r="F132" s="28">
        <f>IF($C132="","",IFERROR(INDEX('Topic Plan'!$E$5:$E$115,MATCH($C132,'Topic Plan'!$B$5:$B$115,0)),""))</f>
        <v/>
      </c>
      <c r="G132" s="23" t="n"/>
      <c r="H132" s="27" t="n"/>
      <c r="I132" s="27" t="n"/>
      <c r="J132" s="27" t="n"/>
      <c r="K132" s="27" t="n"/>
      <c r="L132" s="27" t="n"/>
      <c r="M132" s="27" t="n"/>
      <c r="N132" s="23" t="n"/>
      <c r="O132" s="29" t="n"/>
      <c r="P132" s="29" t="n"/>
      <c r="Q132" s="29" t="n"/>
      <c r="R132" s="29" t="n"/>
      <c r="S132" s="29" t="n"/>
      <c r="T132" s="29" t="n"/>
      <c r="U132" s="29" t="n"/>
      <c r="V132" s="30">
        <f>IF(OR($A132="",$U132=""),"",IF($S132&lt;&gt;"",MAX(0,$S132-$U132),MAX(0,TODAY()-$U132)))</f>
        <v/>
      </c>
      <c r="W132" s="30">
        <f>IF($A132="","",IF(OR($N132="Live",$N132="Retired"),"",TODAY()-MAX($O132,$P132,$Q132,$R132)))</f>
        <v/>
      </c>
      <c r="X132" s="23" t="n"/>
      <c r="Y132" s="30">
        <f>IF($A132="","",COUNTIFS('Issues Log'!$C$5:$C$504,$A132,'Issues Log'!$K$5:$K$504,"Open")+COUNTIFS('Issues Log'!$C$5:$C$504,$A132,'Issues Log'!$K$5:$K$504,"In progress"))</f>
        <v/>
      </c>
      <c r="Z132" s="27" t="n"/>
    </row>
    <row r="133">
      <c r="A133" s="27" t="n"/>
      <c r="B133" s="27" t="n"/>
      <c r="C133" s="27" t="n"/>
      <c r="D133" s="28">
        <f>IF($C133="","",IFERROR(INDEX('Topic Plan'!$C$5:$C$115,MATCH($C133,'Topic Plan'!$B$5:$B$115,0)),"UNKNOWN TOPIC ID"))</f>
        <v/>
      </c>
      <c r="E133" s="28">
        <f>IF($C133="","",IFERROR(INDEX('Topic Plan'!$D$5:$D$115,MATCH($C133,'Topic Plan'!$B$5:$B$115,0)),""))</f>
        <v/>
      </c>
      <c r="F133" s="28">
        <f>IF($C133="","",IFERROR(INDEX('Topic Plan'!$E$5:$E$115,MATCH($C133,'Topic Plan'!$B$5:$B$115,0)),""))</f>
        <v/>
      </c>
      <c r="G133" s="23" t="n"/>
      <c r="H133" s="27" t="n"/>
      <c r="I133" s="27" t="n"/>
      <c r="J133" s="27" t="n"/>
      <c r="K133" s="27" t="n"/>
      <c r="L133" s="27" t="n"/>
      <c r="M133" s="27" t="n"/>
      <c r="N133" s="23" t="n"/>
      <c r="O133" s="29" t="n"/>
      <c r="P133" s="29" t="n"/>
      <c r="Q133" s="29" t="n"/>
      <c r="R133" s="29" t="n"/>
      <c r="S133" s="29" t="n"/>
      <c r="T133" s="29" t="n"/>
      <c r="U133" s="29" t="n"/>
      <c r="V133" s="30">
        <f>IF(OR($A133="",$U133=""),"",IF($S133&lt;&gt;"",MAX(0,$S133-$U133),MAX(0,TODAY()-$U133)))</f>
        <v/>
      </c>
      <c r="W133" s="30">
        <f>IF($A133="","",IF(OR($N133="Live",$N133="Retired"),"",TODAY()-MAX($O133,$P133,$Q133,$R133)))</f>
        <v/>
      </c>
      <c r="X133" s="23" t="n"/>
      <c r="Y133" s="30">
        <f>IF($A133="","",COUNTIFS('Issues Log'!$C$5:$C$504,$A133,'Issues Log'!$K$5:$K$504,"Open")+COUNTIFS('Issues Log'!$C$5:$C$504,$A133,'Issues Log'!$K$5:$K$504,"In progress"))</f>
        <v/>
      </c>
      <c r="Z133" s="27" t="n"/>
    </row>
    <row r="134">
      <c r="A134" s="27" t="n"/>
      <c r="B134" s="27" t="n"/>
      <c r="C134" s="27" t="n"/>
      <c r="D134" s="28">
        <f>IF($C134="","",IFERROR(INDEX('Topic Plan'!$C$5:$C$115,MATCH($C134,'Topic Plan'!$B$5:$B$115,0)),"UNKNOWN TOPIC ID"))</f>
        <v/>
      </c>
      <c r="E134" s="28">
        <f>IF($C134="","",IFERROR(INDEX('Topic Plan'!$D$5:$D$115,MATCH($C134,'Topic Plan'!$B$5:$B$115,0)),""))</f>
        <v/>
      </c>
      <c r="F134" s="28">
        <f>IF($C134="","",IFERROR(INDEX('Topic Plan'!$E$5:$E$115,MATCH($C134,'Topic Plan'!$B$5:$B$115,0)),""))</f>
        <v/>
      </c>
      <c r="G134" s="23" t="n"/>
      <c r="H134" s="27" t="n"/>
      <c r="I134" s="27" t="n"/>
      <c r="J134" s="27" t="n"/>
      <c r="K134" s="27" t="n"/>
      <c r="L134" s="27" t="n"/>
      <c r="M134" s="27" t="n"/>
      <c r="N134" s="23" t="n"/>
      <c r="O134" s="29" t="n"/>
      <c r="P134" s="29" t="n"/>
      <c r="Q134" s="29" t="n"/>
      <c r="R134" s="29" t="n"/>
      <c r="S134" s="29" t="n"/>
      <c r="T134" s="29" t="n"/>
      <c r="U134" s="29" t="n"/>
      <c r="V134" s="30">
        <f>IF(OR($A134="",$U134=""),"",IF($S134&lt;&gt;"",MAX(0,$S134-$U134),MAX(0,TODAY()-$U134)))</f>
        <v/>
      </c>
      <c r="W134" s="30">
        <f>IF($A134="","",IF(OR($N134="Live",$N134="Retired"),"",TODAY()-MAX($O134,$P134,$Q134,$R134)))</f>
        <v/>
      </c>
      <c r="X134" s="23" t="n"/>
      <c r="Y134" s="30">
        <f>IF($A134="","",COUNTIFS('Issues Log'!$C$5:$C$504,$A134,'Issues Log'!$K$5:$K$504,"Open")+COUNTIFS('Issues Log'!$C$5:$C$504,$A134,'Issues Log'!$K$5:$K$504,"In progress"))</f>
        <v/>
      </c>
      <c r="Z134" s="27" t="n"/>
    </row>
    <row r="135">
      <c r="A135" s="27" t="n"/>
      <c r="B135" s="27" t="n"/>
      <c r="C135" s="27" t="n"/>
      <c r="D135" s="28">
        <f>IF($C135="","",IFERROR(INDEX('Topic Plan'!$C$5:$C$115,MATCH($C135,'Topic Plan'!$B$5:$B$115,0)),"UNKNOWN TOPIC ID"))</f>
        <v/>
      </c>
      <c r="E135" s="28">
        <f>IF($C135="","",IFERROR(INDEX('Topic Plan'!$D$5:$D$115,MATCH($C135,'Topic Plan'!$B$5:$B$115,0)),""))</f>
        <v/>
      </c>
      <c r="F135" s="28">
        <f>IF($C135="","",IFERROR(INDEX('Topic Plan'!$E$5:$E$115,MATCH($C135,'Topic Plan'!$B$5:$B$115,0)),""))</f>
        <v/>
      </c>
      <c r="G135" s="23" t="n"/>
      <c r="H135" s="27" t="n"/>
      <c r="I135" s="27" t="n"/>
      <c r="J135" s="27" t="n"/>
      <c r="K135" s="27" t="n"/>
      <c r="L135" s="27" t="n"/>
      <c r="M135" s="27" t="n"/>
      <c r="N135" s="23" t="n"/>
      <c r="O135" s="29" t="n"/>
      <c r="P135" s="29" t="n"/>
      <c r="Q135" s="29" t="n"/>
      <c r="R135" s="29" t="n"/>
      <c r="S135" s="29" t="n"/>
      <c r="T135" s="29" t="n"/>
      <c r="U135" s="29" t="n"/>
      <c r="V135" s="30">
        <f>IF(OR($A135="",$U135=""),"",IF($S135&lt;&gt;"",MAX(0,$S135-$U135),MAX(0,TODAY()-$U135)))</f>
        <v/>
      </c>
      <c r="W135" s="30">
        <f>IF($A135="","",IF(OR($N135="Live",$N135="Retired"),"",TODAY()-MAX($O135,$P135,$Q135,$R135)))</f>
        <v/>
      </c>
      <c r="X135" s="23" t="n"/>
      <c r="Y135" s="30">
        <f>IF($A135="","",COUNTIFS('Issues Log'!$C$5:$C$504,$A135,'Issues Log'!$K$5:$K$504,"Open")+COUNTIFS('Issues Log'!$C$5:$C$504,$A135,'Issues Log'!$K$5:$K$504,"In progress"))</f>
        <v/>
      </c>
      <c r="Z135" s="27" t="n"/>
    </row>
    <row r="136">
      <c r="A136" s="27" t="n"/>
      <c r="B136" s="27" t="n"/>
      <c r="C136" s="27" t="n"/>
      <c r="D136" s="28">
        <f>IF($C136="","",IFERROR(INDEX('Topic Plan'!$C$5:$C$115,MATCH($C136,'Topic Plan'!$B$5:$B$115,0)),"UNKNOWN TOPIC ID"))</f>
        <v/>
      </c>
      <c r="E136" s="28">
        <f>IF($C136="","",IFERROR(INDEX('Topic Plan'!$D$5:$D$115,MATCH($C136,'Topic Plan'!$B$5:$B$115,0)),""))</f>
        <v/>
      </c>
      <c r="F136" s="28">
        <f>IF($C136="","",IFERROR(INDEX('Topic Plan'!$E$5:$E$115,MATCH($C136,'Topic Plan'!$B$5:$B$115,0)),""))</f>
        <v/>
      </c>
      <c r="G136" s="23" t="n"/>
      <c r="H136" s="27" t="n"/>
      <c r="I136" s="27" t="n"/>
      <c r="J136" s="27" t="n"/>
      <c r="K136" s="27" t="n"/>
      <c r="L136" s="27" t="n"/>
      <c r="M136" s="27" t="n"/>
      <c r="N136" s="23" t="n"/>
      <c r="O136" s="29" t="n"/>
      <c r="P136" s="29" t="n"/>
      <c r="Q136" s="29" t="n"/>
      <c r="R136" s="29" t="n"/>
      <c r="S136" s="29" t="n"/>
      <c r="T136" s="29" t="n"/>
      <c r="U136" s="29" t="n"/>
      <c r="V136" s="30">
        <f>IF(OR($A136="",$U136=""),"",IF($S136&lt;&gt;"",MAX(0,$S136-$U136),MAX(0,TODAY()-$U136)))</f>
        <v/>
      </c>
      <c r="W136" s="30">
        <f>IF($A136="","",IF(OR($N136="Live",$N136="Retired"),"",TODAY()-MAX($O136,$P136,$Q136,$R136)))</f>
        <v/>
      </c>
      <c r="X136" s="23" t="n"/>
      <c r="Y136" s="30">
        <f>IF($A136="","",COUNTIFS('Issues Log'!$C$5:$C$504,$A136,'Issues Log'!$K$5:$K$504,"Open")+COUNTIFS('Issues Log'!$C$5:$C$504,$A136,'Issues Log'!$K$5:$K$504,"In progress"))</f>
        <v/>
      </c>
      <c r="Z136" s="27" t="n"/>
    </row>
    <row r="137">
      <c r="A137" s="27" t="n"/>
      <c r="B137" s="27" t="n"/>
      <c r="C137" s="27" t="n"/>
      <c r="D137" s="28">
        <f>IF($C137="","",IFERROR(INDEX('Topic Plan'!$C$5:$C$115,MATCH($C137,'Topic Plan'!$B$5:$B$115,0)),"UNKNOWN TOPIC ID"))</f>
        <v/>
      </c>
      <c r="E137" s="28">
        <f>IF($C137="","",IFERROR(INDEX('Topic Plan'!$D$5:$D$115,MATCH($C137,'Topic Plan'!$B$5:$B$115,0)),""))</f>
        <v/>
      </c>
      <c r="F137" s="28">
        <f>IF($C137="","",IFERROR(INDEX('Topic Plan'!$E$5:$E$115,MATCH($C137,'Topic Plan'!$B$5:$B$115,0)),""))</f>
        <v/>
      </c>
      <c r="G137" s="23" t="n"/>
      <c r="H137" s="27" t="n"/>
      <c r="I137" s="27" t="n"/>
      <c r="J137" s="27" t="n"/>
      <c r="K137" s="27" t="n"/>
      <c r="L137" s="27" t="n"/>
      <c r="M137" s="27" t="n"/>
      <c r="N137" s="23" t="n"/>
      <c r="O137" s="29" t="n"/>
      <c r="P137" s="29" t="n"/>
      <c r="Q137" s="29" t="n"/>
      <c r="R137" s="29" t="n"/>
      <c r="S137" s="29" t="n"/>
      <c r="T137" s="29" t="n"/>
      <c r="U137" s="29" t="n"/>
      <c r="V137" s="30">
        <f>IF(OR($A137="",$U137=""),"",IF($S137&lt;&gt;"",MAX(0,$S137-$U137),MAX(0,TODAY()-$U137)))</f>
        <v/>
      </c>
      <c r="W137" s="30">
        <f>IF($A137="","",IF(OR($N137="Live",$N137="Retired"),"",TODAY()-MAX($O137,$P137,$Q137,$R137)))</f>
        <v/>
      </c>
      <c r="X137" s="23" t="n"/>
      <c r="Y137" s="30">
        <f>IF($A137="","",COUNTIFS('Issues Log'!$C$5:$C$504,$A137,'Issues Log'!$K$5:$K$504,"Open")+COUNTIFS('Issues Log'!$C$5:$C$504,$A137,'Issues Log'!$K$5:$K$504,"In progress"))</f>
        <v/>
      </c>
      <c r="Z137" s="27" t="n"/>
    </row>
    <row r="138">
      <c r="A138" s="27" t="n"/>
      <c r="B138" s="27" t="n"/>
      <c r="C138" s="27" t="n"/>
      <c r="D138" s="28">
        <f>IF($C138="","",IFERROR(INDEX('Topic Plan'!$C$5:$C$115,MATCH($C138,'Topic Plan'!$B$5:$B$115,0)),"UNKNOWN TOPIC ID"))</f>
        <v/>
      </c>
      <c r="E138" s="28">
        <f>IF($C138="","",IFERROR(INDEX('Topic Plan'!$D$5:$D$115,MATCH($C138,'Topic Plan'!$B$5:$B$115,0)),""))</f>
        <v/>
      </c>
      <c r="F138" s="28">
        <f>IF($C138="","",IFERROR(INDEX('Topic Plan'!$E$5:$E$115,MATCH($C138,'Topic Plan'!$B$5:$B$115,0)),""))</f>
        <v/>
      </c>
      <c r="G138" s="23" t="n"/>
      <c r="H138" s="27" t="n"/>
      <c r="I138" s="27" t="n"/>
      <c r="J138" s="27" t="n"/>
      <c r="K138" s="27" t="n"/>
      <c r="L138" s="27" t="n"/>
      <c r="M138" s="27" t="n"/>
      <c r="N138" s="23" t="n"/>
      <c r="O138" s="29" t="n"/>
      <c r="P138" s="29" t="n"/>
      <c r="Q138" s="29" t="n"/>
      <c r="R138" s="29" t="n"/>
      <c r="S138" s="29" t="n"/>
      <c r="T138" s="29" t="n"/>
      <c r="U138" s="29" t="n"/>
      <c r="V138" s="30">
        <f>IF(OR($A138="",$U138=""),"",IF($S138&lt;&gt;"",MAX(0,$S138-$U138),MAX(0,TODAY()-$U138)))</f>
        <v/>
      </c>
      <c r="W138" s="30">
        <f>IF($A138="","",IF(OR($N138="Live",$N138="Retired"),"",TODAY()-MAX($O138,$P138,$Q138,$R138)))</f>
        <v/>
      </c>
      <c r="X138" s="23" t="n"/>
      <c r="Y138" s="30">
        <f>IF($A138="","",COUNTIFS('Issues Log'!$C$5:$C$504,$A138,'Issues Log'!$K$5:$K$504,"Open")+COUNTIFS('Issues Log'!$C$5:$C$504,$A138,'Issues Log'!$K$5:$K$504,"In progress"))</f>
        <v/>
      </c>
      <c r="Z138" s="27" t="n"/>
    </row>
    <row r="139">
      <c r="A139" s="27" t="n"/>
      <c r="B139" s="27" t="n"/>
      <c r="C139" s="27" t="n"/>
      <c r="D139" s="28">
        <f>IF($C139="","",IFERROR(INDEX('Topic Plan'!$C$5:$C$115,MATCH($C139,'Topic Plan'!$B$5:$B$115,0)),"UNKNOWN TOPIC ID"))</f>
        <v/>
      </c>
      <c r="E139" s="28">
        <f>IF($C139="","",IFERROR(INDEX('Topic Plan'!$D$5:$D$115,MATCH($C139,'Topic Plan'!$B$5:$B$115,0)),""))</f>
        <v/>
      </c>
      <c r="F139" s="28">
        <f>IF($C139="","",IFERROR(INDEX('Topic Plan'!$E$5:$E$115,MATCH($C139,'Topic Plan'!$B$5:$B$115,0)),""))</f>
        <v/>
      </c>
      <c r="G139" s="23" t="n"/>
      <c r="H139" s="27" t="n"/>
      <c r="I139" s="27" t="n"/>
      <c r="J139" s="27" t="n"/>
      <c r="K139" s="27" t="n"/>
      <c r="L139" s="27" t="n"/>
      <c r="M139" s="27" t="n"/>
      <c r="N139" s="23" t="n"/>
      <c r="O139" s="29" t="n"/>
      <c r="P139" s="29" t="n"/>
      <c r="Q139" s="29" t="n"/>
      <c r="R139" s="29" t="n"/>
      <c r="S139" s="29" t="n"/>
      <c r="T139" s="29" t="n"/>
      <c r="U139" s="29" t="n"/>
      <c r="V139" s="30">
        <f>IF(OR($A139="",$U139=""),"",IF($S139&lt;&gt;"",MAX(0,$S139-$U139),MAX(0,TODAY()-$U139)))</f>
        <v/>
      </c>
      <c r="W139" s="30">
        <f>IF($A139="","",IF(OR($N139="Live",$N139="Retired"),"",TODAY()-MAX($O139,$P139,$Q139,$R139)))</f>
        <v/>
      </c>
      <c r="X139" s="23" t="n"/>
      <c r="Y139" s="30">
        <f>IF($A139="","",COUNTIFS('Issues Log'!$C$5:$C$504,$A139,'Issues Log'!$K$5:$K$504,"Open")+COUNTIFS('Issues Log'!$C$5:$C$504,$A139,'Issues Log'!$K$5:$K$504,"In progress"))</f>
        <v/>
      </c>
      <c r="Z139" s="27" t="n"/>
    </row>
    <row r="140">
      <c r="A140" s="27" t="n"/>
      <c r="B140" s="27" t="n"/>
      <c r="C140" s="27" t="n"/>
      <c r="D140" s="28">
        <f>IF($C140="","",IFERROR(INDEX('Topic Plan'!$C$5:$C$115,MATCH($C140,'Topic Plan'!$B$5:$B$115,0)),"UNKNOWN TOPIC ID"))</f>
        <v/>
      </c>
      <c r="E140" s="28">
        <f>IF($C140="","",IFERROR(INDEX('Topic Plan'!$D$5:$D$115,MATCH($C140,'Topic Plan'!$B$5:$B$115,0)),""))</f>
        <v/>
      </c>
      <c r="F140" s="28">
        <f>IF($C140="","",IFERROR(INDEX('Topic Plan'!$E$5:$E$115,MATCH($C140,'Topic Plan'!$B$5:$B$115,0)),""))</f>
        <v/>
      </c>
      <c r="G140" s="23" t="n"/>
      <c r="H140" s="27" t="n"/>
      <c r="I140" s="27" t="n"/>
      <c r="J140" s="27" t="n"/>
      <c r="K140" s="27" t="n"/>
      <c r="L140" s="27" t="n"/>
      <c r="M140" s="27" t="n"/>
      <c r="N140" s="23" t="n"/>
      <c r="O140" s="29" t="n"/>
      <c r="P140" s="29" t="n"/>
      <c r="Q140" s="29" t="n"/>
      <c r="R140" s="29" t="n"/>
      <c r="S140" s="29" t="n"/>
      <c r="T140" s="29" t="n"/>
      <c r="U140" s="29" t="n"/>
      <c r="V140" s="30">
        <f>IF(OR($A140="",$U140=""),"",IF($S140&lt;&gt;"",MAX(0,$S140-$U140),MAX(0,TODAY()-$U140)))</f>
        <v/>
      </c>
      <c r="W140" s="30">
        <f>IF($A140="","",IF(OR($N140="Live",$N140="Retired"),"",TODAY()-MAX($O140,$P140,$Q140,$R140)))</f>
        <v/>
      </c>
      <c r="X140" s="23" t="n"/>
      <c r="Y140" s="30">
        <f>IF($A140="","",COUNTIFS('Issues Log'!$C$5:$C$504,$A140,'Issues Log'!$K$5:$K$504,"Open")+COUNTIFS('Issues Log'!$C$5:$C$504,$A140,'Issues Log'!$K$5:$K$504,"In progress"))</f>
        <v/>
      </c>
      <c r="Z140" s="27" t="n"/>
    </row>
    <row r="141">
      <c r="A141" s="27" t="n"/>
      <c r="B141" s="27" t="n"/>
      <c r="C141" s="27" t="n"/>
      <c r="D141" s="28">
        <f>IF($C141="","",IFERROR(INDEX('Topic Plan'!$C$5:$C$115,MATCH($C141,'Topic Plan'!$B$5:$B$115,0)),"UNKNOWN TOPIC ID"))</f>
        <v/>
      </c>
      <c r="E141" s="28">
        <f>IF($C141="","",IFERROR(INDEX('Topic Plan'!$D$5:$D$115,MATCH($C141,'Topic Plan'!$B$5:$B$115,0)),""))</f>
        <v/>
      </c>
      <c r="F141" s="28">
        <f>IF($C141="","",IFERROR(INDEX('Topic Plan'!$E$5:$E$115,MATCH($C141,'Topic Plan'!$B$5:$B$115,0)),""))</f>
        <v/>
      </c>
      <c r="G141" s="23" t="n"/>
      <c r="H141" s="27" t="n"/>
      <c r="I141" s="27" t="n"/>
      <c r="J141" s="27" t="n"/>
      <c r="K141" s="27" t="n"/>
      <c r="L141" s="27" t="n"/>
      <c r="M141" s="27" t="n"/>
      <c r="N141" s="23" t="n"/>
      <c r="O141" s="29" t="n"/>
      <c r="P141" s="29" t="n"/>
      <c r="Q141" s="29" t="n"/>
      <c r="R141" s="29" t="n"/>
      <c r="S141" s="29" t="n"/>
      <c r="T141" s="29" t="n"/>
      <c r="U141" s="29" t="n"/>
      <c r="V141" s="30">
        <f>IF(OR($A141="",$U141=""),"",IF($S141&lt;&gt;"",MAX(0,$S141-$U141),MAX(0,TODAY()-$U141)))</f>
        <v/>
      </c>
      <c r="W141" s="30">
        <f>IF($A141="","",IF(OR($N141="Live",$N141="Retired"),"",TODAY()-MAX($O141,$P141,$Q141,$R141)))</f>
        <v/>
      </c>
      <c r="X141" s="23" t="n"/>
      <c r="Y141" s="30">
        <f>IF($A141="","",COUNTIFS('Issues Log'!$C$5:$C$504,$A141,'Issues Log'!$K$5:$K$504,"Open")+COUNTIFS('Issues Log'!$C$5:$C$504,$A141,'Issues Log'!$K$5:$K$504,"In progress"))</f>
        <v/>
      </c>
      <c r="Z141" s="27" t="n"/>
    </row>
    <row r="142">
      <c r="A142" s="27" t="n"/>
      <c r="B142" s="27" t="n"/>
      <c r="C142" s="27" t="n"/>
      <c r="D142" s="28">
        <f>IF($C142="","",IFERROR(INDEX('Topic Plan'!$C$5:$C$115,MATCH($C142,'Topic Plan'!$B$5:$B$115,0)),"UNKNOWN TOPIC ID"))</f>
        <v/>
      </c>
      <c r="E142" s="28">
        <f>IF($C142="","",IFERROR(INDEX('Topic Plan'!$D$5:$D$115,MATCH($C142,'Topic Plan'!$B$5:$B$115,0)),""))</f>
        <v/>
      </c>
      <c r="F142" s="28">
        <f>IF($C142="","",IFERROR(INDEX('Topic Plan'!$E$5:$E$115,MATCH($C142,'Topic Plan'!$B$5:$B$115,0)),""))</f>
        <v/>
      </c>
      <c r="G142" s="23" t="n"/>
      <c r="H142" s="27" t="n"/>
      <c r="I142" s="27" t="n"/>
      <c r="J142" s="27" t="n"/>
      <c r="K142" s="27" t="n"/>
      <c r="L142" s="27" t="n"/>
      <c r="M142" s="27" t="n"/>
      <c r="N142" s="23" t="n"/>
      <c r="O142" s="29" t="n"/>
      <c r="P142" s="29" t="n"/>
      <c r="Q142" s="29" t="n"/>
      <c r="R142" s="29" t="n"/>
      <c r="S142" s="29" t="n"/>
      <c r="T142" s="29" t="n"/>
      <c r="U142" s="29" t="n"/>
      <c r="V142" s="30">
        <f>IF(OR($A142="",$U142=""),"",IF($S142&lt;&gt;"",MAX(0,$S142-$U142),MAX(0,TODAY()-$U142)))</f>
        <v/>
      </c>
      <c r="W142" s="30">
        <f>IF($A142="","",IF(OR($N142="Live",$N142="Retired"),"",TODAY()-MAX($O142,$P142,$Q142,$R142)))</f>
        <v/>
      </c>
      <c r="X142" s="23" t="n"/>
      <c r="Y142" s="30">
        <f>IF($A142="","",COUNTIFS('Issues Log'!$C$5:$C$504,$A142,'Issues Log'!$K$5:$K$504,"Open")+COUNTIFS('Issues Log'!$C$5:$C$504,$A142,'Issues Log'!$K$5:$K$504,"In progress"))</f>
        <v/>
      </c>
      <c r="Z142" s="27" t="n"/>
    </row>
    <row r="143">
      <c r="A143" s="27" t="n"/>
      <c r="B143" s="27" t="n"/>
      <c r="C143" s="27" t="n"/>
      <c r="D143" s="28">
        <f>IF($C143="","",IFERROR(INDEX('Topic Plan'!$C$5:$C$115,MATCH($C143,'Topic Plan'!$B$5:$B$115,0)),"UNKNOWN TOPIC ID"))</f>
        <v/>
      </c>
      <c r="E143" s="28">
        <f>IF($C143="","",IFERROR(INDEX('Topic Plan'!$D$5:$D$115,MATCH($C143,'Topic Plan'!$B$5:$B$115,0)),""))</f>
        <v/>
      </c>
      <c r="F143" s="28">
        <f>IF($C143="","",IFERROR(INDEX('Topic Plan'!$E$5:$E$115,MATCH($C143,'Topic Plan'!$B$5:$B$115,0)),""))</f>
        <v/>
      </c>
      <c r="G143" s="23" t="n"/>
      <c r="H143" s="27" t="n"/>
      <c r="I143" s="27" t="n"/>
      <c r="J143" s="27" t="n"/>
      <c r="K143" s="27" t="n"/>
      <c r="L143" s="27" t="n"/>
      <c r="M143" s="27" t="n"/>
      <c r="N143" s="23" t="n"/>
      <c r="O143" s="29" t="n"/>
      <c r="P143" s="29" t="n"/>
      <c r="Q143" s="29" t="n"/>
      <c r="R143" s="29" t="n"/>
      <c r="S143" s="29" t="n"/>
      <c r="T143" s="29" t="n"/>
      <c r="U143" s="29" t="n"/>
      <c r="V143" s="30">
        <f>IF(OR($A143="",$U143=""),"",IF($S143&lt;&gt;"",MAX(0,$S143-$U143),MAX(0,TODAY()-$U143)))</f>
        <v/>
      </c>
      <c r="W143" s="30">
        <f>IF($A143="","",IF(OR($N143="Live",$N143="Retired"),"",TODAY()-MAX($O143,$P143,$Q143,$R143)))</f>
        <v/>
      </c>
      <c r="X143" s="23" t="n"/>
      <c r="Y143" s="30">
        <f>IF($A143="","",COUNTIFS('Issues Log'!$C$5:$C$504,$A143,'Issues Log'!$K$5:$K$504,"Open")+COUNTIFS('Issues Log'!$C$5:$C$504,$A143,'Issues Log'!$K$5:$K$504,"In progress"))</f>
        <v/>
      </c>
      <c r="Z143" s="27" t="n"/>
    </row>
    <row r="144">
      <c r="A144" s="27" t="n"/>
      <c r="B144" s="27" t="n"/>
      <c r="C144" s="27" t="n"/>
      <c r="D144" s="28">
        <f>IF($C144="","",IFERROR(INDEX('Topic Plan'!$C$5:$C$115,MATCH($C144,'Topic Plan'!$B$5:$B$115,0)),"UNKNOWN TOPIC ID"))</f>
        <v/>
      </c>
      <c r="E144" s="28">
        <f>IF($C144="","",IFERROR(INDEX('Topic Plan'!$D$5:$D$115,MATCH($C144,'Topic Plan'!$B$5:$B$115,0)),""))</f>
        <v/>
      </c>
      <c r="F144" s="28">
        <f>IF($C144="","",IFERROR(INDEX('Topic Plan'!$E$5:$E$115,MATCH($C144,'Topic Plan'!$B$5:$B$115,0)),""))</f>
        <v/>
      </c>
      <c r="G144" s="23" t="n"/>
      <c r="H144" s="27" t="n"/>
      <c r="I144" s="27" t="n"/>
      <c r="J144" s="27" t="n"/>
      <c r="K144" s="27" t="n"/>
      <c r="L144" s="27" t="n"/>
      <c r="M144" s="27" t="n"/>
      <c r="N144" s="23" t="n"/>
      <c r="O144" s="29" t="n"/>
      <c r="P144" s="29" t="n"/>
      <c r="Q144" s="29" t="n"/>
      <c r="R144" s="29" t="n"/>
      <c r="S144" s="29" t="n"/>
      <c r="T144" s="29" t="n"/>
      <c r="U144" s="29" t="n"/>
      <c r="V144" s="30">
        <f>IF(OR($A144="",$U144=""),"",IF($S144&lt;&gt;"",MAX(0,$S144-$U144),MAX(0,TODAY()-$U144)))</f>
        <v/>
      </c>
      <c r="W144" s="30">
        <f>IF($A144="","",IF(OR($N144="Live",$N144="Retired"),"",TODAY()-MAX($O144,$P144,$Q144,$R144)))</f>
        <v/>
      </c>
      <c r="X144" s="23" t="n"/>
      <c r="Y144" s="30">
        <f>IF($A144="","",COUNTIFS('Issues Log'!$C$5:$C$504,$A144,'Issues Log'!$K$5:$K$504,"Open")+COUNTIFS('Issues Log'!$C$5:$C$504,$A144,'Issues Log'!$K$5:$K$504,"In progress"))</f>
        <v/>
      </c>
      <c r="Z144" s="27" t="n"/>
    </row>
    <row r="145">
      <c r="A145" s="27" t="n"/>
      <c r="B145" s="27" t="n"/>
      <c r="C145" s="27" t="n"/>
      <c r="D145" s="28">
        <f>IF($C145="","",IFERROR(INDEX('Topic Plan'!$C$5:$C$115,MATCH($C145,'Topic Plan'!$B$5:$B$115,0)),"UNKNOWN TOPIC ID"))</f>
        <v/>
      </c>
      <c r="E145" s="28">
        <f>IF($C145="","",IFERROR(INDEX('Topic Plan'!$D$5:$D$115,MATCH($C145,'Topic Plan'!$B$5:$B$115,0)),""))</f>
        <v/>
      </c>
      <c r="F145" s="28">
        <f>IF($C145="","",IFERROR(INDEX('Topic Plan'!$E$5:$E$115,MATCH($C145,'Topic Plan'!$B$5:$B$115,0)),""))</f>
        <v/>
      </c>
      <c r="G145" s="23" t="n"/>
      <c r="H145" s="27" t="n"/>
      <c r="I145" s="27" t="n"/>
      <c r="J145" s="27" t="n"/>
      <c r="K145" s="27" t="n"/>
      <c r="L145" s="27" t="n"/>
      <c r="M145" s="27" t="n"/>
      <c r="N145" s="23" t="n"/>
      <c r="O145" s="29" t="n"/>
      <c r="P145" s="29" t="n"/>
      <c r="Q145" s="29" t="n"/>
      <c r="R145" s="29" t="n"/>
      <c r="S145" s="29" t="n"/>
      <c r="T145" s="29" t="n"/>
      <c r="U145" s="29" t="n"/>
      <c r="V145" s="30">
        <f>IF(OR($A145="",$U145=""),"",IF($S145&lt;&gt;"",MAX(0,$S145-$U145),MAX(0,TODAY()-$U145)))</f>
        <v/>
      </c>
      <c r="W145" s="30">
        <f>IF($A145="","",IF(OR($N145="Live",$N145="Retired"),"",TODAY()-MAX($O145,$P145,$Q145,$R145)))</f>
        <v/>
      </c>
      <c r="X145" s="23" t="n"/>
      <c r="Y145" s="30">
        <f>IF($A145="","",COUNTIFS('Issues Log'!$C$5:$C$504,$A145,'Issues Log'!$K$5:$K$504,"Open")+COUNTIFS('Issues Log'!$C$5:$C$504,$A145,'Issues Log'!$K$5:$K$504,"In progress"))</f>
        <v/>
      </c>
      <c r="Z145" s="27" t="n"/>
    </row>
    <row r="146">
      <c r="A146" s="27" t="n"/>
      <c r="B146" s="27" t="n"/>
      <c r="C146" s="27" t="n"/>
      <c r="D146" s="28">
        <f>IF($C146="","",IFERROR(INDEX('Topic Plan'!$C$5:$C$115,MATCH($C146,'Topic Plan'!$B$5:$B$115,0)),"UNKNOWN TOPIC ID"))</f>
        <v/>
      </c>
      <c r="E146" s="28">
        <f>IF($C146="","",IFERROR(INDEX('Topic Plan'!$D$5:$D$115,MATCH($C146,'Topic Plan'!$B$5:$B$115,0)),""))</f>
        <v/>
      </c>
      <c r="F146" s="28">
        <f>IF($C146="","",IFERROR(INDEX('Topic Plan'!$E$5:$E$115,MATCH($C146,'Topic Plan'!$B$5:$B$115,0)),""))</f>
        <v/>
      </c>
      <c r="G146" s="23" t="n"/>
      <c r="H146" s="27" t="n"/>
      <c r="I146" s="27" t="n"/>
      <c r="J146" s="27" t="n"/>
      <c r="K146" s="27" t="n"/>
      <c r="L146" s="27" t="n"/>
      <c r="M146" s="27" t="n"/>
      <c r="N146" s="23" t="n"/>
      <c r="O146" s="29" t="n"/>
      <c r="P146" s="29" t="n"/>
      <c r="Q146" s="29" t="n"/>
      <c r="R146" s="29" t="n"/>
      <c r="S146" s="29" t="n"/>
      <c r="T146" s="29" t="n"/>
      <c r="U146" s="29" t="n"/>
      <c r="V146" s="30">
        <f>IF(OR($A146="",$U146=""),"",IF($S146&lt;&gt;"",MAX(0,$S146-$U146),MAX(0,TODAY()-$U146)))</f>
        <v/>
      </c>
      <c r="W146" s="30">
        <f>IF($A146="","",IF(OR($N146="Live",$N146="Retired"),"",TODAY()-MAX($O146,$P146,$Q146,$R146)))</f>
        <v/>
      </c>
      <c r="X146" s="23" t="n"/>
      <c r="Y146" s="30">
        <f>IF($A146="","",COUNTIFS('Issues Log'!$C$5:$C$504,$A146,'Issues Log'!$K$5:$K$504,"Open")+COUNTIFS('Issues Log'!$C$5:$C$504,$A146,'Issues Log'!$K$5:$K$504,"In progress"))</f>
        <v/>
      </c>
      <c r="Z146" s="27" t="n"/>
    </row>
    <row r="147">
      <c r="A147" s="27" t="n"/>
      <c r="B147" s="27" t="n"/>
      <c r="C147" s="27" t="n"/>
      <c r="D147" s="28">
        <f>IF($C147="","",IFERROR(INDEX('Topic Plan'!$C$5:$C$115,MATCH($C147,'Topic Plan'!$B$5:$B$115,0)),"UNKNOWN TOPIC ID"))</f>
        <v/>
      </c>
      <c r="E147" s="28">
        <f>IF($C147="","",IFERROR(INDEX('Topic Plan'!$D$5:$D$115,MATCH($C147,'Topic Plan'!$B$5:$B$115,0)),""))</f>
        <v/>
      </c>
      <c r="F147" s="28">
        <f>IF($C147="","",IFERROR(INDEX('Topic Plan'!$E$5:$E$115,MATCH($C147,'Topic Plan'!$B$5:$B$115,0)),""))</f>
        <v/>
      </c>
      <c r="G147" s="23" t="n"/>
      <c r="H147" s="27" t="n"/>
      <c r="I147" s="27" t="n"/>
      <c r="J147" s="27" t="n"/>
      <c r="K147" s="27" t="n"/>
      <c r="L147" s="27" t="n"/>
      <c r="M147" s="27" t="n"/>
      <c r="N147" s="23" t="n"/>
      <c r="O147" s="29" t="n"/>
      <c r="P147" s="29" t="n"/>
      <c r="Q147" s="29" t="n"/>
      <c r="R147" s="29" t="n"/>
      <c r="S147" s="29" t="n"/>
      <c r="T147" s="29" t="n"/>
      <c r="U147" s="29" t="n"/>
      <c r="V147" s="30">
        <f>IF(OR($A147="",$U147=""),"",IF($S147&lt;&gt;"",MAX(0,$S147-$U147),MAX(0,TODAY()-$U147)))</f>
        <v/>
      </c>
      <c r="W147" s="30">
        <f>IF($A147="","",IF(OR($N147="Live",$N147="Retired"),"",TODAY()-MAX($O147,$P147,$Q147,$R147)))</f>
        <v/>
      </c>
      <c r="X147" s="23" t="n"/>
      <c r="Y147" s="30">
        <f>IF($A147="","",COUNTIFS('Issues Log'!$C$5:$C$504,$A147,'Issues Log'!$K$5:$K$504,"Open")+COUNTIFS('Issues Log'!$C$5:$C$504,$A147,'Issues Log'!$K$5:$K$504,"In progress"))</f>
        <v/>
      </c>
      <c r="Z147" s="27" t="n"/>
    </row>
    <row r="148">
      <c r="A148" s="27" t="n"/>
      <c r="B148" s="27" t="n"/>
      <c r="C148" s="27" t="n"/>
      <c r="D148" s="28">
        <f>IF($C148="","",IFERROR(INDEX('Topic Plan'!$C$5:$C$115,MATCH($C148,'Topic Plan'!$B$5:$B$115,0)),"UNKNOWN TOPIC ID"))</f>
        <v/>
      </c>
      <c r="E148" s="28">
        <f>IF($C148="","",IFERROR(INDEX('Topic Plan'!$D$5:$D$115,MATCH($C148,'Topic Plan'!$B$5:$B$115,0)),""))</f>
        <v/>
      </c>
      <c r="F148" s="28">
        <f>IF($C148="","",IFERROR(INDEX('Topic Plan'!$E$5:$E$115,MATCH($C148,'Topic Plan'!$B$5:$B$115,0)),""))</f>
        <v/>
      </c>
      <c r="G148" s="23" t="n"/>
      <c r="H148" s="27" t="n"/>
      <c r="I148" s="27" t="n"/>
      <c r="J148" s="27" t="n"/>
      <c r="K148" s="27" t="n"/>
      <c r="L148" s="27" t="n"/>
      <c r="M148" s="27" t="n"/>
      <c r="N148" s="23" t="n"/>
      <c r="O148" s="29" t="n"/>
      <c r="P148" s="29" t="n"/>
      <c r="Q148" s="29" t="n"/>
      <c r="R148" s="29" t="n"/>
      <c r="S148" s="29" t="n"/>
      <c r="T148" s="29" t="n"/>
      <c r="U148" s="29" t="n"/>
      <c r="V148" s="30">
        <f>IF(OR($A148="",$U148=""),"",IF($S148&lt;&gt;"",MAX(0,$S148-$U148),MAX(0,TODAY()-$U148)))</f>
        <v/>
      </c>
      <c r="W148" s="30">
        <f>IF($A148="","",IF(OR($N148="Live",$N148="Retired"),"",TODAY()-MAX($O148,$P148,$Q148,$R148)))</f>
        <v/>
      </c>
      <c r="X148" s="23" t="n"/>
      <c r="Y148" s="30">
        <f>IF($A148="","",COUNTIFS('Issues Log'!$C$5:$C$504,$A148,'Issues Log'!$K$5:$K$504,"Open")+COUNTIFS('Issues Log'!$C$5:$C$504,$A148,'Issues Log'!$K$5:$K$504,"In progress"))</f>
        <v/>
      </c>
      <c r="Z148" s="27" t="n"/>
    </row>
    <row r="149">
      <c r="A149" s="27" t="n"/>
      <c r="B149" s="27" t="n"/>
      <c r="C149" s="27" t="n"/>
      <c r="D149" s="28">
        <f>IF($C149="","",IFERROR(INDEX('Topic Plan'!$C$5:$C$115,MATCH($C149,'Topic Plan'!$B$5:$B$115,0)),"UNKNOWN TOPIC ID"))</f>
        <v/>
      </c>
      <c r="E149" s="28">
        <f>IF($C149="","",IFERROR(INDEX('Topic Plan'!$D$5:$D$115,MATCH($C149,'Topic Plan'!$B$5:$B$115,0)),""))</f>
        <v/>
      </c>
      <c r="F149" s="28">
        <f>IF($C149="","",IFERROR(INDEX('Topic Plan'!$E$5:$E$115,MATCH($C149,'Topic Plan'!$B$5:$B$115,0)),""))</f>
        <v/>
      </c>
      <c r="G149" s="23" t="n"/>
      <c r="H149" s="27" t="n"/>
      <c r="I149" s="27" t="n"/>
      <c r="J149" s="27" t="n"/>
      <c r="K149" s="27" t="n"/>
      <c r="L149" s="27" t="n"/>
      <c r="M149" s="27" t="n"/>
      <c r="N149" s="23" t="n"/>
      <c r="O149" s="29" t="n"/>
      <c r="P149" s="29" t="n"/>
      <c r="Q149" s="29" t="n"/>
      <c r="R149" s="29" t="n"/>
      <c r="S149" s="29" t="n"/>
      <c r="T149" s="29" t="n"/>
      <c r="U149" s="29" t="n"/>
      <c r="V149" s="30">
        <f>IF(OR($A149="",$U149=""),"",IF($S149&lt;&gt;"",MAX(0,$S149-$U149),MAX(0,TODAY()-$U149)))</f>
        <v/>
      </c>
      <c r="W149" s="30">
        <f>IF($A149="","",IF(OR($N149="Live",$N149="Retired"),"",TODAY()-MAX($O149,$P149,$Q149,$R149)))</f>
        <v/>
      </c>
      <c r="X149" s="23" t="n"/>
      <c r="Y149" s="30">
        <f>IF($A149="","",COUNTIFS('Issues Log'!$C$5:$C$504,$A149,'Issues Log'!$K$5:$K$504,"Open")+COUNTIFS('Issues Log'!$C$5:$C$504,$A149,'Issues Log'!$K$5:$K$504,"In progress"))</f>
        <v/>
      </c>
      <c r="Z149" s="27" t="n"/>
    </row>
    <row r="150">
      <c r="A150" s="27" t="n"/>
      <c r="B150" s="27" t="n"/>
      <c r="C150" s="27" t="n"/>
      <c r="D150" s="28">
        <f>IF($C150="","",IFERROR(INDEX('Topic Plan'!$C$5:$C$115,MATCH($C150,'Topic Plan'!$B$5:$B$115,0)),"UNKNOWN TOPIC ID"))</f>
        <v/>
      </c>
      <c r="E150" s="28">
        <f>IF($C150="","",IFERROR(INDEX('Topic Plan'!$D$5:$D$115,MATCH($C150,'Topic Plan'!$B$5:$B$115,0)),""))</f>
        <v/>
      </c>
      <c r="F150" s="28">
        <f>IF($C150="","",IFERROR(INDEX('Topic Plan'!$E$5:$E$115,MATCH($C150,'Topic Plan'!$B$5:$B$115,0)),""))</f>
        <v/>
      </c>
      <c r="G150" s="23" t="n"/>
      <c r="H150" s="27" t="n"/>
      <c r="I150" s="27" t="n"/>
      <c r="J150" s="27" t="n"/>
      <c r="K150" s="27" t="n"/>
      <c r="L150" s="27" t="n"/>
      <c r="M150" s="27" t="n"/>
      <c r="N150" s="23" t="n"/>
      <c r="O150" s="29" t="n"/>
      <c r="P150" s="29" t="n"/>
      <c r="Q150" s="29" t="n"/>
      <c r="R150" s="29" t="n"/>
      <c r="S150" s="29" t="n"/>
      <c r="T150" s="29" t="n"/>
      <c r="U150" s="29" t="n"/>
      <c r="V150" s="30">
        <f>IF(OR($A150="",$U150=""),"",IF($S150&lt;&gt;"",MAX(0,$S150-$U150),MAX(0,TODAY()-$U150)))</f>
        <v/>
      </c>
      <c r="W150" s="30">
        <f>IF($A150="","",IF(OR($N150="Live",$N150="Retired"),"",TODAY()-MAX($O150,$P150,$Q150,$R150)))</f>
        <v/>
      </c>
      <c r="X150" s="23" t="n"/>
      <c r="Y150" s="30">
        <f>IF($A150="","",COUNTIFS('Issues Log'!$C$5:$C$504,$A150,'Issues Log'!$K$5:$K$504,"Open")+COUNTIFS('Issues Log'!$C$5:$C$504,$A150,'Issues Log'!$K$5:$K$504,"In progress"))</f>
        <v/>
      </c>
      <c r="Z150" s="27" t="n"/>
    </row>
    <row r="151">
      <c r="A151" s="27" t="n"/>
      <c r="B151" s="27" t="n"/>
      <c r="C151" s="27" t="n"/>
      <c r="D151" s="28">
        <f>IF($C151="","",IFERROR(INDEX('Topic Plan'!$C$5:$C$115,MATCH($C151,'Topic Plan'!$B$5:$B$115,0)),"UNKNOWN TOPIC ID"))</f>
        <v/>
      </c>
      <c r="E151" s="28">
        <f>IF($C151="","",IFERROR(INDEX('Topic Plan'!$D$5:$D$115,MATCH($C151,'Topic Plan'!$B$5:$B$115,0)),""))</f>
        <v/>
      </c>
      <c r="F151" s="28">
        <f>IF($C151="","",IFERROR(INDEX('Topic Plan'!$E$5:$E$115,MATCH($C151,'Topic Plan'!$B$5:$B$115,0)),""))</f>
        <v/>
      </c>
      <c r="G151" s="23" t="n"/>
      <c r="H151" s="27" t="n"/>
      <c r="I151" s="27" t="n"/>
      <c r="J151" s="27" t="n"/>
      <c r="K151" s="27" t="n"/>
      <c r="L151" s="27" t="n"/>
      <c r="M151" s="27" t="n"/>
      <c r="N151" s="23" t="n"/>
      <c r="O151" s="29" t="n"/>
      <c r="P151" s="29" t="n"/>
      <c r="Q151" s="29" t="n"/>
      <c r="R151" s="29" t="n"/>
      <c r="S151" s="29" t="n"/>
      <c r="T151" s="29" t="n"/>
      <c r="U151" s="29" t="n"/>
      <c r="V151" s="30">
        <f>IF(OR($A151="",$U151=""),"",IF($S151&lt;&gt;"",MAX(0,$S151-$U151),MAX(0,TODAY()-$U151)))</f>
        <v/>
      </c>
      <c r="W151" s="30">
        <f>IF($A151="","",IF(OR($N151="Live",$N151="Retired"),"",TODAY()-MAX($O151,$P151,$Q151,$R151)))</f>
        <v/>
      </c>
      <c r="X151" s="23" t="n"/>
      <c r="Y151" s="30">
        <f>IF($A151="","",COUNTIFS('Issues Log'!$C$5:$C$504,$A151,'Issues Log'!$K$5:$K$504,"Open")+COUNTIFS('Issues Log'!$C$5:$C$504,$A151,'Issues Log'!$K$5:$K$504,"In progress"))</f>
        <v/>
      </c>
      <c r="Z151" s="27" t="n"/>
    </row>
    <row r="152">
      <c r="A152" s="27" t="n"/>
      <c r="B152" s="27" t="n"/>
      <c r="C152" s="27" t="n"/>
      <c r="D152" s="28">
        <f>IF($C152="","",IFERROR(INDEX('Topic Plan'!$C$5:$C$115,MATCH($C152,'Topic Plan'!$B$5:$B$115,0)),"UNKNOWN TOPIC ID"))</f>
        <v/>
      </c>
      <c r="E152" s="28">
        <f>IF($C152="","",IFERROR(INDEX('Topic Plan'!$D$5:$D$115,MATCH($C152,'Topic Plan'!$B$5:$B$115,0)),""))</f>
        <v/>
      </c>
      <c r="F152" s="28">
        <f>IF($C152="","",IFERROR(INDEX('Topic Plan'!$E$5:$E$115,MATCH($C152,'Topic Plan'!$B$5:$B$115,0)),""))</f>
        <v/>
      </c>
      <c r="G152" s="23" t="n"/>
      <c r="H152" s="27" t="n"/>
      <c r="I152" s="27" t="n"/>
      <c r="J152" s="27" t="n"/>
      <c r="K152" s="27" t="n"/>
      <c r="L152" s="27" t="n"/>
      <c r="M152" s="27" t="n"/>
      <c r="N152" s="23" t="n"/>
      <c r="O152" s="29" t="n"/>
      <c r="P152" s="29" t="n"/>
      <c r="Q152" s="29" t="n"/>
      <c r="R152" s="29" t="n"/>
      <c r="S152" s="29" t="n"/>
      <c r="T152" s="29" t="n"/>
      <c r="U152" s="29" t="n"/>
      <c r="V152" s="30">
        <f>IF(OR($A152="",$U152=""),"",IF($S152&lt;&gt;"",MAX(0,$S152-$U152),MAX(0,TODAY()-$U152)))</f>
        <v/>
      </c>
      <c r="W152" s="30">
        <f>IF($A152="","",IF(OR($N152="Live",$N152="Retired"),"",TODAY()-MAX($O152,$P152,$Q152,$R152)))</f>
        <v/>
      </c>
      <c r="X152" s="23" t="n"/>
      <c r="Y152" s="30">
        <f>IF($A152="","",COUNTIFS('Issues Log'!$C$5:$C$504,$A152,'Issues Log'!$K$5:$K$504,"Open")+COUNTIFS('Issues Log'!$C$5:$C$504,$A152,'Issues Log'!$K$5:$K$504,"In progress"))</f>
        <v/>
      </c>
      <c r="Z152" s="27" t="n"/>
    </row>
    <row r="153">
      <c r="A153" s="27" t="n"/>
      <c r="B153" s="27" t="n"/>
      <c r="C153" s="27" t="n"/>
      <c r="D153" s="28">
        <f>IF($C153="","",IFERROR(INDEX('Topic Plan'!$C$5:$C$115,MATCH($C153,'Topic Plan'!$B$5:$B$115,0)),"UNKNOWN TOPIC ID"))</f>
        <v/>
      </c>
      <c r="E153" s="28">
        <f>IF($C153="","",IFERROR(INDEX('Topic Plan'!$D$5:$D$115,MATCH($C153,'Topic Plan'!$B$5:$B$115,0)),""))</f>
        <v/>
      </c>
      <c r="F153" s="28">
        <f>IF($C153="","",IFERROR(INDEX('Topic Plan'!$E$5:$E$115,MATCH($C153,'Topic Plan'!$B$5:$B$115,0)),""))</f>
        <v/>
      </c>
      <c r="G153" s="23" t="n"/>
      <c r="H153" s="27" t="n"/>
      <c r="I153" s="27" t="n"/>
      <c r="J153" s="27" t="n"/>
      <c r="K153" s="27" t="n"/>
      <c r="L153" s="27" t="n"/>
      <c r="M153" s="27" t="n"/>
      <c r="N153" s="23" t="n"/>
      <c r="O153" s="29" t="n"/>
      <c r="P153" s="29" t="n"/>
      <c r="Q153" s="29" t="n"/>
      <c r="R153" s="29" t="n"/>
      <c r="S153" s="29" t="n"/>
      <c r="T153" s="29" t="n"/>
      <c r="U153" s="29" t="n"/>
      <c r="V153" s="30">
        <f>IF(OR($A153="",$U153=""),"",IF($S153&lt;&gt;"",MAX(0,$S153-$U153),MAX(0,TODAY()-$U153)))</f>
        <v/>
      </c>
      <c r="W153" s="30">
        <f>IF($A153="","",IF(OR($N153="Live",$N153="Retired"),"",TODAY()-MAX($O153,$P153,$Q153,$R153)))</f>
        <v/>
      </c>
      <c r="X153" s="23" t="n"/>
      <c r="Y153" s="30">
        <f>IF($A153="","",COUNTIFS('Issues Log'!$C$5:$C$504,$A153,'Issues Log'!$K$5:$K$504,"Open")+COUNTIFS('Issues Log'!$C$5:$C$504,$A153,'Issues Log'!$K$5:$K$504,"In progress"))</f>
        <v/>
      </c>
      <c r="Z153" s="27" t="n"/>
    </row>
    <row r="154">
      <c r="A154" s="27" t="n"/>
      <c r="B154" s="27" t="n"/>
      <c r="C154" s="27" t="n"/>
      <c r="D154" s="28">
        <f>IF($C154="","",IFERROR(INDEX('Topic Plan'!$C$5:$C$115,MATCH($C154,'Topic Plan'!$B$5:$B$115,0)),"UNKNOWN TOPIC ID"))</f>
        <v/>
      </c>
      <c r="E154" s="28">
        <f>IF($C154="","",IFERROR(INDEX('Topic Plan'!$D$5:$D$115,MATCH($C154,'Topic Plan'!$B$5:$B$115,0)),""))</f>
        <v/>
      </c>
      <c r="F154" s="28">
        <f>IF($C154="","",IFERROR(INDEX('Topic Plan'!$E$5:$E$115,MATCH($C154,'Topic Plan'!$B$5:$B$115,0)),""))</f>
        <v/>
      </c>
      <c r="G154" s="23" t="n"/>
      <c r="H154" s="27" t="n"/>
      <c r="I154" s="27" t="n"/>
      <c r="J154" s="27" t="n"/>
      <c r="K154" s="27" t="n"/>
      <c r="L154" s="27" t="n"/>
      <c r="M154" s="27" t="n"/>
      <c r="N154" s="23" t="n"/>
      <c r="O154" s="29" t="n"/>
      <c r="P154" s="29" t="n"/>
      <c r="Q154" s="29" t="n"/>
      <c r="R154" s="29" t="n"/>
      <c r="S154" s="29" t="n"/>
      <c r="T154" s="29" t="n"/>
      <c r="U154" s="29" t="n"/>
      <c r="V154" s="30">
        <f>IF(OR($A154="",$U154=""),"",IF($S154&lt;&gt;"",MAX(0,$S154-$U154),MAX(0,TODAY()-$U154)))</f>
        <v/>
      </c>
      <c r="W154" s="30">
        <f>IF($A154="","",IF(OR($N154="Live",$N154="Retired"),"",TODAY()-MAX($O154,$P154,$Q154,$R154)))</f>
        <v/>
      </c>
      <c r="X154" s="23" t="n"/>
      <c r="Y154" s="30">
        <f>IF($A154="","",COUNTIFS('Issues Log'!$C$5:$C$504,$A154,'Issues Log'!$K$5:$K$504,"Open")+COUNTIFS('Issues Log'!$C$5:$C$504,$A154,'Issues Log'!$K$5:$K$504,"In progress"))</f>
        <v/>
      </c>
      <c r="Z154" s="27" t="n"/>
    </row>
    <row r="155">
      <c r="A155" s="27" t="n"/>
      <c r="B155" s="27" t="n"/>
      <c r="C155" s="27" t="n"/>
      <c r="D155" s="28">
        <f>IF($C155="","",IFERROR(INDEX('Topic Plan'!$C$5:$C$115,MATCH($C155,'Topic Plan'!$B$5:$B$115,0)),"UNKNOWN TOPIC ID"))</f>
        <v/>
      </c>
      <c r="E155" s="28">
        <f>IF($C155="","",IFERROR(INDEX('Topic Plan'!$D$5:$D$115,MATCH($C155,'Topic Plan'!$B$5:$B$115,0)),""))</f>
        <v/>
      </c>
      <c r="F155" s="28">
        <f>IF($C155="","",IFERROR(INDEX('Topic Plan'!$E$5:$E$115,MATCH($C155,'Topic Plan'!$B$5:$B$115,0)),""))</f>
        <v/>
      </c>
      <c r="G155" s="23" t="n"/>
      <c r="H155" s="27" t="n"/>
      <c r="I155" s="27" t="n"/>
      <c r="J155" s="27" t="n"/>
      <c r="K155" s="27" t="n"/>
      <c r="L155" s="27" t="n"/>
      <c r="M155" s="27" t="n"/>
      <c r="N155" s="23" t="n"/>
      <c r="O155" s="29" t="n"/>
      <c r="P155" s="29" t="n"/>
      <c r="Q155" s="29" t="n"/>
      <c r="R155" s="29" t="n"/>
      <c r="S155" s="29" t="n"/>
      <c r="T155" s="29" t="n"/>
      <c r="U155" s="29" t="n"/>
      <c r="V155" s="30">
        <f>IF(OR($A155="",$U155=""),"",IF($S155&lt;&gt;"",MAX(0,$S155-$U155),MAX(0,TODAY()-$U155)))</f>
        <v/>
      </c>
      <c r="W155" s="30">
        <f>IF($A155="","",IF(OR($N155="Live",$N155="Retired"),"",TODAY()-MAX($O155,$P155,$Q155,$R155)))</f>
        <v/>
      </c>
      <c r="X155" s="23" t="n"/>
      <c r="Y155" s="30">
        <f>IF($A155="","",COUNTIFS('Issues Log'!$C$5:$C$504,$A155,'Issues Log'!$K$5:$K$504,"Open")+COUNTIFS('Issues Log'!$C$5:$C$504,$A155,'Issues Log'!$K$5:$K$504,"In progress"))</f>
        <v/>
      </c>
      <c r="Z155" s="27" t="n"/>
    </row>
    <row r="156">
      <c r="A156" s="27" t="n"/>
      <c r="B156" s="27" t="n"/>
      <c r="C156" s="27" t="n"/>
      <c r="D156" s="28">
        <f>IF($C156="","",IFERROR(INDEX('Topic Plan'!$C$5:$C$115,MATCH($C156,'Topic Plan'!$B$5:$B$115,0)),"UNKNOWN TOPIC ID"))</f>
        <v/>
      </c>
      <c r="E156" s="28">
        <f>IF($C156="","",IFERROR(INDEX('Topic Plan'!$D$5:$D$115,MATCH($C156,'Topic Plan'!$B$5:$B$115,0)),""))</f>
        <v/>
      </c>
      <c r="F156" s="28">
        <f>IF($C156="","",IFERROR(INDEX('Topic Plan'!$E$5:$E$115,MATCH($C156,'Topic Plan'!$B$5:$B$115,0)),""))</f>
        <v/>
      </c>
      <c r="G156" s="23" t="n"/>
      <c r="H156" s="27" t="n"/>
      <c r="I156" s="27" t="n"/>
      <c r="J156" s="27" t="n"/>
      <c r="K156" s="27" t="n"/>
      <c r="L156" s="27" t="n"/>
      <c r="M156" s="27" t="n"/>
      <c r="N156" s="23" t="n"/>
      <c r="O156" s="29" t="n"/>
      <c r="P156" s="29" t="n"/>
      <c r="Q156" s="29" t="n"/>
      <c r="R156" s="29" t="n"/>
      <c r="S156" s="29" t="n"/>
      <c r="T156" s="29" t="n"/>
      <c r="U156" s="29" t="n"/>
      <c r="V156" s="30">
        <f>IF(OR($A156="",$U156=""),"",IF($S156&lt;&gt;"",MAX(0,$S156-$U156),MAX(0,TODAY()-$U156)))</f>
        <v/>
      </c>
      <c r="W156" s="30">
        <f>IF($A156="","",IF(OR($N156="Live",$N156="Retired"),"",TODAY()-MAX($O156,$P156,$Q156,$R156)))</f>
        <v/>
      </c>
      <c r="X156" s="23" t="n"/>
      <c r="Y156" s="30">
        <f>IF($A156="","",COUNTIFS('Issues Log'!$C$5:$C$504,$A156,'Issues Log'!$K$5:$K$504,"Open")+COUNTIFS('Issues Log'!$C$5:$C$504,$A156,'Issues Log'!$K$5:$K$504,"In progress"))</f>
        <v/>
      </c>
      <c r="Z156" s="27" t="n"/>
    </row>
    <row r="157">
      <c r="A157" s="27" t="n"/>
      <c r="B157" s="27" t="n"/>
      <c r="C157" s="27" t="n"/>
      <c r="D157" s="28">
        <f>IF($C157="","",IFERROR(INDEX('Topic Plan'!$C$5:$C$115,MATCH($C157,'Topic Plan'!$B$5:$B$115,0)),"UNKNOWN TOPIC ID"))</f>
        <v/>
      </c>
      <c r="E157" s="28">
        <f>IF($C157="","",IFERROR(INDEX('Topic Plan'!$D$5:$D$115,MATCH($C157,'Topic Plan'!$B$5:$B$115,0)),""))</f>
        <v/>
      </c>
      <c r="F157" s="28">
        <f>IF($C157="","",IFERROR(INDEX('Topic Plan'!$E$5:$E$115,MATCH($C157,'Topic Plan'!$B$5:$B$115,0)),""))</f>
        <v/>
      </c>
      <c r="G157" s="23" t="n"/>
      <c r="H157" s="27" t="n"/>
      <c r="I157" s="27" t="n"/>
      <c r="J157" s="27" t="n"/>
      <c r="K157" s="27" t="n"/>
      <c r="L157" s="27" t="n"/>
      <c r="M157" s="27" t="n"/>
      <c r="N157" s="23" t="n"/>
      <c r="O157" s="29" t="n"/>
      <c r="P157" s="29" t="n"/>
      <c r="Q157" s="29" t="n"/>
      <c r="R157" s="29" t="n"/>
      <c r="S157" s="29" t="n"/>
      <c r="T157" s="29" t="n"/>
      <c r="U157" s="29" t="n"/>
      <c r="V157" s="30">
        <f>IF(OR($A157="",$U157=""),"",IF($S157&lt;&gt;"",MAX(0,$S157-$U157),MAX(0,TODAY()-$U157)))</f>
        <v/>
      </c>
      <c r="W157" s="30">
        <f>IF($A157="","",IF(OR($N157="Live",$N157="Retired"),"",TODAY()-MAX($O157,$P157,$Q157,$R157)))</f>
        <v/>
      </c>
      <c r="X157" s="23" t="n"/>
      <c r="Y157" s="30">
        <f>IF($A157="","",COUNTIFS('Issues Log'!$C$5:$C$504,$A157,'Issues Log'!$K$5:$K$504,"Open")+COUNTIFS('Issues Log'!$C$5:$C$504,$A157,'Issues Log'!$K$5:$K$504,"In progress"))</f>
        <v/>
      </c>
      <c r="Z157" s="27" t="n"/>
    </row>
    <row r="158">
      <c r="A158" s="27" t="n"/>
      <c r="B158" s="27" t="n"/>
      <c r="C158" s="27" t="n"/>
      <c r="D158" s="28">
        <f>IF($C158="","",IFERROR(INDEX('Topic Plan'!$C$5:$C$115,MATCH($C158,'Topic Plan'!$B$5:$B$115,0)),"UNKNOWN TOPIC ID"))</f>
        <v/>
      </c>
      <c r="E158" s="28">
        <f>IF($C158="","",IFERROR(INDEX('Topic Plan'!$D$5:$D$115,MATCH($C158,'Topic Plan'!$B$5:$B$115,0)),""))</f>
        <v/>
      </c>
      <c r="F158" s="28">
        <f>IF($C158="","",IFERROR(INDEX('Topic Plan'!$E$5:$E$115,MATCH($C158,'Topic Plan'!$B$5:$B$115,0)),""))</f>
        <v/>
      </c>
      <c r="G158" s="23" t="n"/>
      <c r="H158" s="27" t="n"/>
      <c r="I158" s="27" t="n"/>
      <c r="J158" s="27" t="n"/>
      <c r="K158" s="27" t="n"/>
      <c r="L158" s="27" t="n"/>
      <c r="M158" s="27" t="n"/>
      <c r="N158" s="23" t="n"/>
      <c r="O158" s="29" t="n"/>
      <c r="P158" s="29" t="n"/>
      <c r="Q158" s="29" t="n"/>
      <c r="R158" s="29" t="n"/>
      <c r="S158" s="29" t="n"/>
      <c r="T158" s="29" t="n"/>
      <c r="U158" s="29" t="n"/>
      <c r="V158" s="30">
        <f>IF(OR($A158="",$U158=""),"",IF($S158&lt;&gt;"",MAX(0,$S158-$U158),MAX(0,TODAY()-$U158)))</f>
        <v/>
      </c>
      <c r="W158" s="30">
        <f>IF($A158="","",IF(OR($N158="Live",$N158="Retired"),"",TODAY()-MAX($O158,$P158,$Q158,$R158)))</f>
        <v/>
      </c>
      <c r="X158" s="23" t="n"/>
      <c r="Y158" s="30">
        <f>IF($A158="","",COUNTIFS('Issues Log'!$C$5:$C$504,$A158,'Issues Log'!$K$5:$K$504,"Open")+COUNTIFS('Issues Log'!$C$5:$C$504,$A158,'Issues Log'!$K$5:$K$504,"In progress"))</f>
        <v/>
      </c>
      <c r="Z158" s="27" t="n"/>
    </row>
    <row r="159">
      <c r="A159" s="27" t="n"/>
      <c r="B159" s="27" t="n"/>
      <c r="C159" s="27" t="n"/>
      <c r="D159" s="28">
        <f>IF($C159="","",IFERROR(INDEX('Topic Plan'!$C$5:$C$115,MATCH($C159,'Topic Plan'!$B$5:$B$115,0)),"UNKNOWN TOPIC ID"))</f>
        <v/>
      </c>
      <c r="E159" s="28">
        <f>IF($C159="","",IFERROR(INDEX('Topic Plan'!$D$5:$D$115,MATCH($C159,'Topic Plan'!$B$5:$B$115,0)),""))</f>
        <v/>
      </c>
      <c r="F159" s="28">
        <f>IF($C159="","",IFERROR(INDEX('Topic Plan'!$E$5:$E$115,MATCH($C159,'Topic Plan'!$B$5:$B$115,0)),""))</f>
        <v/>
      </c>
      <c r="G159" s="23" t="n"/>
      <c r="H159" s="27" t="n"/>
      <c r="I159" s="27" t="n"/>
      <c r="J159" s="27" t="n"/>
      <c r="K159" s="27" t="n"/>
      <c r="L159" s="27" t="n"/>
      <c r="M159" s="27" t="n"/>
      <c r="N159" s="23" t="n"/>
      <c r="O159" s="29" t="n"/>
      <c r="P159" s="29" t="n"/>
      <c r="Q159" s="29" t="n"/>
      <c r="R159" s="29" t="n"/>
      <c r="S159" s="29" t="n"/>
      <c r="T159" s="29" t="n"/>
      <c r="U159" s="29" t="n"/>
      <c r="V159" s="30">
        <f>IF(OR($A159="",$U159=""),"",IF($S159&lt;&gt;"",MAX(0,$S159-$U159),MAX(0,TODAY()-$U159)))</f>
        <v/>
      </c>
      <c r="W159" s="30">
        <f>IF($A159="","",IF(OR($N159="Live",$N159="Retired"),"",TODAY()-MAX($O159,$P159,$Q159,$R159)))</f>
        <v/>
      </c>
      <c r="X159" s="23" t="n"/>
      <c r="Y159" s="30">
        <f>IF($A159="","",COUNTIFS('Issues Log'!$C$5:$C$504,$A159,'Issues Log'!$K$5:$K$504,"Open")+COUNTIFS('Issues Log'!$C$5:$C$504,$A159,'Issues Log'!$K$5:$K$504,"In progress"))</f>
        <v/>
      </c>
      <c r="Z159" s="27" t="n"/>
    </row>
    <row r="160">
      <c r="A160" s="27" t="n"/>
      <c r="B160" s="27" t="n"/>
      <c r="C160" s="27" t="n"/>
      <c r="D160" s="28">
        <f>IF($C160="","",IFERROR(INDEX('Topic Plan'!$C$5:$C$115,MATCH($C160,'Topic Plan'!$B$5:$B$115,0)),"UNKNOWN TOPIC ID"))</f>
        <v/>
      </c>
      <c r="E160" s="28">
        <f>IF($C160="","",IFERROR(INDEX('Topic Plan'!$D$5:$D$115,MATCH($C160,'Topic Plan'!$B$5:$B$115,0)),""))</f>
        <v/>
      </c>
      <c r="F160" s="28">
        <f>IF($C160="","",IFERROR(INDEX('Topic Plan'!$E$5:$E$115,MATCH($C160,'Topic Plan'!$B$5:$B$115,0)),""))</f>
        <v/>
      </c>
      <c r="G160" s="23" t="n"/>
      <c r="H160" s="27" t="n"/>
      <c r="I160" s="27" t="n"/>
      <c r="J160" s="27" t="n"/>
      <c r="K160" s="27" t="n"/>
      <c r="L160" s="27" t="n"/>
      <c r="M160" s="27" t="n"/>
      <c r="N160" s="23" t="n"/>
      <c r="O160" s="29" t="n"/>
      <c r="P160" s="29" t="n"/>
      <c r="Q160" s="29" t="n"/>
      <c r="R160" s="29" t="n"/>
      <c r="S160" s="29" t="n"/>
      <c r="T160" s="29" t="n"/>
      <c r="U160" s="29" t="n"/>
      <c r="V160" s="30">
        <f>IF(OR($A160="",$U160=""),"",IF($S160&lt;&gt;"",MAX(0,$S160-$U160),MAX(0,TODAY()-$U160)))</f>
        <v/>
      </c>
      <c r="W160" s="30">
        <f>IF($A160="","",IF(OR($N160="Live",$N160="Retired"),"",TODAY()-MAX($O160,$P160,$Q160,$R160)))</f>
        <v/>
      </c>
      <c r="X160" s="23" t="n"/>
      <c r="Y160" s="30">
        <f>IF($A160="","",COUNTIFS('Issues Log'!$C$5:$C$504,$A160,'Issues Log'!$K$5:$K$504,"Open")+COUNTIFS('Issues Log'!$C$5:$C$504,$A160,'Issues Log'!$K$5:$K$504,"In progress"))</f>
        <v/>
      </c>
      <c r="Z160" s="27" t="n"/>
    </row>
    <row r="161">
      <c r="A161" s="27" t="n"/>
      <c r="B161" s="27" t="n"/>
      <c r="C161" s="27" t="n"/>
      <c r="D161" s="28">
        <f>IF($C161="","",IFERROR(INDEX('Topic Plan'!$C$5:$C$115,MATCH($C161,'Topic Plan'!$B$5:$B$115,0)),"UNKNOWN TOPIC ID"))</f>
        <v/>
      </c>
      <c r="E161" s="28">
        <f>IF($C161="","",IFERROR(INDEX('Topic Plan'!$D$5:$D$115,MATCH($C161,'Topic Plan'!$B$5:$B$115,0)),""))</f>
        <v/>
      </c>
      <c r="F161" s="28">
        <f>IF($C161="","",IFERROR(INDEX('Topic Plan'!$E$5:$E$115,MATCH($C161,'Topic Plan'!$B$5:$B$115,0)),""))</f>
        <v/>
      </c>
      <c r="G161" s="23" t="n"/>
      <c r="H161" s="27" t="n"/>
      <c r="I161" s="27" t="n"/>
      <c r="J161" s="27" t="n"/>
      <c r="K161" s="27" t="n"/>
      <c r="L161" s="27" t="n"/>
      <c r="M161" s="27" t="n"/>
      <c r="N161" s="23" t="n"/>
      <c r="O161" s="29" t="n"/>
      <c r="P161" s="29" t="n"/>
      <c r="Q161" s="29" t="n"/>
      <c r="R161" s="29" t="n"/>
      <c r="S161" s="29" t="n"/>
      <c r="T161" s="29" t="n"/>
      <c r="U161" s="29" t="n"/>
      <c r="V161" s="30">
        <f>IF(OR($A161="",$U161=""),"",IF($S161&lt;&gt;"",MAX(0,$S161-$U161),MAX(0,TODAY()-$U161)))</f>
        <v/>
      </c>
      <c r="W161" s="30">
        <f>IF($A161="","",IF(OR($N161="Live",$N161="Retired"),"",TODAY()-MAX($O161,$P161,$Q161,$R161)))</f>
        <v/>
      </c>
      <c r="X161" s="23" t="n"/>
      <c r="Y161" s="30">
        <f>IF($A161="","",COUNTIFS('Issues Log'!$C$5:$C$504,$A161,'Issues Log'!$K$5:$K$504,"Open")+COUNTIFS('Issues Log'!$C$5:$C$504,$A161,'Issues Log'!$K$5:$K$504,"In progress"))</f>
        <v/>
      </c>
      <c r="Z161" s="27" t="n"/>
    </row>
    <row r="162">
      <c r="A162" s="27" t="n"/>
      <c r="B162" s="27" t="n"/>
      <c r="C162" s="27" t="n"/>
      <c r="D162" s="28">
        <f>IF($C162="","",IFERROR(INDEX('Topic Plan'!$C$5:$C$115,MATCH($C162,'Topic Plan'!$B$5:$B$115,0)),"UNKNOWN TOPIC ID"))</f>
        <v/>
      </c>
      <c r="E162" s="28">
        <f>IF($C162="","",IFERROR(INDEX('Topic Plan'!$D$5:$D$115,MATCH($C162,'Topic Plan'!$B$5:$B$115,0)),""))</f>
        <v/>
      </c>
      <c r="F162" s="28">
        <f>IF($C162="","",IFERROR(INDEX('Topic Plan'!$E$5:$E$115,MATCH($C162,'Topic Plan'!$B$5:$B$115,0)),""))</f>
        <v/>
      </c>
      <c r="G162" s="23" t="n"/>
      <c r="H162" s="27" t="n"/>
      <c r="I162" s="27" t="n"/>
      <c r="J162" s="27" t="n"/>
      <c r="K162" s="27" t="n"/>
      <c r="L162" s="27" t="n"/>
      <c r="M162" s="27" t="n"/>
      <c r="N162" s="23" t="n"/>
      <c r="O162" s="29" t="n"/>
      <c r="P162" s="29" t="n"/>
      <c r="Q162" s="29" t="n"/>
      <c r="R162" s="29" t="n"/>
      <c r="S162" s="29" t="n"/>
      <c r="T162" s="29" t="n"/>
      <c r="U162" s="29" t="n"/>
      <c r="V162" s="30">
        <f>IF(OR($A162="",$U162=""),"",IF($S162&lt;&gt;"",MAX(0,$S162-$U162),MAX(0,TODAY()-$U162)))</f>
        <v/>
      </c>
      <c r="W162" s="30">
        <f>IF($A162="","",IF(OR($N162="Live",$N162="Retired"),"",TODAY()-MAX($O162,$P162,$Q162,$R162)))</f>
        <v/>
      </c>
      <c r="X162" s="23" t="n"/>
      <c r="Y162" s="30">
        <f>IF($A162="","",COUNTIFS('Issues Log'!$C$5:$C$504,$A162,'Issues Log'!$K$5:$K$504,"Open")+COUNTIFS('Issues Log'!$C$5:$C$504,$A162,'Issues Log'!$K$5:$K$504,"In progress"))</f>
        <v/>
      </c>
      <c r="Z162" s="27" t="n"/>
    </row>
    <row r="163">
      <c r="A163" s="27" t="n"/>
      <c r="B163" s="27" t="n"/>
      <c r="C163" s="27" t="n"/>
      <c r="D163" s="28">
        <f>IF($C163="","",IFERROR(INDEX('Topic Plan'!$C$5:$C$115,MATCH($C163,'Topic Plan'!$B$5:$B$115,0)),"UNKNOWN TOPIC ID"))</f>
        <v/>
      </c>
      <c r="E163" s="28">
        <f>IF($C163="","",IFERROR(INDEX('Topic Plan'!$D$5:$D$115,MATCH($C163,'Topic Plan'!$B$5:$B$115,0)),""))</f>
        <v/>
      </c>
      <c r="F163" s="28">
        <f>IF($C163="","",IFERROR(INDEX('Topic Plan'!$E$5:$E$115,MATCH($C163,'Topic Plan'!$B$5:$B$115,0)),""))</f>
        <v/>
      </c>
      <c r="G163" s="23" t="n"/>
      <c r="H163" s="27" t="n"/>
      <c r="I163" s="27" t="n"/>
      <c r="J163" s="27" t="n"/>
      <c r="K163" s="27" t="n"/>
      <c r="L163" s="27" t="n"/>
      <c r="M163" s="27" t="n"/>
      <c r="N163" s="23" t="n"/>
      <c r="O163" s="29" t="n"/>
      <c r="P163" s="29" t="n"/>
      <c r="Q163" s="29" t="n"/>
      <c r="R163" s="29" t="n"/>
      <c r="S163" s="29" t="n"/>
      <c r="T163" s="29" t="n"/>
      <c r="U163" s="29" t="n"/>
      <c r="V163" s="30">
        <f>IF(OR($A163="",$U163=""),"",IF($S163&lt;&gt;"",MAX(0,$S163-$U163),MAX(0,TODAY()-$U163)))</f>
        <v/>
      </c>
      <c r="W163" s="30">
        <f>IF($A163="","",IF(OR($N163="Live",$N163="Retired"),"",TODAY()-MAX($O163,$P163,$Q163,$R163)))</f>
        <v/>
      </c>
      <c r="X163" s="23" t="n"/>
      <c r="Y163" s="30">
        <f>IF($A163="","",COUNTIFS('Issues Log'!$C$5:$C$504,$A163,'Issues Log'!$K$5:$K$504,"Open")+COUNTIFS('Issues Log'!$C$5:$C$504,$A163,'Issues Log'!$K$5:$K$504,"In progress"))</f>
        <v/>
      </c>
      <c r="Z163" s="27" t="n"/>
    </row>
    <row r="164">
      <c r="A164" s="27" t="n"/>
      <c r="B164" s="27" t="n"/>
      <c r="C164" s="27" t="n"/>
      <c r="D164" s="28">
        <f>IF($C164="","",IFERROR(INDEX('Topic Plan'!$C$5:$C$115,MATCH($C164,'Topic Plan'!$B$5:$B$115,0)),"UNKNOWN TOPIC ID"))</f>
        <v/>
      </c>
      <c r="E164" s="28">
        <f>IF($C164="","",IFERROR(INDEX('Topic Plan'!$D$5:$D$115,MATCH($C164,'Topic Plan'!$B$5:$B$115,0)),""))</f>
        <v/>
      </c>
      <c r="F164" s="28">
        <f>IF($C164="","",IFERROR(INDEX('Topic Plan'!$E$5:$E$115,MATCH($C164,'Topic Plan'!$B$5:$B$115,0)),""))</f>
        <v/>
      </c>
      <c r="G164" s="23" t="n"/>
      <c r="H164" s="27" t="n"/>
      <c r="I164" s="27" t="n"/>
      <c r="J164" s="27" t="n"/>
      <c r="K164" s="27" t="n"/>
      <c r="L164" s="27" t="n"/>
      <c r="M164" s="27" t="n"/>
      <c r="N164" s="23" t="n"/>
      <c r="O164" s="29" t="n"/>
      <c r="P164" s="29" t="n"/>
      <c r="Q164" s="29" t="n"/>
      <c r="R164" s="29" t="n"/>
      <c r="S164" s="29" t="n"/>
      <c r="T164" s="29" t="n"/>
      <c r="U164" s="29" t="n"/>
      <c r="V164" s="30">
        <f>IF(OR($A164="",$U164=""),"",IF($S164&lt;&gt;"",MAX(0,$S164-$U164),MAX(0,TODAY()-$U164)))</f>
        <v/>
      </c>
      <c r="W164" s="30">
        <f>IF($A164="","",IF(OR($N164="Live",$N164="Retired"),"",TODAY()-MAX($O164,$P164,$Q164,$R164)))</f>
        <v/>
      </c>
      <c r="X164" s="23" t="n"/>
      <c r="Y164" s="30">
        <f>IF($A164="","",COUNTIFS('Issues Log'!$C$5:$C$504,$A164,'Issues Log'!$K$5:$K$504,"Open")+COUNTIFS('Issues Log'!$C$5:$C$504,$A164,'Issues Log'!$K$5:$K$504,"In progress"))</f>
        <v/>
      </c>
      <c r="Z164" s="27" t="n"/>
    </row>
    <row r="165">
      <c r="A165" s="27" t="n"/>
      <c r="B165" s="27" t="n"/>
      <c r="C165" s="27" t="n"/>
      <c r="D165" s="28">
        <f>IF($C165="","",IFERROR(INDEX('Topic Plan'!$C$5:$C$115,MATCH($C165,'Topic Plan'!$B$5:$B$115,0)),"UNKNOWN TOPIC ID"))</f>
        <v/>
      </c>
      <c r="E165" s="28">
        <f>IF($C165="","",IFERROR(INDEX('Topic Plan'!$D$5:$D$115,MATCH($C165,'Topic Plan'!$B$5:$B$115,0)),""))</f>
        <v/>
      </c>
      <c r="F165" s="28">
        <f>IF($C165="","",IFERROR(INDEX('Topic Plan'!$E$5:$E$115,MATCH($C165,'Topic Plan'!$B$5:$B$115,0)),""))</f>
        <v/>
      </c>
      <c r="G165" s="23" t="n"/>
      <c r="H165" s="27" t="n"/>
      <c r="I165" s="27" t="n"/>
      <c r="J165" s="27" t="n"/>
      <c r="K165" s="27" t="n"/>
      <c r="L165" s="27" t="n"/>
      <c r="M165" s="27" t="n"/>
      <c r="N165" s="23" t="n"/>
      <c r="O165" s="29" t="n"/>
      <c r="P165" s="29" t="n"/>
      <c r="Q165" s="29" t="n"/>
      <c r="R165" s="29" t="n"/>
      <c r="S165" s="29" t="n"/>
      <c r="T165" s="29" t="n"/>
      <c r="U165" s="29" t="n"/>
      <c r="V165" s="30">
        <f>IF(OR($A165="",$U165=""),"",IF($S165&lt;&gt;"",MAX(0,$S165-$U165),MAX(0,TODAY()-$U165)))</f>
        <v/>
      </c>
      <c r="W165" s="30">
        <f>IF($A165="","",IF(OR($N165="Live",$N165="Retired"),"",TODAY()-MAX($O165,$P165,$Q165,$R165)))</f>
        <v/>
      </c>
      <c r="X165" s="23" t="n"/>
      <c r="Y165" s="30">
        <f>IF($A165="","",COUNTIFS('Issues Log'!$C$5:$C$504,$A165,'Issues Log'!$K$5:$K$504,"Open")+COUNTIFS('Issues Log'!$C$5:$C$504,$A165,'Issues Log'!$K$5:$K$504,"In progress"))</f>
        <v/>
      </c>
      <c r="Z165" s="27" t="n"/>
    </row>
    <row r="166">
      <c r="A166" s="27" t="n"/>
      <c r="B166" s="27" t="n"/>
      <c r="C166" s="27" t="n"/>
      <c r="D166" s="28">
        <f>IF($C166="","",IFERROR(INDEX('Topic Plan'!$C$5:$C$115,MATCH($C166,'Topic Plan'!$B$5:$B$115,0)),"UNKNOWN TOPIC ID"))</f>
        <v/>
      </c>
      <c r="E166" s="28">
        <f>IF($C166="","",IFERROR(INDEX('Topic Plan'!$D$5:$D$115,MATCH($C166,'Topic Plan'!$B$5:$B$115,0)),""))</f>
        <v/>
      </c>
      <c r="F166" s="28">
        <f>IF($C166="","",IFERROR(INDEX('Topic Plan'!$E$5:$E$115,MATCH($C166,'Topic Plan'!$B$5:$B$115,0)),""))</f>
        <v/>
      </c>
      <c r="G166" s="23" t="n"/>
      <c r="H166" s="27" t="n"/>
      <c r="I166" s="27" t="n"/>
      <c r="J166" s="27" t="n"/>
      <c r="K166" s="27" t="n"/>
      <c r="L166" s="27" t="n"/>
      <c r="M166" s="27" t="n"/>
      <c r="N166" s="23" t="n"/>
      <c r="O166" s="29" t="n"/>
      <c r="P166" s="29" t="n"/>
      <c r="Q166" s="29" t="n"/>
      <c r="R166" s="29" t="n"/>
      <c r="S166" s="29" t="n"/>
      <c r="T166" s="29" t="n"/>
      <c r="U166" s="29" t="n"/>
      <c r="V166" s="30">
        <f>IF(OR($A166="",$U166=""),"",IF($S166&lt;&gt;"",MAX(0,$S166-$U166),MAX(0,TODAY()-$U166)))</f>
        <v/>
      </c>
      <c r="W166" s="30">
        <f>IF($A166="","",IF(OR($N166="Live",$N166="Retired"),"",TODAY()-MAX($O166,$P166,$Q166,$R166)))</f>
        <v/>
      </c>
      <c r="X166" s="23" t="n"/>
      <c r="Y166" s="30">
        <f>IF($A166="","",COUNTIFS('Issues Log'!$C$5:$C$504,$A166,'Issues Log'!$K$5:$K$504,"Open")+COUNTIFS('Issues Log'!$C$5:$C$504,$A166,'Issues Log'!$K$5:$K$504,"In progress"))</f>
        <v/>
      </c>
      <c r="Z166" s="27" t="n"/>
    </row>
    <row r="167">
      <c r="A167" s="27" t="n"/>
      <c r="B167" s="27" t="n"/>
      <c r="C167" s="27" t="n"/>
      <c r="D167" s="28">
        <f>IF($C167="","",IFERROR(INDEX('Topic Plan'!$C$5:$C$115,MATCH($C167,'Topic Plan'!$B$5:$B$115,0)),"UNKNOWN TOPIC ID"))</f>
        <v/>
      </c>
      <c r="E167" s="28">
        <f>IF($C167="","",IFERROR(INDEX('Topic Plan'!$D$5:$D$115,MATCH($C167,'Topic Plan'!$B$5:$B$115,0)),""))</f>
        <v/>
      </c>
      <c r="F167" s="28">
        <f>IF($C167="","",IFERROR(INDEX('Topic Plan'!$E$5:$E$115,MATCH($C167,'Topic Plan'!$B$5:$B$115,0)),""))</f>
        <v/>
      </c>
      <c r="G167" s="23" t="n"/>
      <c r="H167" s="27" t="n"/>
      <c r="I167" s="27" t="n"/>
      <c r="J167" s="27" t="n"/>
      <c r="K167" s="27" t="n"/>
      <c r="L167" s="27" t="n"/>
      <c r="M167" s="27" t="n"/>
      <c r="N167" s="23" t="n"/>
      <c r="O167" s="29" t="n"/>
      <c r="P167" s="29" t="n"/>
      <c r="Q167" s="29" t="n"/>
      <c r="R167" s="29" t="n"/>
      <c r="S167" s="29" t="n"/>
      <c r="T167" s="29" t="n"/>
      <c r="U167" s="29" t="n"/>
      <c r="V167" s="30">
        <f>IF(OR($A167="",$U167=""),"",IF($S167&lt;&gt;"",MAX(0,$S167-$U167),MAX(0,TODAY()-$U167)))</f>
        <v/>
      </c>
      <c r="W167" s="30">
        <f>IF($A167="","",IF(OR($N167="Live",$N167="Retired"),"",TODAY()-MAX($O167,$P167,$Q167,$R167)))</f>
        <v/>
      </c>
      <c r="X167" s="23" t="n"/>
      <c r="Y167" s="30">
        <f>IF($A167="","",COUNTIFS('Issues Log'!$C$5:$C$504,$A167,'Issues Log'!$K$5:$K$504,"Open")+COUNTIFS('Issues Log'!$C$5:$C$504,$A167,'Issues Log'!$K$5:$K$504,"In progress"))</f>
        <v/>
      </c>
      <c r="Z167" s="27" t="n"/>
    </row>
    <row r="168">
      <c r="A168" s="27" t="n"/>
      <c r="B168" s="27" t="n"/>
      <c r="C168" s="27" t="n"/>
      <c r="D168" s="28">
        <f>IF($C168="","",IFERROR(INDEX('Topic Plan'!$C$5:$C$115,MATCH($C168,'Topic Plan'!$B$5:$B$115,0)),"UNKNOWN TOPIC ID"))</f>
        <v/>
      </c>
      <c r="E168" s="28">
        <f>IF($C168="","",IFERROR(INDEX('Topic Plan'!$D$5:$D$115,MATCH($C168,'Topic Plan'!$B$5:$B$115,0)),""))</f>
        <v/>
      </c>
      <c r="F168" s="28">
        <f>IF($C168="","",IFERROR(INDEX('Topic Plan'!$E$5:$E$115,MATCH($C168,'Topic Plan'!$B$5:$B$115,0)),""))</f>
        <v/>
      </c>
      <c r="G168" s="23" t="n"/>
      <c r="H168" s="27" t="n"/>
      <c r="I168" s="27" t="n"/>
      <c r="J168" s="27" t="n"/>
      <c r="K168" s="27" t="n"/>
      <c r="L168" s="27" t="n"/>
      <c r="M168" s="27" t="n"/>
      <c r="N168" s="23" t="n"/>
      <c r="O168" s="29" t="n"/>
      <c r="P168" s="29" t="n"/>
      <c r="Q168" s="29" t="n"/>
      <c r="R168" s="29" t="n"/>
      <c r="S168" s="29" t="n"/>
      <c r="T168" s="29" t="n"/>
      <c r="U168" s="29" t="n"/>
      <c r="V168" s="30">
        <f>IF(OR($A168="",$U168=""),"",IF($S168&lt;&gt;"",MAX(0,$S168-$U168),MAX(0,TODAY()-$U168)))</f>
        <v/>
      </c>
      <c r="W168" s="30">
        <f>IF($A168="","",IF(OR($N168="Live",$N168="Retired"),"",TODAY()-MAX($O168,$P168,$Q168,$R168)))</f>
        <v/>
      </c>
      <c r="X168" s="23" t="n"/>
      <c r="Y168" s="30">
        <f>IF($A168="","",COUNTIFS('Issues Log'!$C$5:$C$504,$A168,'Issues Log'!$K$5:$K$504,"Open")+COUNTIFS('Issues Log'!$C$5:$C$504,$A168,'Issues Log'!$K$5:$K$504,"In progress"))</f>
        <v/>
      </c>
      <c r="Z168" s="27" t="n"/>
    </row>
    <row r="169">
      <c r="A169" s="27" t="n"/>
      <c r="B169" s="27" t="n"/>
      <c r="C169" s="27" t="n"/>
      <c r="D169" s="28">
        <f>IF($C169="","",IFERROR(INDEX('Topic Plan'!$C$5:$C$115,MATCH($C169,'Topic Plan'!$B$5:$B$115,0)),"UNKNOWN TOPIC ID"))</f>
        <v/>
      </c>
      <c r="E169" s="28">
        <f>IF($C169="","",IFERROR(INDEX('Topic Plan'!$D$5:$D$115,MATCH($C169,'Topic Plan'!$B$5:$B$115,0)),""))</f>
        <v/>
      </c>
      <c r="F169" s="28">
        <f>IF($C169="","",IFERROR(INDEX('Topic Plan'!$E$5:$E$115,MATCH($C169,'Topic Plan'!$B$5:$B$115,0)),""))</f>
        <v/>
      </c>
      <c r="G169" s="23" t="n"/>
      <c r="H169" s="27" t="n"/>
      <c r="I169" s="27" t="n"/>
      <c r="J169" s="27" t="n"/>
      <c r="K169" s="27" t="n"/>
      <c r="L169" s="27" t="n"/>
      <c r="M169" s="27" t="n"/>
      <c r="N169" s="23" t="n"/>
      <c r="O169" s="29" t="n"/>
      <c r="P169" s="29" t="n"/>
      <c r="Q169" s="29" t="n"/>
      <c r="R169" s="29" t="n"/>
      <c r="S169" s="29" t="n"/>
      <c r="T169" s="29" t="n"/>
      <c r="U169" s="29" t="n"/>
      <c r="V169" s="30">
        <f>IF(OR($A169="",$U169=""),"",IF($S169&lt;&gt;"",MAX(0,$S169-$U169),MAX(0,TODAY()-$U169)))</f>
        <v/>
      </c>
      <c r="W169" s="30">
        <f>IF($A169="","",IF(OR($N169="Live",$N169="Retired"),"",TODAY()-MAX($O169,$P169,$Q169,$R169)))</f>
        <v/>
      </c>
      <c r="X169" s="23" t="n"/>
      <c r="Y169" s="30">
        <f>IF($A169="","",COUNTIFS('Issues Log'!$C$5:$C$504,$A169,'Issues Log'!$K$5:$K$504,"Open")+COUNTIFS('Issues Log'!$C$5:$C$504,$A169,'Issues Log'!$K$5:$K$504,"In progress"))</f>
        <v/>
      </c>
      <c r="Z169" s="27" t="n"/>
    </row>
    <row r="170">
      <c r="A170" s="27" t="n"/>
      <c r="B170" s="27" t="n"/>
      <c r="C170" s="27" t="n"/>
      <c r="D170" s="28">
        <f>IF($C170="","",IFERROR(INDEX('Topic Plan'!$C$5:$C$115,MATCH($C170,'Topic Plan'!$B$5:$B$115,0)),"UNKNOWN TOPIC ID"))</f>
        <v/>
      </c>
      <c r="E170" s="28">
        <f>IF($C170="","",IFERROR(INDEX('Topic Plan'!$D$5:$D$115,MATCH($C170,'Topic Plan'!$B$5:$B$115,0)),""))</f>
        <v/>
      </c>
      <c r="F170" s="28">
        <f>IF($C170="","",IFERROR(INDEX('Topic Plan'!$E$5:$E$115,MATCH($C170,'Topic Plan'!$B$5:$B$115,0)),""))</f>
        <v/>
      </c>
      <c r="G170" s="23" t="n"/>
      <c r="H170" s="27" t="n"/>
      <c r="I170" s="27" t="n"/>
      <c r="J170" s="27" t="n"/>
      <c r="K170" s="27" t="n"/>
      <c r="L170" s="27" t="n"/>
      <c r="M170" s="27" t="n"/>
      <c r="N170" s="23" t="n"/>
      <c r="O170" s="29" t="n"/>
      <c r="P170" s="29" t="n"/>
      <c r="Q170" s="29" t="n"/>
      <c r="R170" s="29" t="n"/>
      <c r="S170" s="29" t="n"/>
      <c r="T170" s="29" t="n"/>
      <c r="U170" s="29" t="n"/>
      <c r="V170" s="30">
        <f>IF(OR($A170="",$U170=""),"",IF($S170&lt;&gt;"",MAX(0,$S170-$U170),MAX(0,TODAY()-$U170)))</f>
        <v/>
      </c>
      <c r="W170" s="30">
        <f>IF($A170="","",IF(OR($N170="Live",$N170="Retired"),"",TODAY()-MAX($O170,$P170,$Q170,$R170)))</f>
        <v/>
      </c>
      <c r="X170" s="23" t="n"/>
      <c r="Y170" s="30">
        <f>IF($A170="","",COUNTIFS('Issues Log'!$C$5:$C$504,$A170,'Issues Log'!$K$5:$K$504,"Open")+COUNTIFS('Issues Log'!$C$5:$C$504,$A170,'Issues Log'!$K$5:$K$504,"In progress"))</f>
        <v/>
      </c>
      <c r="Z170" s="27" t="n"/>
    </row>
    <row r="171">
      <c r="A171" s="27" t="n"/>
      <c r="B171" s="27" t="n"/>
      <c r="C171" s="27" t="n"/>
      <c r="D171" s="28">
        <f>IF($C171="","",IFERROR(INDEX('Topic Plan'!$C$5:$C$115,MATCH($C171,'Topic Plan'!$B$5:$B$115,0)),"UNKNOWN TOPIC ID"))</f>
        <v/>
      </c>
      <c r="E171" s="28">
        <f>IF($C171="","",IFERROR(INDEX('Topic Plan'!$D$5:$D$115,MATCH($C171,'Topic Plan'!$B$5:$B$115,0)),""))</f>
        <v/>
      </c>
      <c r="F171" s="28">
        <f>IF($C171="","",IFERROR(INDEX('Topic Plan'!$E$5:$E$115,MATCH($C171,'Topic Plan'!$B$5:$B$115,0)),""))</f>
        <v/>
      </c>
      <c r="G171" s="23" t="n"/>
      <c r="H171" s="27" t="n"/>
      <c r="I171" s="27" t="n"/>
      <c r="J171" s="27" t="n"/>
      <c r="K171" s="27" t="n"/>
      <c r="L171" s="27" t="n"/>
      <c r="M171" s="27" t="n"/>
      <c r="N171" s="23" t="n"/>
      <c r="O171" s="29" t="n"/>
      <c r="P171" s="29" t="n"/>
      <c r="Q171" s="29" t="n"/>
      <c r="R171" s="29" t="n"/>
      <c r="S171" s="29" t="n"/>
      <c r="T171" s="29" t="n"/>
      <c r="U171" s="29" t="n"/>
      <c r="V171" s="30">
        <f>IF(OR($A171="",$U171=""),"",IF($S171&lt;&gt;"",MAX(0,$S171-$U171),MAX(0,TODAY()-$U171)))</f>
        <v/>
      </c>
      <c r="W171" s="30">
        <f>IF($A171="","",IF(OR($N171="Live",$N171="Retired"),"",TODAY()-MAX($O171,$P171,$Q171,$R171)))</f>
        <v/>
      </c>
      <c r="X171" s="23" t="n"/>
      <c r="Y171" s="30">
        <f>IF($A171="","",COUNTIFS('Issues Log'!$C$5:$C$504,$A171,'Issues Log'!$K$5:$K$504,"Open")+COUNTIFS('Issues Log'!$C$5:$C$504,$A171,'Issues Log'!$K$5:$K$504,"In progress"))</f>
        <v/>
      </c>
      <c r="Z171" s="27" t="n"/>
    </row>
    <row r="172">
      <c r="A172" s="27" t="n"/>
      <c r="B172" s="27" t="n"/>
      <c r="C172" s="27" t="n"/>
      <c r="D172" s="28">
        <f>IF($C172="","",IFERROR(INDEX('Topic Plan'!$C$5:$C$115,MATCH($C172,'Topic Plan'!$B$5:$B$115,0)),"UNKNOWN TOPIC ID"))</f>
        <v/>
      </c>
      <c r="E172" s="28">
        <f>IF($C172="","",IFERROR(INDEX('Topic Plan'!$D$5:$D$115,MATCH($C172,'Topic Plan'!$B$5:$B$115,0)),""))</f>
        <v/>
      </c>
      <c r="F172" s="28">
        <f>IF($C172="","",IFERROR(INDEX('Topic Plan'!$E$5:$E$115,MATCH($C172,'Topic Plan'!$B$5:$B$115,0)),""))</f>
        <v/>
      </c>
      <c r="G172" s="23" t="n"/>
      <c r="H172" s="27" t="n"/>
      <c r="I172" s="27" t="n"/>
      <c r="J172" s="27" t="n"/>
      <c r="K172" s="27" t="n"/>
      <c r="L172" s="27" t="n"/>
      <c r="M172" s="27" t="n"/>
      <c r="N172" s="23" t="n"/>
      <c r="O172" s="29" t="n"/>
      <c r="P172" s="29" t="n"/>
      <c r="Q172" s="29" t="n"/>
      <c r="R172" s="29" t="n"/>
      <c r="S172" s="29" t="n"/>
      <c r="T172" s="29" t="n"/>
      <c r="U172" s="29" t="n"/>
      <c r="V172" s="30">
        <f>IF(OR($A172="",$U172=""),"",IF($S172&lt;&gt;"",MAX(0,$S172-$U172),MAX(0,TODAY()-$U172)))</f>
        <v/>
      </c>
      <c r="W172" s="30">
        <f>IF($A172="","",IF(OR($N172="Live",$N172="Retired"),"",TODAY()-MAX($O172,$P172,$Q172,$R172)))</f>
        <v/>
      </c>
      <c r="X172" s="23" t="n"/>
      <c r="Y172" s="30">
        <f>IF($A172="","",COUNTIFS('Issues Log'!$C$5:$C$504,$A172,'Issues Log'!$K$5:$K$504,"Open")+COUNTIFS('Issues Log'!$C$5:$C$504,$A172,'Issues Log'!$K$5:$K$504,"In progress"))</f>
        <v/>
      </c>
      <c r="Z172" s="27" t="n"/>
    </row>
    <row r="173">
      <c r="A173" s="27" t="n"/>
      <c r="B173" s="27" t="n"/>
      <c r="C173" s="27" t="n"/>
      <c r="D173" s="28">
        <f>IF($C173="","",IFERROR(INDEX('Topic Plan'!$C$5:$C$115,MATCH($C173,'Topic Plan'!$B$5:$B$115,0)),"UNKNOWN TOPIC ID"))</f>
        <v/>
      </c>
      <c r="E173" s="28">
        <f>IF($C173="","",IFERROR(INDEX('Topic Plan'!$D$5:$D$115,MATCH($C173,'Topic Plan'!$B$5:$B$115,0)),""))</f>
        <v/>
      </c>
      <c r="F173" s="28">
        <f>IF($C173="","",IFERROR(INDEX('Topic Plan'!$E$5:$E$115,MATCH($C173,'Topic Plan'!$B$5:$B$115,0)),""))</f>
        <v/>
      </c>
      <c r="G173" s="23" t="n"/>
      <c r="H173" s="27" t="n"/>
      <c r="I173" s="27" t="n"/>
      <c r="J173" s="27" t="n"/>
      <c r="K173" s="27" t="n"/>
      <c r="L173" s="27" t="n"/>
      <c r="M173" s="27" t="n"/>
      <c r="N173" s="23" t="n"/>
      <c r="O173" s="29" t="n"/>
      <c r="P173" s="29" t="n"/>
      <c r="Q173" s="29" t="n"/>
      <c r="R173" s="29" t="n"/>
      <c r="S173" s="29" t="n"/>
      <c r="T173" s="29" t="n"/>
      <c r="U173" s="29" t="n"/>
      <c r="V173" s="30">
        <f>IF(OR($A173="",$U173=""),"",IF($S173&lt;&gt;"",MAX(0,$S173-$U173),MAX(0,TODAY()-$U173)))</f>
        <v/>
      </c>
      <c r="W173" s="30">
        <f>IF($A173="","",IF(OR($N173="Live",$N173="Retired"),"",TODAY()-MAX($O173,$P173,$Q173,$R173)))</f>
        <v/>
      </c>
      <c r="X173" s="23" t="n"/>
      <c r="Y173" s="30">
        <f>IF($A173="","",COUNTIFS('Issues Log'!$C$5:$C$504,$A173,'Issues Log'!$K$5:$K$504,"Open")+COUNTIFS('Issues Log'!$C$5:$C$504,$A173,'Issues Log'!$K$5:$K$504,"In progress"))</f>
        <v/>
      </c>
      <c r="Z173" s="27" t="n"/>
    </row>
    <row r="174">
      <c r="A174" s="27" t="n"/>
      <c r="B174" s="27" t="n"/>
      <c r="C174" s="27" t="n"/>
      <c r="D174" s="28">
        <f>IF($C174="","",IFERROR(INDEX('Topic Plan'!$C$5:$C$115,MATCH($C174,'Topic Plan'!$B$5:$B$115,0)),"UNKNOWN TOPIC ID"))</f>
        <v/>
      </c>
      <c r="E174" s="28">
        <f>IF($C174="","",IFERROR(INDEX('Topic Plan'!$D$5:$D$115,MATCH($C174,'Topic Plan'!$B$5:$B$115,0)),""))</f>
        <v/>
      </c>
      <c r="F174" s="28">
        <f>IF($C174="","",IFERROR(INDEX('Topic Plan'!$E$5:$E$115,MATCH($C174,'Topic Plan'!$B$5:$B$115,0)),""))</f>
        <v/>
      </c>
      <c r="G174" s="23" t="n"/>
      <c r="H174" s="27" t="n"/>
      <c r="I174" s="27" t="n"/>
      <c r="J174" s="27" t="n"/>
      <c r="K174" s="27" t="n"/>
      <c r="L174" s="27" t="n"/>
      <c r="M174" s="27" t="n"/>
      <c r="N174" s="23" t="n"/>
      <c r="O174" s="29" t="n"/>
      <c r="P174" s="29" t="n"/>
      <c r="Q174" s="29" t="n"/>
      <c r="R174" s="29" t="n"/>
      <c r="S174" s="29" t="n"/>
      <c r="T174" s="29" t="n"/>
      <c r="U174" s="29" t="n"/>
      <c r="V174" s="30">
        <f>IF(OR($A174="",$U174=""),"",IF($S174&lt;&gt;"",MAX(0,$S174-$U174),MAX(0,TODAY()-$U174)))</f>
        <v/>
      </c>
      <c r="W174" s="30">
        <f>IF($A174="","",IF(OR($N174="Live",$N174="Retired"),"",TODAY()-MAX($O174,$P174,$Q174,$R174)))</f>
        <v/>
      </c>
      <c r="X174" s="23" t="n"/>
      <c r="Y174" s="30">
        <f>IF($A174="","",COUNTIFS('Issues Log'!$C$5:$C$504,$A174,'Issues Log'!$K$5:$K$504,"Open")+COUNTIFS('Issues Log'!$C$5:$C$504,$A174,'Issues Log'!$K$5:$K$504,"In progress"))</f>
        <v/>
      </c>
      <c r="Z174" s="27" t="n"/>
    </row>
    <row r="175">
      <c r="A175" s="27" t="n"/>
      <c r="B175" s="27" t="n"/>
      <c r="C175" s="27" t="n"/>
      <c r="D175" s="28">
        <f>IF($C175="","",IFERROR(INDEX('Topic Plan'!$C$5:$C$115,MATCH($C175,'Topic Plan'!$B$5:$B$115,0)),"UNKNOWN TOPIC ID"))</f>
        <v/>
      </c>
      <c r="E175" s="28">
        <f>IF($C175="","",IFERROR(INDEX('Topic Plan'!$D$5:$D$115,MATCH($C175,'Topic Plan'!$B$5:$B$115,0)),""))</f>
        <v/>
      </c>
      <c r="F175" s="28">
        <f>IF($C175="","",IFERROR(INDEX('Topic Plan'!$E$5:$E$115,MATCH($C175,'Topic Plan'!$B$5:$B$115,0)),""))</f>
        <v/>
      </c>
      <c r="G175" s="23" t="n"/>
      <c r="H175" s="27" t="n"/>
      <c r="I175" s="27" t="n"/>
      <c r="J175" s="27" t="n"/>
      <c r="K175" s="27" t="n"/>
      <c r="L175" s="27" t="n"/>
      <c r="M175" s="27" t="n"/>
      <c r="N175" s="23" t="n"/>
      <c r="O175" s="29" t="n"/>
      <c r="P175" s="29" t="n"/>
      <c r="Q175" s="29" t="n"/>
      <c r="R175" s="29" t="n"/>
      <c r="S175" s="29" t="n"/>
      <c r="T175" s="29" t="n"/>
      <c r="U175" s="29" t="n"/>
      <c r="V175" s="30">
        <f>IF(OR($A175="",$U175=""),"",IF($S175&lt;&gt;"",MAX(0,$S175-$U175),MAX(0,TODAY()-$U175)))</f>
        <v/>
      </c>
      <c r="W175" s="30">
        <f>IF($A175="","",IF(OR($N175="Live",$N175="Retired"),"",TODAY()-MAX($O175,$P175,$Q175,$R175)))</f>
        <v/>
      </c>
      <c r="X175" s="23" t="n"/>
      <c r="Y175" s="30">
        <f>IF($A175="","",COUNTIFS('Issues Log'!$C$5:$C$504,$A175,'Issues Log'!$K$5:$K$504,"Open")+COUNTIFS('Issues Log'!$C$5:$C$504,$A175,'Issues Log'!$K$5:$K$504,"In progress"))</f>
        <v/>
      </c>
      <c r="Z175" s="27" t="n"/>
    </row>
    <row r="176">
      <c r="A176" s="27" t="n"/>
      <c r="B176" s="27" t="n"/>
      <c r="C176" s="27" t="n"/>
      <c r="D176" s="28">
        <f>IF($C176="","",IFERROR(INDEX('Topic Plan'!$C$5:$C$115,MATCH($C176,'Topic Plan'!$B$5:$B$115,0)),"UNKNOWN TOPIC ID"))</f>
        <v/>
      </c>
      <c r="E176" s="28">
        <f>IF($C176="","",IFERROR(INDEX('Topic Plan'!$D$5:$D$115,MATCH($C176,'Topic Plan'!$B$5:$B$115,0)),""))</f>
        <v/>
      </c>
      <c r="F176" s="28">
        <f>IF($C176="","",IFERROR(INDEX('Topic Plan'!$E$5:$E$115,MATCH($C176,'Topic Plan'!$B$5:$B$115,0)),""))</f>
        <v/>
      </c>
      <c r="G176" s="23" t="n"/>
      <c r="H176" s="27" t="n"/>
      <c r="I176" s="27" t="n"/>
      <c r="J176" s="27" t="n"/>
      <c r="K176" s="27" t="n"/>
      <c r="L176" s="27" t="n"/>
      <c r="M176" s="27" t="n"/>
      <c r="N176" s="23" t="n"/>
      <c r="O176" s="29" t="n"/>
      <c r="P176" s="29" t="n"/>
      <c r="Q176" s="29" t="n"/>
      <c r="R176" s="29" t="n"/>
      <c r="S176" s="29" t="n"/>
      <c r="T176" s="29" t="n"/>
      <c r="U176" s="29" t="n"/>
      <c r="V176" s="30">
        <f>IF(OR($A176="",$U176=""),"",IF($S176&lt;&gt;"",MAX(0,$S176-$U176),MAX(0,TODAY()-$U176)))</f>
        <v/>
      </c>
      <c r="W176" s="30">
        <f>IF($A176="","",IF(OR($N176="Live",$N176="Retired"),"",TODAY()-MAX($O176,$P176,$Q176,$R176)))</f>
        <v/>
      </c>
      <c r="X176" s="23" t="n"/>
      <c r="Y176" s="30">
        <f>IF($A176="","",COUNTIFS('Issues Log'!$C$5:$C$504,$A176,'Issues Log'!$K$5:$K$504,"Open")+COUNTIFS('Issues Log'!$C$5:$C$504,$A176,'Issues Log'!$K$5:$K$504,"In progress"))</f>
        <v/>
      </c>
      <c r="Z176" s="27" t="n"/>
    </row>
    <row r="177">
      <c r="A177" s="27" t="n"/>
      <c r="B177" s="27" t="n"/>
      <c r="C177" s="27" t="n"/>
      <c r="D177" s="28">
        <f>IF($C177="","",IFERROR(INDEX('Topic Plan'!$C$5:$C$115,MATCH($C177,'Topic Plan'!$B$5:$B$115,0)),"UNKNOWN TOPIC ID"))</f>
        <v/>
      </c>
      <c r="E177" s="28">
        <f>IF($C177="","",IFERROR(INDEX('Topic Plan'!$D$5:$D$115,MATCH($C177,'Topic Plan'!$B$5:$B$115,0)),""))</f>
        <v/>
      </c>
      <c r="F177" s="28">
        <f>IF($C177="","",IFERROR(INDEX('Topic Plan'!$E$5:$E$115,MATCH($C177,'Topic Plan'!$B$5:$B$115,0)),""))</f>
        <v/>
      </c>
      <c r="G177" s="23" t="n"/>
      <c r="H177" s="27" t="n"/>
      <c r="I177" s="27" t="n"/>
      <c r="J177" s="27" t="n"/>
      <c r="K177" s="27" t="n"/>
      <c r="L177" s="27" t="n"/>
      <c r="M177" s="27" t="n"/>
      <c r="N177" s="23" t="n"/>
      <c r="O177" s="29" t="n"/>
      <c r="P177" s="29" t="n"/>
      <c r="Q177" s="29" t="n"/>
      <c r="R177" s="29" t="n"/>
      <c r="S177" s="29" t="n"/>
      <c r="T177" s="29" t="n"/>
      <c r="U177" s="29" t="n"/>
      <c r="V177" s="30">
        <f>IF(OR($A177="",$U177=""),"",IF($S177&lt;&gt;"",MAX(0,$S177-$U177),MAX(0,TODAY()-$U177)))</f>
        <v/>
      </c>
      <c r="W177" s="30">
        <f>IF($A177="","",IF(OR($N177="Live",$N177="Retired"),"",TODAY()-MAX($O177,$P177,$Q177,$R177)))</f>
        <v/>
      </c>
      <c r="X177" s="23" t="n"/>
      <c r="Y177" s="30">
        <f>IF($A177="","",COUNTIFS('Issues Log'!$C$5:$C$504,$A177,'Issues Log'!$K$5:$K$504,"Open")+COUNTIFS('Issues Log'!$C$5:$C$504,$A177,'Issues Log'!$K$5:$K$504,"In progress"))</f>
        <v/>
      </c>
      <c r="Z177" s="27" t="n"/>
    </row>
    <row r="178">
      <c r="A178" s="27" t="n"/>
      <c r="B178" s="27" t="n"/>
      <c r="C178" s="27" t="n"/>
      <c r="D178" s="28">
        <f>IF($C178="","",IFERROR(INDEX('Topic Plan'!$C$5:$C$115,MATCH($C178,'Topic Plan'!$B$5:$B$115,0)),"UNKNOWN TOPIC ID"))</f>
        <v/>
      </c>
      <c r="E178" s="28">
        <f>IF($C178="","",IFERROR(INDEX('Topic Plan'!$D$5:$D$115,MATCH($C178,'Topic Plan'!$B$5:$B$115,0)),""))</f>
        <v/>
      </c>
      <c r="F178" s="28">
        <f>IF($C178="","",IFERROR(INDEX('Topic Plan'!$E$5:$E$115,MATCH($C178,'Topic Plan'!$B$5:$B$115,0)),""))</f>
        <v/>
      </c>
      <c r="G178" s="23" t="n"/>
      <c r="H178" s="27" t="n"/>
      <c r="I178" s="27" t="n"/>
      <c r="J178" s="27" t="n"/>
      <c r="K178" s="27" t="n"/>
      <c r="L178" s="27" t="n"/>
      <c r="M178" s="27" t="n"/>
      <c r="N178" s="23" t="n"/>
      <c r="O178" s="29" t="n"/>
      <c r="P178" s="29" t="n"/>
      <c r="Q178" s="29" t="n"/>
      <c r="R178" s="29" t="n"/>
      <c r="S178" s="29" t="n"/>
      <c r="T178" s="29" t="n"/>
      <c r="U178" s="29" t="n"/>
      <c r="V178" s="30">
        <f>IF(OR($A178="",$U178=""),"",IF($S178&lt;&gt;"",MAX(0,$S178-$U178),MAX(0,TODAY()-$U178)))</f>
        <v/>
      </c>
      <c r="W178" s="30">
        <f>IF($A178="","",IF(OR($N178="Live",$N178="Retired"),"",TODAY()-MAX($O178,$P178,$Q178,$R178)))</f>
        <v/>
      </c>
      <c r="X178" s="23" t="n"/>
      <c r="Y178" s="30">
        <f>IF($A178="","",COUNTIFS('Issues Log'!$C$5:$C$504,$A178,'Issues Log'!$K$5:$K$504,"Open")+COUNTIFS('Issues Log'!$C$5:$C$504,$A178,'Issues Log'!$K$5:$K$504,"In progress"))</f>
        <v/>
      </c>
      <c r="Z178" s="27" t="n"/>
    </row>
    <row r="179">
      <c r="A179" s="27" t="n"/>
      <c r="B179" s="27" t="n"/>
      <c r="C179" s="27" t="n"/>
      <c r="D179" s="28">
        <f>IF($C179="","",IFERROR(INDEX('Topic Plan'!$C$5:$C$115,MATCH($C179,'Topic Plan'!$B$5:$B$115,0)),"UNKNOWN TOPIC ID"))</f>
        <v/>
      </c>
      <c r="E179" s="28">
        <f>IF($C179="","",IFERROR(INDEX('Topic Plan'!$D$5:$D$115,MATCH($C179,'Topic Plan'!$B$5:$B$115,0)),""))</f>
        <v/>
      </c>
      <c r="F179" s="28">
        <f>IF($C179="","",IFERROR(INDEX('Topic Plan'!$E$5:$E$115,MATCH($C179,'Topic Plan'!$B$5:$B$115,0)),""))</f>
        <v/>
      </c>
      <c r="G179" s="23" t="n"/>
      <c r="H179" s="27" t="n"/>
      <c r="I179" s="27" t="n"/>
      <c r="J179" s="27" t="n"/>
      <c r="K179" s="27" t="n"/>
      <c r="L179" s="27" t="n"/>
      <c r="M179" s="27" t="n"/>
      <c r="N179" s="23" t="n"/>
      <c r="O179" s="29" t="n"/>
      <c r="P179" s="29" t="n"/>
      <c r="Q179" s="29" t="n"/>
      <c r="R179" s="29" t="n"/>
      <c r="S179" s="29" t="n"/>
      <c r="T179" s="29" t="n"/>
      <c r="U179" s="29" t="n"/>
      <c r="V179" s="30">
        <f>IF(OR($A179="",$U179=""),"",IF($S179&lt;&gt;"",MAX(0,$S179-$U179),MAX(0,TODAY()-$U179)))</f>
        <v/>
      </c>
      <c r="W179" s="30">
        <f>IF($A179="","",IF(OR($N179="Live",$N179="Retired"),"",TODAY()-MAX($O179,$P179,$Q179,$R179)))</f>
        <v/>
      </c>
      <c r="X179" s="23" t="n"/>
      <c r="Y179" s="30">
        <f>IF($A179="","",COUNTIFS('Issues Log'!$C$5:$C$504,$A179,'Issues Log'!$K$5:$K$504,"Open")+COUNTIFS('Issues Log'!$C$5:$C$504,$A179,'Issues Log'!$K$5:$K$504,"In progress"))</f>
        <v/>
      </c>
      <c r="Z179" s="27" t="n"/>
    </row>
    <row r="180">
      <c r="A180" s="27" t="n"/>
      <c r="B180" s="27" t="n"/>
      <c r="C180" s="27" t="n"/>
      <c r="D180" s="28">
        <f>IF($C180="","",IFERROR(INDEX('Topic Plan'!$C$5:$C$115,MATCH($C180,'Topic Plan'!$B$5:$B$115,0)),"UNKNOWN TOPIC ID"))</f>
        <v/>
      </c>
      <c r="E180" s="28">
        <f>IF($C180="","",IFERROR(INDEX('Topic Plan'!$D$5:$D$115,MATCH($C180,'Topic Plan'!$B$5:$B$115,0)),""))</f>
        <v/>
      </c>
      <c r="F180" s="28">
        <f>IF($C180="","",IFERROR(INDEX('Topic Plan'!$E$5:$E$115,MATCH($C180,'Topic Plan'!$B$5:$B$115,0)),""))</f>
        <v/>
      </c>
      <c r="G180" s="23" t="n"/>
      <c r="H180" s="27" t="n"/>
      <c r="I180" s="27" t="n"/>
      <c r="J180" s="27" t="n"/>
      <c r="K180" s="27" t="n"/>
      <c r="L180" s="27" t="n"/>
      <c r="M180" s="27" t="n"/>
      <c r="N180" s="23" t="n"/>
      <c r="O180" s="29" t="n"/>
      <c r="P180" s="29" t="n"/>
      <c r="Q180" s="29" t="n"/>
      <c r="R180" s="29" t="n"/>
      <c r="S180" s="29" t="n"/>
      <c r="T180" s="29" t="n"/>
      <c r="U180" s="29" t="n"/>
      <c r="V180" s="30">
        <f>IF(OR($A180="",$U180=""),"",IF($S180&lt;&gt;"",MAX(0,$S180-$U180),MAX(0,TODAY()-$U180)))</f>
        <v/>
      </c>
      <c r="W180" s="30">
        <f>IF($A180="","",IF(OR($N180="Live",$N180="Retired"),"",TODAY()-MAX($O180,$P180,$Q180,$R180)))</f>
        <v/>
      </c>
      <c r="X180" s="23" t="n"/>
      <c r="Y180" s="30">
        <f>IF($A180="","",COUNTIFS('Issues Log'!$C$5:$C$504,$A180,'Issues Log'!$K$5:$K$504,"Open")+COUNTIFS('Issues Log'!$C$5:$C$504,$A180,'Issues Log'!$K$5:$K$504,"In progress"))</f>
        <v/>
      </c>
      <c r="Z180" s="27" t="n"/>
    </row>
    <row r="181">
      <c r="A181" s="27" t="n"/>
      <c r="B181" s="27" t="n"/>
      <c r="C181" s="27" t="n"/>
      <c r="D181" s="28">
        <f>IF($C181="","",IFERROR(INDEX('Topic Plan'!$C$5:$C$115,MATCH($C181,'Topic Plan'!$B$5:$B$115,0)),"UNKNOWN TOPIC ID"))</f>
        <v/>
      </c>
      <c r="E181" s="28">
        <f>IF($C181="","",IFERROR(INDEX('Topic Plan'!$D$5:$D$115,MATCH($C181,'Topic Plan'!$B$5:$B$115,0)),""))</f>
        <v/>
      </c>
      <c r="F181" s="28">
        <f>IF($C181="","",IFERROR(INDEX('Topic Plan'!$E$5:$E$115,MATCH($C181,'Topic Plan'!$B$5:$B$115,0)),""))</f>
        <v/>
      </c>
      <c r="G181" s="23" t="n"/>
      <c r="H181" s="27" t="n"/>
      <c r="I181" s="27" t="n"/>
      <c r="J181" s="27" t="n"/>
      <c r="K181" s="27" t="n"/>
      <c r="L181" s="27" t="n"/>
      <c r="M181" s="27" t="n"/>
      <c r="N181" s="23" t="n"/>
      <c r="O181" s="29" t="n"/>
      <c r="P181" s="29" t="n"/>
      <c r="Q181" s="29" t="n"/>
      <c r="R181" s="29" t="n"/>
      <c r="S181" s="29" t="n"/>
      <c r="T181" s="29" t="n"/>
      <c r="U181" s="29" t="n"/>
      <c r="V181" s="30">
        <f>IF(OR($A181="",$U181=""),"",IF($S181&lt;&gt;"",MAX(0,$S181-$U181),MAX(0,TODAY()-$U181)))</f>
        <v/>
      </c>
      <c r="W181" s="30">
        <f>IF($A181="","",IF(OR($N181="Live",$N181="Retired"),"",TODAY()-MAX($O181,$P181,$Q181,$R181)))</f>
        <v/>
      </c>
      <c r="X181" s="23" t="n"/>
      <c r="Y181" s="30">
        <f>IF($A181="","",COUNTIFS('Issues Log'!$C$5:$C$504,$A181,'Issues Log'!$K$5:$K$504,"Open")+COUNTIFS('Issues Log'!$C$5:$C$504,$A181,'Issues Log'!$K$5:$K$504,"In progress"))</f>
        <v/>
      </c>
      <c r="Z181" s="27" t="n"/>
    </row>
    <row r="182">
      <c r="A182" s="27" t="n"/>
      <c r="B182" s="27" t="n"/>
      <c r="C182" s="27" t="n"/>
      <c r="D182" s="28">
        <f>IF($C182="","",IFERROR(INDEX('Topic Plan'!$C$5:$C$115,MATCH($C182,'Topic Plan'!$B$5:$B$115,0)),"UNKNOWN TOPIC ID"))</f>
        <v/>
      </c>
      <c r="E182" s="28">
        <f>IF($C182="","",IFERROR(INDEX('Topic Plan'!$D$5:$D$115,MATCH($C182,'Topic Plan'!$B$5:$B$115,0)),""))</f>
        <v/>
      </c>
      <c r="F182" s="28">
        <f>IF($C182="","",IFERROR(INDEX('Topic Plan'!$E$5:$E$115,MATCH($C182,'Topic Plan'!$B$5:$B$115,0)),""))</f>
        <v/>
      </c>
      <c r="G182" s="23" t="n"/>
      <c r="H182" s="27" t="n"/>
      <c r="I182" s="27" t="n"/>
      <c r="J182" s="27" t="n"/>
      <c r="K182" s="27" t="n"/>
      <c r="L182" s="27" t="n"/>
      <c r="M182" s="27" t="n"/>
      <c r="N182" s="23" t="n"/>
      <c r="O182" s="29" t="n"/>
      <c r="P182" s="29" t="n"/>
      <c r="Q182" s="29" t="n"/>
      <c r="R182" s="29" t="n"/>
      <c r="S182" s="29" t="n"/>
      <c r="T182" s="29" t="n"/>
      <c r="U182" s="29" t="n"/>
      <c r="V182" s="30">
        <f>IF(OR($A182="",$U182=""),"",IF($S182&lt;&gt;"",MAX(0,$S182-$U182),MAX(0,TODAY()-$U182)))</f>
        <v/>
      </c>
      <c r="W182" s="30">
        <f>IF($A182="","",IF(OR($N182="Live",$N182="Retired"),"",TODAY()-MAX($O182,$P182,$Q182,$R182)))</f>
        <v/>
      </c>
      <c r="X182" s="23" t="n"/>
      <c r="Y182" s="30">
        <f>IF($A182="","",COUNTIFS('Issues Log'!$C$5:$C$504,$A182,'Issues Log'!$K$5:$K$504,"Open")+COUNTIFS('Issues Log'!$C$5:$C$504,$A182,'Issues Log'!$K$5:$K$504,"In progress"))</f>
        <v/>
      </c>
      <c r="Z182" s="27" t="n"/>
    </row>
    <row r="183">
      <c r="A183" s="27" t="n"/>
      <c r="B183" s="27" t="n"/>
      <c r="C183" s="27" t="n"/>
      <c r="D183" s="28">
        <f>IF($C183="","",IFERROR(INDEX('Topic Plan'!$C$5:$C$115,MATCH($C183,'Topic Plan'!$B$5:$B$115,0)),"UNKNOWN TOPIC ID"))</f>
        <v/>
      </c>
      <c r="E183" s="28">
        <f>IF($C183="","",IFERROR(INDEX('Topic Plan'!$D$5:$D$115,MATCH($C183,'Topic Plan'!$B$5:$B$115,0)),""))</f>
        <v/>
      </c>
      <c r="F183" s="28">
        <f>IF($C183="","",IFERROR(INDEX('Topic Plan'!$E$5:$E$115,MATCH($C183,'Topic Plan'!$B$5:$B$115,0)),""))</f>
        <v/>
      </c>
      <c r="G183" s="23" t="n"/>
      <c r="H183" s="27" t="n"/>
      <c r="I183" s="27" t="n"/>
      <c r="J183" s="27" t="n"/>
      <c r="K183" s="27" t="n"/>
      <c r="L183" s="27" t="n"/>
      <c r="M183" s="27" t="n"/>
      <c r="N183" s="23" t="n"/>
      <c r="O183" s="29" t="n"/>
      <c r="P183" s="29" t="n"/>
      <c r="Q183" s="29" t="n"/>
      <c r="R183" s="29" t="n"/>
      <c r="S183" s="29" t="n"/>
      <c r="T183" s="29" t="n"/>
      <c r="U183" s="29" t="n"/>
      <c r="V183" s="30">
        <f>IF(OR($A183="",$U183=""),"",IF($S183&lt;&gt;"",MAX(0,$S183-$U183),MAX(0,TODAY()-$U183)))</f>
        <v/>
      </c>
      <c r="W183" s="30">
        <f>IF($A183="","",IF(OR($N183="Live",$N183="Retired"),"",TODAY()-MAX($O183,$P183,$Q183,$R183)))</f>
        <v/>
      </c>
      <c r="X183" s="23" t="n"/>
      <c r="Y183" s="30">
        <f>IF($A183="","",COUNTIFS('Issues Log'!$C$5:$C$504,$A183,'Issues Log'!$K$5:$K$504,"Open")+COUNTIFS('Issues Log'!$C$5:$C$504,$A183,'Issues Log'!$K$5:$K$504,"In progress"))</f>
        <v/>
      </c>
      <c r="Z183" s="27" t="n"/>
    </row>
    <row r="184">
      <c r="A184" s="27" t="n"/>
      <c r="B184" s="27" t="n"/>
      <c r="C184" s="27" t="n"/>
      <c r="D184" s="28">
        <f>IF($C184="","",IFERROR(INDEX('Topic Plan'!$C$5:$C$115,MATCH($C184,'Topic Plan'!$B$5:$B$115,0)),"UNKNOWN TOPIC ID"))</f>
        <v/>
      </c>
      <c r="E184" s="28">
        <f>IF($C184="","",IFERROR(INDEX('Topic Plan'!$D$5:$D$115,MATCH($C184,'Topic Plan'!$B$5:$B$115,0)),""))</f>
        <v/>
      </c>
      <c r="F184" s="28">
        <f>IF($C184="","",IFERROR(INDEX('Topic Plan'!$E$5:$E$115,MATCH($C184,'Topic Plan'!$B$5:$B$115,0)),""))</f>
        <v/>
      </c>
      <c r="G184" s="23" t="n"/>
      <c r="H184" s="27" t="n"/>
      <c r="I184" s="27" t="n"/>
      <c r="J184" s="27" t="n"/>
      <c r="K184" s="27" t="n"/>
      <c r="L184" s="27" t="n"/>
      <c r="M184" s="27" t="n"/>
      <c r="N184" s="23" t="n"/>
      <c r="O184" s="29" t="n"/>
      <c r="P184" s="29" t="n"/>
      <c r="Q184" s="29" t="n"/>
      <c r="R184" s="29" t="n"/>
      <c r="S184" s="29" t="n"/>
      <c r="T184" s="29" t="n"/>
      <c r="U184" s="29" t="n"/>
      <c r="V184" s="30">
        <f>IF(OR($A184="",$U184=""),"",IF($S184&lt;&gt;"",MAX(0,$S184-$U184),MAX(0,TODAY()-$U184)))</f>
        <v/>
      </c>
      <c r="W184" s="30">
        <f>IF($A184="","",IF(OR($N184="Live",$N184="Retired"),"",TODAY()-MAX($O184,$P184,$Q184,$R184)))</f>
        <v/>
      </c>
      <c r="X184" s="23" t="n"/>
      <c r="Y184" s="30">
        <f>IF($A184="","",COUNTIFS('Issues Log'!$C$5:$C$504,$A184,'Issues Log'!$K$5:$K$504,"Open")+COUNTIFS('Issues Log'!$C$5:$C$504,$A184,'Issues Log'!$K$5:$K$504,"In progress"))</f>
        <v/>
      </c>
      <c r="Z184" s="27" t="n"/>
    </row>
    <row r="185">
      <c r="A185" s="27" t="n"/>
      <c r="B185" s="27" t="n"/>
      <c r="C185" s="27" t="n"/>
      <c r="D185" s="28">
        <f>IF($C185="","",IFERROR(INDEX('Topic Plan'!$C$5:$C$115,MATCH($C185,'Topic Plan'!$B$5:$B$115,0)),"UNKNOWN TOPIC ID"))</f>
        <v/>
      </c>
      <c r="E185" s="28">
        <f>IF($C185="","",IFERROR(INDEX('Topic Plan'!$D$5:$D$115,MATCH($C185,'Topic Plan'!$B$5:$B$115,0)),""))</f>
        <v/>
      </c>
      <c r="F185" s="28">
        <f>IF($C185="","",IFERROR(INDEX('Topic Plan'!$E$5:$E$115,MATCH($C185,'Topic Plan'!$B$5:$B$115,0)),""))</f>
        <v/>
      </c>
      <c r="G185" s="23" t="n"/>
      <c r="H185" s="27" t="n"/>
      <c r="I185" s="27" t="n"/>
      <c r="J185" s="27" t="n"/>
      <c r="K185" s="27" t="n"/>
      <c r="L185" s="27" t="n"/>
      <c r="M185" s="27" t="n"/>
      <c r="N185" s="23" t="n"/>
      <c r="O185" s="29" t="n"/>
      <c r="P185" s="29" t="n"/>
      <c r="Q185" s="29" t="n"/>
      <c r="R185" s="29" t="n"/>
      <c r="S185" s="29" t="n"/>
      <c r="T185" s="29" t="n"/>
      <c r="U185" s="29" t="n"/>
      <c r="V185" s="30">
        <f>IF(OR($A185="",$U185=""),"",IF($S185&lt;&gt;"",MAX(0,$S185-$U185),MAX(0,TODAY()-$U185)))</f>
        <v/>
      </c>
      <c r="W185" s="30">
        <f>IF($A185="","",IF(OR($N185="Live",$N185="Retired"),"",TODAY()-MAX($O185,$P185,$Q185,$R185)))</f>
        <v/>
      </c>
      <c r="X185" s="23" t="n"/>
      <c r="Y185" s="30">
        <f>IF($A185="","",COUNTIFS('Issues Log'!$C$5:$C$504,$A185,'Issues Log'!$K$5:$K$504,"Open")+COUNTIFS('Issues Log'!$C$5:$C$504,$A185,'Issues Log'!$K$5:$K$504,"In progress"))</f>
        <v/>
      </c>
      <c r="Z185" s="27" t="n"/>
    </row>
    <row r="186">
      <c r="A186" s="27" t="n"/>
      <c r="B186" s="27" t="n"/>
      <c r="C186" s="27" t="n"/>
      <c r="D186" s="28">
        <f>IF($C186="","",IFERROR(INDEX('Topic Plan'!$C$5:$C$115,MATCH($C186,'Topic Plan'!$B$5:$B$115,0)),"UNKNOWN TOPIC ID"))</f>
        <v/>
      </c>
      <c r="E186" s="28">
        <f>IF($C186="","",IFERROR(INDEX('Topic Plan'!$D$5:$D$115,MATCH($C186,'Topic Plan'!$B$5:$B$115,0)),""))</f>
        <v/>
      </c>
      <c r="F186" s="28">
        <f>IF($C186="","",IFERROR(INDEX('Topic Plan'!$E$5:$E$115,MATCH($C186,'Topic Plan'!$B$5:$B$115,0)),""))</f>
        <v/>
      </c>
      <c r="G186" s="23" t="n"/>
      <c r="H186" s="27" t="n"/>
      <c r="I186" s="27" t="n"/>
      <c r="J186" s="27" t="n"/>
      <c r="K186" s="27" t="n"/>
      <c r="L186" s="27" t="n"/>
      <c r="M186" s="27" t="n"/>
      <c r="N186" s="23" t="n"/>
      <c r="O186" s="29" t="n"/>
      <c r="P186" s="29" t="n"/>
      <c r="Q186" s="29" t="n"/>
      <c r="R186" s="29" t="n"/>
      <c r="S186" s="29" t="n"/>
      <c r="T186" s="29" t="n"/>
      <c r="U186" s="29" t="n"/>
      <c r="V186" s="30">
        <f>IF(OR($A186="",$U186=""),"",IF($S186&lt;&gt;"",MAX(0,$S186-$U186),MAX(0,TODAY()-$U186)))</f>
        <v/>
      </c>
      <c r="W186" s="30">
        <f>IF($A186="","",IF(OR($N186="Live",$N186="Retired"),"",TODAY()-MAX($O186,$P186,$Q186,$R186)))</f>
        <v/>
      </c>
      <c r="X186" s="23" t="n"/>
      <c r="Y186" s="30">
        <f>IF($A186="","",COUNTIFS('Issues Log'!$C$5:$C$504,$A186,'Issues Log'!$K$5:$K$504,"Open")+COUNTIFS('Issues Log'!$C$5:$C$504,$A186,'Issues Log'!$K$5:$K$504,"In progress"))</f>
        <v/>
      </c>
      <c r="Z186" s="27" t="n"/>
    </row>
    <row r="187">
      <c r="A187" s="27" t="n"/>
      <c r="B187" s="27" t="n"/>
      <c r="C187" s="27" t="n"/>
      <c r="D187" s="28">
        <f>IF($C187="","",IFERROR(INDEX('Topic Plan'!$C$5:$C$115,MATCH($C187,'Topic Plan'!$B$5:$B$115,0)),"UNKNOWN TOPIC ID"))</f>
        <v/>
      </c>
      <c r="E187" s="28">
        <f>IF($C187="","",IFERROR(INDEX('Topic Plan'!$D$5:$D$115,MATCH($C187,'Topic Plan'!$B$5:$B$115,0)),""))</f>
        <v/>
      </c>
      <c r="F187" s="28">
        <f>IF($C187="","",IFERROR(INDEX('Topic Plan'!$E$5:$E$115,MATCH($C187,'Topic Plan'!$B$5:$B$115,0)),""))</f>
        <v/>
      </c>
      <c r="G187" s="23" t="n"/>
      <c r="H187" s="27" t="n"/>
      <c r="I187" s="27" t="n"/>
      <c r="J187" s="27" t="n"/>
      <c r="K187" s="27" t="n"/>
      <c r="L187" s="27" t="n"/>
      <c r="M187" s="27" t="n"/>
      <c r="N187" s="23" t="n"/>
      <c r="O187" s="29" t="n"/>
      <c r="P187" s="29" t="n"/>
      <c r="Q187" s="29" t="n"/>
      <c r="R187" s="29" t="n"/>
      <c r="S187" s="29" t="n"/>
      <c r="T187" s="29" t="n"/>
      <c r="U187" s="29" t="n"/>
      <c r="V187" s="30">
        <f>IF(OR($A187="",$U187=""),"",IF($S187&lt;&gt;"",MAX(0,$S187-$U187),MAX(0,TODAY()-$U187)))</f>
        <v/>
      </c>
      <c r="W187" s="30">
        <f>IF($A187="","",IF(OR($N187="Live",$N187="Retired"),"",TODAY()-MAX($O187,$P187,$Q187,$R187)))</f>
        <v/>
      </c>
      <c r="X187" s="23" t="n"/>
      <c r="Y187" s="30">
        <f>IF($A187="","",COUNTIFS('Issues Log'!$C$5:$C$504,$A187,'Issues Log'!$K$5:$K$504,"Open")+COUNTIFS('Issues Log'!$C$5:$C$504,$A187,'Issues Log'!$K$5:$K$504,"In progress"))</f>
        <v/>
      </c>
      <c r="Z187" s="27" t="n"/>
    </row>
    <row r="188">
      <c r="A188" s="27" t="n"/>
      <c r="B188" s="27" t="n"/>
      <c r="C188" s="27" t="n"/>
      <c r="D188" s="28">
        <f>IF($C188="","",IFERROR(INDEX('Topic Plan'!$C$5:$C$115,MATCH($C188,'Topic Plan'!$B$5:$B$115,0)),"UNKNOWN TOPIC ID"))</f>
        <v/>
      </c>
      <c r="E188" s="28">
        <f>IF($C188="","",IFERROR(INDEX('Topic Plan'!$D$5:$D$115,MATCH($C188,'Topic Plan'!$B$5:$B$115,0)),""))</f>
        <v/>
      </c>
      <c r="F188" s="28">
        <f>IF($C188="","",IFERROR(INDEX('Topic Plan'!$E$5:$E$115,MATCH($C188,'Topic Plan'!$B$5:$B$115,0)),""))</f>
        <v/>
      </c>
      <c r="G188" s="23" t="n"/>
      <c r="H188" s="27" t="n"/>
      <c r="I188" s="27" t="n"/>
      <c r="J188" s="27" t="n"/>
      <c r="K188" s="27" t="n"/>
      <c r="L188" s="27" t="n"/>
      <c r="M188" s="27" t="n"/>
      <c r="N188" s="23" t="n"/>
      <c r="O188" s="29" t="n"/>
      <c r="P188" s="29" t="n"/>
      <c r="Q188" s="29" t="n"/>
      <c r="R188" s="29" t="n"/>
      <c r="S188" s="29" t="n"/>
      <c r="T188" s="29" t="n"/>
      <c r="U188" s="29" t="n"/>
      <c r="V188" s="30">
        <f>IF(OR($A188="",$U188=""),"",IF($S188&lt;&gt;"",MAX(0,$S188-$U188),MAX(0,TODAY()-$U188)))</f>
        <v/>
      </c>
      <c r="W188" s="30">
        <f>IF($A188="","",IF(OR($N188="Live",$N188="Retired"),"",TODAY()-MAX($O188,$P188,$Q188,$R188)))</f>
        <v/>
      </c>
      <c r="X188" s="23" t="n"/>
      <c r="Y188" s="30">
        <f>IF($A188="","",COUNTIFS('Issues Log'!$C$5:$C$504,$A188,'Issues Log'!$K$5:$K$504,"Open")+COUNTIFS('Issues Log'!$C$5:$C$504,$A188,'Issues Log'!$K$5:$K$504,"In progress"))</f>
        <v/>
      </c>
      <c r="Z188" s="27" t="n"/>
    </row>
    <row r="189">
      <c r="A189" s="27" t="n"/>
      <c r="B189" s="27" t="n"/>
      <c r="C189" s="27" t="n"/>
      <c r="D189" s="28">
        <f>IF($C189="","",IFERROR(INDEX('Topic Plan'!$C$5:$C$115,MATCH($C189,'Topic Plan'!$B$5:$B$115,0)),"UNKNOWN TOPIC ID"))</f>
        <v/>
      </c>
      <c r="E189" s="28">
        <f>IF($C189="","",IFERROR(INDEX('Topic Plan'!$D$5:$D$115,MATCH($C189,'Topic Plan'!$B$5:$B$115,0)),""))</f>
        <v/>
      </c>
      <c r="F189" s="28">
        <f>IF($C189="","",IFERROR(INDEX('Topic Plan'!$E$5:$E$115,MATCH($C189,'Topic Plan'!$B$5:$B$115,0)),""))</f>
        <v/>
      </c>
      <c r="G189" s="23" t="n"/>
      <c r="H189" s="27" t="n"/>
      <c r="I189" s="27" t="n"/>
      <c r="J189" s="27" t="n"/>
      <c r="K189" s="27" t="n"/>
      <c r="L189" s="27" t="n"/>
      <c r="M189" s="27" t="n"/>
      <c r="N189" s="23" t="n"/>
      <c r="O189" s="29" t="n"/>
      <c r="P189" s="29" t="n"/>
      <c r="Q189" s="29" t="n"/>
      <c r="R189" s="29" t="n"/>
      <c r="S189" s="29" t="n"/>
      <c r="T189" s="29" t="n"/>
      <c r="U189" s="29" t="n"/>
      <c r="V189" s="30">
        <f>IF(OR($A189="",$U189=""),"",IF($S189&lt;&gt;"",MAX(0,$S189-$U189),MAX(0,TODAY()-$U189)))</f>
        <v/>
      </c>
      <c r="W189" s="30">
        <f>IF($A189="","",IF(OR($N189="Live",$N189="Retired"),"",TODAY()-MAX($O189,$P189,$Q189,$R189)))</f>
        <v/>
      </c>
      <c r="X189" s="23" t="n"/>
      <c r="Y189" s="30">
        <f>IF($A189="","",COUNTIFS('Issues Log'!$C$5:$C$504,$A189,'Issues Log'!$K$5:$K$504,"Open")+COUNTIFS('Issues Log'!$C$5:$C$504,$A189,'Issues Log'!$K$5:$K$504,"In progress"))</f>
        <v/>
      </c>
      <c r="Z189" s="27" t="n"/>
    </row>
    <row r="190">
      <c r="A190" s="27" t="n"/>
      <c r="B190" s="27" t="n"/>
      <c r="C190" s="27" t="n"/>
      <c r="D190" s="28">
        <f>IF($C190="","",IFERROR(INDEX('Topic Plan'!$C$5:$C$115,MATCH($C190,'Topic Plan'!$B$5:$B$115,0)),"UNKNOWN TOPIC ID"))</f>
        <v/>
      </c>
      <c r="E190" s="28">
        <f>IF($C190="","",IFERROR(INDEX('Topic Plan'!$D$5:$D$115,MATCH($C190,'Topic Plan'!$B$5:$B$115,0)),""))</f>
        <v/>
      </c>
      <c r="F190" s="28">
        <f>IF($C190="","",IFERROR(INDEX('Topic Plan'!$E$5:$E$115,MATCH($C190,'Topic Plan'!$B$5:$B$115,0)),""))</f>
        <v/>
      </c>
      <c r="G190" s="23" t="n"/>
      <c r="H190" s="27" t="n"/>
      <c r="I190" s="27" t="n"/>
      <c r="J190" s="27" t="n"/>
      <c r="K190" s="27" t="n"/>
      <c r="L190" s="27" t="n"/>
      <c r="M190" s="27" t="n"/>
      <c r="N190" s="23" t="n"/>
      <c r="O190" s="29" t="n"/>
      <c r="P190" s="29" t="n"/>
      <c r="Q190" s="29" t="n"/>
      <c r="R190" s="29" t="n"/>
      <c r="S190" s="29" t="n"/>
      <c r="T190" s="29" t="n"/>
      <c r="U190" s="29" t="n"/>
      <c r="V190" s="30">
        <f>IF(OR($A190="",$U190=""),"",IF($S190&lt;&gt;"",MAX(0,$S190-$U190),MAX(0,TODAY()-$U190)))</f>
        <v/>
      </c>
      <c r="W190" s="30">
        <f>IF($A190="","",IF(OR($N190="Live",$N190="Retired"),"",TODAY()-MAX($O190,$P190,$Q190,$R190)))</f>
        <v/>
      </c>
      <c r="X190" s="23" t="n"/>
      <c r="Y190" s="30">
        <f>IF($A190="","",COUNTIFS('Issues Log'!$C$5:$C$504,$A190,'Issues Log'!$K$5:$K$504,"Open")+COUNTIFS('Issues Log'!$C$5:$C$504,$A190,'Issues Log'!$K$5:$K$504,"In progress"))</f>
        <v/>
      </c>
      <c r="Z190" s="27" t="n"/>
    </row>
    <row r="191">
      <c r="A191" s="27" t="n"/>
      <c r="B191" s="27" t="n"/>
      <c r="C191" s="27" t="n"/>
      <c r="D191" s="28">
        <f>IF($C191="","",IFERROR(INDEX('Topic Plan'!$C$5:$C$115,MATCH($C191,'Topic Plan'!$B$5:$B$115,0)),"UNKNOWN TOPIC ID"))</f>
        <v/>
      </c>
      <c r="E191" s="28">
        <f>IF($C191="","",IFERROR(INDEX('Topic Plan'!$D$5:$D$115,MATCH($C191,'Topic Plan'!$B$5:$B$115,0)),""))</f>
        <v/>
      </c>
      <c r="F191" s="28">
        <f>IF($C191="","",IFERROR(INDEX('Topic Plan'!$E$5:$E$115,MATCH($C191,'Topic Plan'!$B$5:$B$115,0)),""))</f>
        <v/>
      </c>
      <c r="G191" s="23" t="n"/>
      <c r="H191" s="27" t="n"/>
      <c r="I191" s="27" t="n"/>
      <c r="J191" s="27" t="n"/>
      <c r="K191" s="27" t="n"/>
      <c r="L191" s="27" t="n"/>
      <c r="M191" s="27" t="n"/>
      <c r="N191" s="23" t="n"/>
      <c r="O191" s="29" t="n"/>
      <c r="P191" s="29" t="n"/>
      <c r="Q191" s="29" t="n"/>
      <c r="R191" s="29" t="n"/>
      <c r="S191" s="29" t="n"/>
      <c r="T191" s="29" t="n"/>
      <c r="U191" s="29" t="n"/>
      <c r="V191" s="30">
        <f>IF(OR($A191="",$U191=""),"",IF($S191&lt;&gt;"",MAX(0,$S191-$U191),MAX(0,TODAY()-$U191)))</f>
        <v/>
      </c>
      <c r="W191" s="30">
        <f>IF($A191="","",IF(OR($N191="Live",$N191="Retired"),"",TODAY()-MAX($O191,$P191,$Q191,$R191)))</f>
        <v/>
      </c>
      <c r="X191" s="23" t="n"/>
      <c r="Y191" s="30">
        <f>IF($A191="","",COUNTIFS('Issues Log'!$C$5:$C$504,$A191,'Issues Log'!$K$5:$K$504,"Open")+COUNTIFS('Issues Log'!$C$5:$C$504,$A191,'Issues Log'!$K$5:$K$504,"In progress"))</f>
        <v/>
      </c>
      <c r="Z191" s="27" t="n"/>
    </row>
    <row r="192">
      <c r="A192" s="27" t="n"/>
      <c r="B192" s="27" t="n"/>
      <c r="C192" s="27" t="n"/>
      <c r="D192" s="28">
        <f>IF($C192="","",IFERROR(INDEX('Topic Plan'!$C$5:$C$115,MATCH($C192,'Topic Plan'!$B$5:$B$115,0)),"UNKNOWN TOPIC ID"))</f>
        <v/>
      </c>
      <c r="E192" s="28">
        <f>IF($C192="","",IFERROR(INDEX('Topic Plan'!$D$5:$D$115,MATCH($C192,'Topic Plan'!$B$5:$B$115,0)),""))</f>
        <v/>
      </c>
      <c r="F192" s="28">
        <f>IF($C192="","",IFERROR(INDEX('Topic Plan'!$E$5:$E$115,MATCH($C192,'Topic Plan'!$B$5:$B$115,0)),""))</f>
        <v/>
      </c>
      <c r="G192" s="23" t="n"/>
      <c r="H192" s="27" t="n"/>
      <c r="I192" s="27" t="n"/>
      <c r="J192" s="27" t="n"/>
      <c r="K192" s="27" t="n"/>
      <c r="L192" s="27" t="n"/>
      <c r="M192" s="27" t="n"/>
      <c r="N192" s="23" t="n"/>
      <c r="O192" s="29" t="n"/>
      <c r="P192" s="29" t="n"/>
      <c r="Q192" s="29" t="n"/>
      <c r="R192" s="29" t="n"/>
      <c r="S192" s="29" t="n"/>
      <c r="T192" s="29" t="n"/>
      <c r="U192" s="29" t="n"/>
      <c r="V192" s="30">
        <f>IF(OR($A192="",$U192=""),"",IF($S192&lt;&gt;"",MAX(0,$S192-$U192),MAX(0,TODAY()-$U192)))</f>
        <v/>
      </c>
      <c r="W192" s="30">
        <f>IF($A192="","",IF(OR($N192="Live",$N192="Retired"),"",TODAY()-MAX($O192,$P192,$Q192,$R192)))</f>
        <v/>
      </c>
      <c r="X192" s="23" t="n"/>
      <c r="Y192" s="30">
        <f>IF($A192="","",COUNTIFS('Issues Log'!$C$5:$C$504,$A192,'Issues Log'!$K$5:$K$504,"Open")+COUNTIFS('Issues Log'!$C$5:$C$504,$A192,'Issues Log'!$K$5:$K$504,"In progress"))</f>
        <v/>
      </c>
      <c r="Z192" s="27" t="n"/>
    </row>
    <row r="193">
      <c r="A193" s="27" t="n"/>
      <c r="B193" s="27" t="n"/>
      <c r="C193" s="27" t="n"/>
      <c r="D193" s="28">
        <f>IF($C193="","",IFERROR(INDEX('Topic Plan'!$C$5:$C$115,MATCH($C193,'Topic Plan'!$B$5:$B$115,0)),"UNKNOWN TOPIC ID"))</f>
        <v/>
      </c>
      <c r="E193" s="28">
        <f>IF($C193="","",IFERROR(INDEX('Topic Plan'!$D$5:$D$115,MATCH($C193,'Topic Plan'!$B$5:$B$115,0)),""))</f>
        <v/>
      </c>
      <c r="F193" s="28">
        <f>IF($C193="","",IFERROR(INDEX('Topic Plan'!$E$5:$E$115,MATCH($C193,'Topic Plan'!$B$5:$B$115,0)),""))</f>
        <v/>
      </c>
      <c r="G193" s="23" t="n"/>
      <c r="H193" s="27" t="n"/>
      <c r="I193" s="27" t="n"/>
      <c r="J193" s="27" t="n"/>
      <c r="K193" s="27" t="n"/>
      <c r="L193" s="27" t="n"/>
      <c r="M193" s="27" t="n"/>
      <c r="N193" s="23" t="n"/>
      <c r="O193" s="29" t="n"/>
      <c r="P193" s="29" t="n"/>
      <c r="Q193" s="29" t="n"/>
      <c r="R193" s="29" t="n"/>
      <c r="S193" s="29" t="n"/>
      <c r="T193" s="29" t="n"/>
      <c r="U193" s="29" t="n"/>
      <c r="V193" s="30">
        <f>IF(OR($A193="",$U193=""),"",IF($S193&lt;&gt;"",MAX(0,$S193-$U193),MAX(0,TODAY()-$U193)))</f>
        <v/>
      </c>
      <c r="W193" s="30">
        <f>IF($A193="","",IF(OR($N193="Live",$N193="Retired"),"",TODAY()-MAX($O193,$P193,$Q193,$R193)))</f>
        <v/>
      </c>
      <c r="X193" s="23" t="n"/>
      <c r="Y193" s="30">
        <f>IF($A193="","",COUNTIFS('Issues Log'!$C$5:$C$504,$A193,'Issues Log'!$K$5:$K$504,"Open")+COUNTIFS('Issues Log'!$C$5:$C$504,$A193,'Issues Log'!$K$5:$K$504,"In progress"))</f>
        <v/>
      </c>
      <c r="Z193" s="27" t="n"/>
    </row>
    <row r="194">
      <c r="A194" s="27" t="n"/>
      <c r="B194" s="27" t="n"/>
      <c r="C194" s="27" t="n"/>
      <c r="D194" s="28">
        <f>IF($C194="","",IFERROR(INDEX('Topic Plan'!$C$5:$C$115,MATCH($C194,'Topic Plan'!$B$5:$B$115,0)),"UNKNOWN TOPIC ID"))</f>
        <v/>
      </c>
      <c r="E194" s="28">
        <f>IF($C194="","",IFERROR(INDEX('Topic Plan'!$D$5:$D$115,MATCH($C194,'Topic Plan'!$B$5:$B$115,0)),""))</f>
        <v/>
      </c>
      <c r="F194" s="28">
        <f>IF($C194="","",IFERROR(INDEX('Topic Plan'!$E$5:$E$115,MATCH($C194,'Topic Plan'!$B$5:$B$115,0)),""))</f>
        <v/>
      </c>
      <c r="G194" s="23" t="n"/>
      <c r="H194" s="27" t="n"/>
      <c r="I194" s="27" t="n"/>
      <c r="J194" s="27" t="n"/>
      <c r="K194" s="27" t="n"/>
      <c r="L194" s="27" t="n"/>
      <c r="M194" s="27" t="n"/>
      <c r="N194" s="23" t="n"/>
      <c r="O194" s="29" t="n"/>
      <c r="P194" s="29" t="n"/>
      <c r="Q194" s="29" t="n"/>
      <c r="R194" s="29" t="n"/>
      <c r="S194" s="29" t="n"/>
      <c r="T194" s="29" t="n"/>
      <c r="U194" s="29" t="n"/>
      <c r="V194" s="30">
        <f>IF(OR($A194="",$U194=""),"",IF($S194&lt;&gt;"",MAX(0,$S194-$U194),MAX(0,TODAY()-$U194)))</f>
        <v/>
      </c>
      <c r="W194" s="30">
        <f>IF($A194="","",IF(OR($N194="Live",$N194="Retired"),"",TODAY()-MAX($O194,$P194,$Q194,$R194)))</f>
        <v/>
      </c>
      <c r="X194" s="23" t="n"/>
      <c r="Y194" s="30">
        <f>IF($A194="","",COUNTIFS('Issues Log'!$C$5:$C$504,$A194,'Issues Log'!$K$5:$K$504,"Open")+COUNTIFS('Issues Log'!$C$5:$C$504,$A194,'Issues Log'!$K$5:$K$504,"In progress"))</f>
        <v/>
      </c>
      <c r="Z194" s="27" t="n"/>
    </row>
    <row r="195">
      <c r="A195" s="27" t="n"/>
      <c r="B195" s="27" t="n"/>
      <c r="C195" s="27" t="n"/>
      <c r="D195" s="28">
        <f>IF($C195="","",IFERROR(INDEX('Topic Plan'!$C$5:$C$115,MATCH($C195,'Topic Plan'!$B$5:$B$115,0)),"UNKNOWN TOPIC ID"))</f>
        <v/>
      </c>
      <c r="E195" s="28">
        <f>IF($C195="","",IFERROR(INDEX('Topic Plan'!$D$5:$D$115,MATCH($C195,'Topic Plan'!$B$5:$B$115,0)),""))</f>
        <v/>
      </c>
      <c r="F195" s="28">
        <f>IF($C195="","",IFERROR(INDEX('Topic Plan'!$E$5:$E$115,MATCH($C195,'Topic Plan'!$B$5:$B$115,0)),""))</f>
        <v/>
      </c>
      <c r="G195" s="23" t="n"/>
      <c r="H195" s="27" t="n"/>
      <c r="I195" s="27" t="n"/>
      <c r="J195" s="27" t="n"/>
      <c r="K195" s="27" t="n"/>
      <c r="L195" s="27" t="n"/>
      <c r="M195" s="27" t="n"/>
      <c r="N195" s="23" t="n"/>
      <c r="O195" s="29" t="n"/>
      <c r="P195" s="29" t="n"/>
      <c r="Q195" s="29" t="n"/>
      <c r="R195" s="29" t="n"/>
      <c r="S195" s="29" t="n"/>
      <c r="T195" s="29" t="n"/>
      <c r="U195" s="29" t="n"/>
      <c r="V195" s="30">
        <f>IF(OR($A195="",$U195=""),"",IF($S195&lt;&gt;"",MAX(0,$S195-$U195),MAX(0,TODAY()-$U195)))</f>
        <v/>
      </c>
      <c r="W195" s="30">
        <f>IF($A195="","",IF(OR($N195="Live",$N195="Retired"),"",TODAY()-MAX($O195,$P195,$Q195,$R195)))</f>
        <v/>
      </c>
      <c r="X195" s="23" t="n"/>
      <c r="Y195" s="30">
        <f>IF($A195="","",COUNTIFS('Issues Log'!$C$5:$C$504,$A195,'Issues Log'!$K$5:$K$504,"Open")+COUNTIFS('Issues Log'!$C$5:$C$504,$A195,'Issues Log'!$K$5:$K$504,"In progress"))</f>
        <v/>
      </c>
      <c r="Z195" s="27" t="n"/>
    </row>
    <row r="196">
      <c r="A196" s="27" t="n"/>
      <c r="B196" s="27" t="n"/>
      <c r="C196" s="27" t="n"/>
      <c r="D196" s="28">
        <f>IF($C196="","",IFERROR(INDEX('Topic Plan'!$C$5:$C$115,MATCH($C196,'Topic Plan'!$B$5:$B$115,0)),"UNKNOWN TOPIC ID"))</f>
        <v/>
      </c>
      <c r="E196" s="28">
        <f>IF($C196="","",IFERROR(INDEX('Topic Plan'!$D$5:$D$115,MATCH($C196,'Topic Plan'!$B$5:$B$115,0)),""))</f>
        <v/>
      </c>
      <c r="F196" s="28">
        <f>IF($C196="","",IFERROR(INDEX('Topic Plan'!$E$5:$E$115,MATCH($C196,'Topic Plan'!$B$5:$B$115,0)),""))</f>
        <v/>
      </c>
      <c r="G196" s="23" t="n"/>
      <c r="H196" s="27" t="n"/>
      <c r="I196" s="27" t="n"/>
      <c r="J196" s="27" t="n"/>
      <c r="K196" s="27" t="n"/>
      <c r="L196" s="27" t="n"/>
      <c r="M196" s="27" t="n"/>
      <c r="N196" s="23" t="n"/>
      <c r="O196" s="29" t="n"/>
      <c r="P196" s="29" t="n"/>
      <c r="Q196" s="29" t="n"/>
      <c r="R196" s="29" t="n"/>
      <c r="S196" s="29" t="n"/>
      <c r="T196" s="29" t="n"/>
      <c r="U196" s="29" t="n"/>
      <c r="V196" s="30">
        <f>IF(OR($A196="",$U196=""),"",IF($S196&lt;&gt;"",MAX(0,$S196-$U196),MAX(0,TODAY()-$U196)))</f>
        <v/>
      </c>
      <c r="W196" s="30">
        <f>IF($A196="","",IF(OR($N196="Live",$N196="Retired"),"",TODAY()-MAX($O196,$P196,$Q196,$R196)))</f>
        <v/>
      </c>
      <c r="X196" s="23" t="n"/>
      <c r="Y196" s="30">
        <f>IF($A196="","",COUNTIFS('Issues Log'!$C$5:$C$504,$A196,'Issues Log'!$K$5:$K$504,"Open")+COUNTIFS('Issues Log'!$C$5:$C$504,$A196,'Issues Log'!$K$5:$K$504,"In progress"))</f>
        <v/>
      </c>
      <c r="Z196" s="27" t="n"/>
    </row>
    <row r="197">
      <c r="A197" s="27" t="n"/>
      <c r="B197" s="27" t="n"/>
      <c r="C197" s="27" t="n"/>
      <c r="D197" s="28">
        <f>IF($C197="","",IFERROR(INDEX('Topic Plan'!$C$5:$C$115,MATCH($C197,'Topic Plan'!$B$5:$B$115,0)),"UNKNOWN TOPIC ID"))</f>
        <v/>
      </c>
      <c r="E197" s="28">
        <f>IF($C197="","",IFERROR(INDEX('Topic Plan'!$D$5:$D$115,MATCH($C197,'Topic Plan'!$B$5:$B$115,0)),""))</f>
        <v/>
      </c>
      <c r="F197" s="28">
        <f>IF($C197="","",IFERROR(INDEX('Topic Plan'!$E$5:$E$115,MATCH($C197,'Topic Plan'!$B$5:$B$115,0)),""))</f>
        <v/>
      </c>
      <c r="G197" s="23" t="n"/>
      <c r="H197" s="27" t="n"/>
      <c r="I197" s="27" t="n"/>
      <c r="J197" s="27" t="n"/>
      <c r="K197" s="27" t="n"/>
      <c r="L197" s="27" t="n"/>
      <c r="M197" s="27" t="n"/>
      <c r="N197" s="23" t="n"/>
      <c r="O197" s="29" t="n"/>
      <c r="P197" s="29" t="n"/>
      <c r="Q197" s="29" t="n"/>
      <c r="R197" s="29" t="n"/>
      <c r="S197" s="29" t="n"/>
      <c r="T197" s="29" t="n"/>
      <c r="U197" s="29" t="n"/>
      <c r="V197" s="30">
        <f>IF(OR($A197="",$U197=""),"",IF($S197&lt;&gt;"",MAX(0,$S197-$U197),MAX(0,TODAY()-$U197)))</f>
        <v/>
      </c>
      <c r="W197" s="30">
        <f>IF($A197="","",IF(OR($N197="Live",$N197="Retired"),"",TODAY()-MAX($O197,$P197,$Q197,$R197)))</f>
        <v/>
      </c>
      <c r="X197" s="23" t="n"/>
      <c r="Y197" s="30">
        <f>IF($A197="","",COUNTIFS('Issues Log'!$C$5:$C$504,$A197,'Issues Log'!$K$5:$K$504,"Open")+COUNTIFS('Issues Log'!$C$5:$C$504,$A197,'Issues Log'!$K$5:$K$504,"In progress"))</f>
        <v/>
      </c>
      <c r="Z197" s="27" t="n"/>
    </row>
    <row r="198">
      <c r="A198" s="27" t="n"/>
      <c r="B198" s="27" t="n"/>
      <c r="C198" s="27" t="n"/>
      <c r="D198" s="28">
        <f>IF($C198="","",IFERROR(INDEX('Topic Plan'!$C$5:$C$115,MATCH($C198,'Topic Plan'!$B$5:$B$115,0)),"UNKNOWN TOPIC ID"))</f>
        <v/>
      </c>
      <c r="E198" s="28">
        <f>IF($C198="","",IFERROR(INDEX('Topic Plan'!$D$5:$D$115,MATCH($C198,'Topic Plan'!$B$5:$B$115,0)),""))</f>
        <v/>
      </c>
      <c r="F198" s="28">
        <f>IF($C198="","",IFERROR(INDEX('Topic Plan'!$E$5:$E$115,MATCH($C198,'Topic Plan'!$B$5:$B$115,0)),""))</f>
        <v/>
      </c>
      <c r="G198" s="23" t="n"/>
      <c r="H198" s="27" t="n"/>
      <c r="I198" s="27" t="n"/>
      <c r="J198" s="27" t="n"/>
      <c r="K198" s="27" t="n"/>
      <c r="L198" s="27" t="n"/>
      <c r="M198" s="27" t="n"/>
      <c r="N198" s="23" t="n"/>
      <c r="O198" s="29" t="n"/>
      <c r="P198" s="29" t="n"/>
      <c r="Q198" s="29" t="n"/>
      <c r="R198" s="29" t="n"/>
      <c r="S198" s="29" t="n"/>
      <c r="T198" s="29" t="n"/>
      <c r="U198" s="29" t="n"/>
      <c r="V198" s="30">
        <f>IF(OR($A198="",$U198=""),"",IF($S198&lt;&gt;"",MAX(0,$S198-$U198),MAX(0,TODAY()-$U198)))</f>
        <v/>
      </c>
      <c r="W198" s="30">
        <f>IF($A198="","",IF(OR($N198="Live",$N198="Retired"),"",TODAY()-MAX($O198,$P198,$Q198,$R198)))</f>
        <v/>
      </c>
      <c r="X198" s="23" t="n"/>
      <c r="Y198" s="30">
        <f>IF($A198="","",COUNTIFS('Issues Log'!$C$5:$C$504,$A198,'Issues Log'!$K$5:$K$504,"Open")+COUNTIFS('Issues Log'!$C$5:$C$504,$A198,'Issues Log'!$K$5:$K$504,"In progress"))</f>
        <v/>
      </c>
      <c r="Z198" s="27" t="n"/>
    </row>
    <row r="199">
      <c r="A199" s="27" t="n"/>
      <c r="B199" s="27" t="n"/>
      <c r="C199" s="27" t="n"/>
      <c r="D199" s="28">
        <f>IF($C199="","",IFERROR(INDEX('Topic Plan'!$C$5:$C$115,MATCH($C199,'Topic Plan'!$B$5:$B$115,0)),"UNKNOWN TOPIC ID"))</f>
        <v/>
      </c>
      <c r="E199" s="28">
        <f>IF($C199="","",IFERROR(INDEX('Topic Plan'!$D$5:$D$115,MATCH($C199,'Topic Plan'!$B$5:$B$115,0)),""))</f>
        <v/>
      </c>
      <c r="F199" s="28">
        <f>IF($C199="","",IFERROR(INDEX('Topic Plan'!$E$5:$E$115,MATCH($C199,'Topic Plan'!$B$5:$B$115,0)),""))</f>
        <v/>
      </c>
      <c r="G199" s="23" t="n"/>
      <c r="H199" s="27" t="n"/>
      <c r="I199" s="27" t="n"/>
      <c r="J199" s="27" t="n"/>
      <c r="K199" s="27" t="n"/>
      <c r="L199" s="27" t="n"/>
      <c r="M199" s="27" t="n"/>
      <c r="N199" s="23" t="n"/>
      <c r="O199" s="29" t="n"/>
      <c r="P199" s="29" t="n"/>
      <c r="Q199" s="29" t="n"/>
      <c r="R199" s="29" t="n"/>
      <c r="S199" s="29" t="n"/>
      <c r="T199" s="29" t="n"/>
      <c r="U199" s="29" t="n"/>
      <c r="V199" s="30">
        <f>IF(OR($A199="",$U199=""),"",IF($S199&lt;&gt;"",MAX(0,$S199-$U199),MAX(0,TODAY()-$U199)))</f>
        <v/>
      </c>
      <c r="W199" s="30">
        <f>IF($A199="","",IF(OR($N199="Live",$N199="Retired"),"",TODAY()-MAX($O199,$P199,$Q199,$R199)))</f>
        <v/>
      </c>
      <c r="X199" s="23" t="n"/>
      <c r="Y199" s="30">
        <f>IF($A199="","",COUNTIFS('Issues Log'!$C$5:$C$504,$A199,'Issues Log'!$K$5:$K$504,"Open")+COUNTIFS('Issues Log'!$C$5:$C$504,$A199,'Issues Log'!$K$5:$K$504,"In progress"))</f>
        <v/>
      </c>
      <c r="Z199" s="27" t="n"/>
    </row>
    <row r="200">
      <c r="A200" s="27" t="n"/>
      <c r="B200" s="27" t="n"/>
      <c r="C200" s="27" t="n"/>
      <c r="D200" s="28">
        <f>IF($C200="","",IFERROR(INDEX('Topic Plan'!$C$5:$C$115,MATCH($C200,'Topic Plan'!$B$5:$B$115,0)),"UNKNOWN TOPIC ID"))</f>
        <v/>
      </c>
      <c r="E200" s="28">
        <f>IF($C200="","",IFERROR(INDEX('Topic Plan'!$D$5:$D$115,MATCH($C200,'Topic Plan'!$B$5:$B$115,0)),""))</f>
        <v/>
      </c>
      <c r="F200" s="28">
        <f>IF($C200="","",IFERROR(INDEX('Topic Plan'!$E$5:$E$115,MATCH($C200,'Topic Plan'!$B$5:$B$115,0)),""))</f>
        <v/>
      </c>
      <c r="G200" s="23" t="n"/>
      <c r="H200" s="27" t="n"/>
      <c r="I200" s="27" t="n"/>
      <c r="J200" s="27" t="n"/>
      <c r="K200" s="27" t="n"/>
      <c r="L200" s="27" t="n"/>
      <c r="M200" s="27" t="n"/>
      <c r="N200" s="23" t="n"/>
      <c r="O200" s="29" t="n"/>
      <c r="P200" s="29" t="n"/>
      <c r="Q200" s="29" t="n"/>
      <c r="R200" s="29" t="n"/>
      <c r="S200" s="29" t="n"/>
      <c r="T200" s="29" t="n"/>
      <c r="U200" s="29" t="n"/>
      <c r="V200" s="30">
        <f>IF(OR($A200="",$U200=""),"",IF($S200&lt;&gt;"",MAX(0,$S200-$U200),MAX(0,TODAY()-$U200)))</f>
        <v/>
      </c>
      <c r="W200" s="30">
        <f>IF($A200="","",IF(OR($N200="Live",$N200="Retired"),"",TODAY()-MAX($O200,$P200,$Q200,$R200)))</f>
        <v/>
      </c>
      <c r="X200" s="23" t="n"/>
      <c r="Y200" s="30">
        <f>IF($A200="","",COUNTIFS('Issues Log'!$C$5:$C$504,$A200,'Issues Log'!$K$5:$K$504,"Open")+COUNTIFS('Issues Log'!$C$5:$C$504,$A200,'Issues Log'!$K$5:$K$504,"In progress"))</f>
        <v/>
      </c>
      <c r="Z200" s="27" t="n"/>
    </row>
    <row r="201">
      <c r="A201" s="27" t="n"/>
      <c r="B201" s="27" t="n"/>
      <c r="C201" s="27" t="n"/>
      <c r="D201" s="28">
        <f>IF($C201="","",IFERROR(INDEX('Topic Plan'!$C$5:$C$115,MATCH($C201,'Topic Plan'!$B$5:$B$115,0)),"UNKNOWN TOPIC ID"))</f>
        <v/>
      </c>
      <c r="E201" s="28">
        <f>IF($C201="","",IFERROR(INDEX('Topic Plan'!$D$5:$D$115,MATCH($C201,'Topic Plan'!$B$5:$B$115,0)),""))</f>
        <v/>
      </c>
      <c r="F201" s="28">
        <f>IF($C201="","",IFERROR(INDEX('Topic Plan'!$E$5:$E$115,MATCH($C201,'Topic Plan'!$B$5:$B$115,0)),""))</f>
        <v/>
      </c>
      <c r="G201" s="23" t="n"/>
      <c r="H201" s="27" t="n"/>
      <c r="I201" s="27" t="n"/>
      <c r="J201" s="27" t="n"/>
      <c r="K201" s="27" t="n"/>
      <c r="L201" s="27" t="n"/>
      <c r="M201" s="27" t="n"/>
      <c r="N201" s="23" t="n"/>
      <c r="O201" s="29" t="n"/>
      <c r="P201" s="29" t="n"/>
      <c r="Q201" s="29" t="n"/>
      <c r="R201" s="29" t="n"/>
      <c r="S201" s="29" t="n"/>
      <c r="T201" s="29" t="n"/>
      <c r="U201" s="29" t="n"/>
      <c r="V201" s="30">
        <f>IF(OR($A201="",$U201=""),"",IF($S201&lt;&gt;"",MAX(0,$S201-$U201),MAX(0,TODAY()-$U201)))</f>
        <v/>
      </c>
      <c r="W201" s="30">
        <f>IF($A201="","",IF(OR($N201="Live",$N201="Retired"),"",TODAY()-MAX($O201,$P201,$Q201,$R201)))</f>
        <v/>
      </c>
      <c r="X201" s="23" t="n"/>
      <c r="Y201" s="30">
        <f>IF($A201="","",COUNTIFS('Issues Log'!$C$5:$C$504,$A201,'Issues Log'!$K$5:$K$504,"Open")+COUNTIFS('Issues Log'!$C$5:$C$504,$A201,'Issues Log'!$K$5:$K$504,"In progress"))</f>
        <v/>
      </c>
      <c r="Z201" s="27" t="n"/>
    </row>
    <row r="202">
      <c r="A202" s="27" t="n"/>
      <c r="B202" s="27" t="n"/>
      <c r="C202" s="27" t="n"/>
      <c r="D202" s="28">
        <f>IF($C202="","",IFERROR(INDEX('Topic Plan'!$C$5:$C$115,MATCH($C202,'Topic Plan'!$B$5:$B$115,0)),"UNKNOWN TOPIC ID"))</f>
        <v/>
      </c>
      <c r="E202" s="28">
        <f>IF($C202="","",IFERROR(INDEX('Topic Plan'!$D$5:$D$115,MATCH($C202,'Topic Plan'!$B$5:$B$115,0)),""))</f>
        <v/>
      </c>
      <c r="F202" s="28">
        <f>IF($C202="","",IFERROR(INDEX('Topic Plan'!$E$5:$E$115,MATCH($C202,'Topic Plan'!$B$5:$B$115,0)),""))</f>
        <v/>
      </c>
      <c r="G202" s="23" t="n"/>
      <c r="H202" s="27" t="n"/>
      <c r="I202" s="27" t="n"/>
      <c r="J202" s="27" t="n"/>
      <c r="K202" s="27" t="n"/>
      <c r="L202" s="27" t="n"/>
      <c r="M202" s="27" t="n"/>
      <c r="N202" s="23" t="n"/>
      <c r="O202" s="29" t="n"/>
      <c r="P202" s="29" t="n"/>
      <c r="Q202" s="29" t="n"/>
      <c r="R202" s="29" t="n"/>
      <c r="S202" s="29" t="n"/>
      <c r="T202" s="29" t="n"/>
      <c r="U202" s="29" t="n"/>
      <c r="V202" s="30">
        <f>IF(OR($A202="",$U202=""),"",IF($S202&lt;&gt;"",MAX(0,$S202-$U202),MAX(0,TODAY()-$U202)))</f>
        <v/>
      </c>
      <c r="W202" s="30">
        <f>IF($A202="","",IF(OR($N202="Live",$N202="Retired"),"",TODAY()-MAX($O202,$P202,$Q202,$R202)))</f>
        <v/>
      </c>
      <c r="X202" s="23" t="n"/>
      <c r="Y202" s="30">
        <f>IF($A202="","",COUNTIFS('Issues Log'!$C$5:$C$504,$A202,'Issues Log'!$K$5:$K$504,"Open")+COUNTIFS('Issues Log'!$C$5:$C$504,$A202,'Issues Log'!$K$5:$K$504,"In progress"))</f>
        <v/>
      </c>
      <c r="Z202" s="27" t="n"/>
    </row>
    <row r="203">
      <c r="A203" s="27" t="n"/>
      <c r="B203" s="27" t="n"/>
      <c r="C203" s="27" t="n"/>
      <c r="D203" s="28">
        <f>IF($C203="","",IFERROR(INDEX('Topic Plan'!$C$5:$C$115,MATCH($C203,'Topic Plan'!$B$5:$B$115,0)),"UNKNOWN TOPIC ID"))</f>
        <v/>
      </c>
      <c r="E203" s="28">
        <f>IF($C203="","",IFERROR(INDEX('Topic Plan'!$D$5:$D$115,MATCH($C203,'Topic Plan'!$B$5:$B$115,0)),""))</f>
        <v/>
      </c>
      <c r="F203" s="28">
        <f>IF($C203="","",IFERROR(INDEX('Topic Plan'!$E$5:$E$115,MATCH($C203,'Topic Plan'!$B$5:$B$115,0)),""))</f>
        <v/>
      </c>
      <c r="G203" s="23" t="n"/>
      <c r="H203" s="27" t="n"/>
      <c r="I203" s="27" t="n"/>
      <c r="J203" s="27" t="n"/>
      <c r="K203" s="27" t="n"/>
      <c r="L203" s="27" t="n"/>
      <c r="M203" s="27" t="n"/>
      <c r="N203" s="23" t="n"/>
      <c r="O203" s="29" t="n"/>
      <c r="P203" s="29" t="n"/>
      <c r="Q203" s="29" t="n"/>
      <c r="R203" s="29" t="n"/>
      <c r="S203" s="29" t="n"/>
      <c r="T203" s="29" t="n"/>
      <c r="U203" s="29" t="n"/>
      <c r="V203" s="30">
        <f>IF(OR($A203="",$U203=""),"",IF($S203&lt;&gt;"",MAX(0,$S203-$U203),MAX(0,TODAY()-$U203)))</f>
        <v/>
      </c>
      <c r="W203" s="30">
        <f>IF($A203="","",IF(OR($N203="Live",$N203="Retired"),"",TODAY()-MAX($O203,$P203,$Q203,$R203)))</f>
        <v/>
      </c>
      <c r="X203" s="23" t="n"/>
      <c r="Y203" s="30">
        <f>IF($A203="","",COUNTIFS('Issues Log'!$C$5:$C$504,$A203,'Issues Log'!$K$5:$K$504,"Open")+COUNTIFS('Issues Log'!$C$5:$C$504,$A203,'Issues Log'!$K$5:$K$504,"In progress"))</f>
        <v/>
      </c>
      <c r="Z203" s="27" t="n"/>
    </row>
    <row r="204">
      <c r="A204" s="27" t="n"/>
      <c r="B204" s="27" t="n"/>
      <c r="C204" s="27" t="n"/>
      <c r="D204" s="28">
        <f>IF($C204="","",IFERROR(INDEX('Topic Plan'!$C$5:$C$115,MATCH($C204,'Topic Plan'!$B$5:$B$115,0)),"UNKNOWN TOPIC ID"))</f>
        <v/>
      </c>
      <c r="E204" s="28">
        <f>IF($C204="","",IFERROR(INDEX('Topic Plan'!$D$5:$D$115,MATCH($C204,'Topic Plan'!$B$5:$B$115,0)),""))</f>
        <v/>
      </c>
      <c r="F204" s="28">
        <f>IF($C204="","",IFERROR(INDEX('Topic Plan'!$E$5:$E$115,MATCH($C204,'Topic Plan'!$B$5:$B$115,0)),""))</f>
        <v/>
      </c>
      <c r="G204" s="23" t="n"/>
      <c r="H204" s="27" t="n"/>
      <c r="I204" s="27" t="n"/>
      <c r="J204" s="27" t="n"/>
      <c r="K204" s="27" t="n"/>
      <c r="L204" s="27" t="n"/>
      <c r="M204" s="27" t="n"/>
      <c r="N204" s="23" t="n"/>
      <c r="O204" s="29" t="n"/>
      <c r="P204" s="29" t="n"/>
      <c r="Q204" s="29" t="n"/>
      <c r="R204" s="29" t="n"/>
      <c r="S204" s="29" t="n"/>
      <c r="T204" s="29" t="n"/>
      <c r="U204" s="29" t="n"/>
      <c r="V204" s="30">
        <f>IF(OR($A204="",$U204=""),"",IF($S204&lt;&gt;"",MAX(0,$S204-$U204),MAX(0,TODAY()-$U204)))</f>
        <v/>
      </c>
      <c r="W204" s="30">
        <f>IF($A204="","",IF(OR($N204="Live",$N204="Retired"),"",TODAY()-MAX($O204,$P204,$Q204,$R204)))</f>
        <v/>
      </c>
      <c r="X204" s="23" t="n"/>
      <c r="Y204" s="30">
        <f>IF($A204="","",COUNTIFS('Issues Log'!$C$5:$C$504,$A204,'Issues Log'!$K$5:$K$504,"Open")+COUNTIFS('Issues Log'!$C$5:$C$504,$A204,'Issues Log'!$K$5:$K$504,"In progress"))</f>
        <v/>
      </c>
      <c r="Z204" s="27" t="n"/>
    </row>
    <row r="205">
      <c r="A205" s="27" t="n"/>
      <c r="B205" s="27" t="n"/>
      <c r="C205" s="27" t="n"/>
      <c r="D205" s="28">
        <f>IF($C205="","",IFERROR(INDEX('Topic Plan'!$C$5:$C$115,MATCH($C205,'Topic Plan'!$B$5:$B$115,0)),"UNKNOWN TOPIC ID"))</f>
        <v/>
      </c>
      <c r="E205" s="28">
        <f>IF($C205="","",IFERROR(INDEX('Topic Plan'!$D$5:$D$115,MATCH($C205,'Topic Plan'!$B$5:$B$115,0)),""))</f>
        <v/>
      </c>
      <c r="F205" s="28">
        <f>IF($C205="","",IFERROR(INDEX('Topic Plan'!$E$5:$E$115,MATCH($C205,'Topic Plan'!$B$5:$B$115,0)),""))</f>
        <v/>
      </c>
      <c r="G205" s="23" t="n"/>
      <c r="H205" s="27" t="n"/>
      <c r="I205" s="27" t="n"/>
      <c r="J205" s="27" t="n"/>
      <c r="K205" s="27" t="n"/>
      <c r="L205" s="27" t="n"/>
      <c r="M205" s="27" t="n"/>
      <c r="N205" s="23" t="n"/>
      <c r="O205" s="29" t="n"/>
      <c r="P205" s="29" t="n"/>
      <c r="Q205" s="29" t="n"/>
      <c r="R205" s="29" t="n"/>
      <c r="S205" s="29" t="n"/>
      <c r="T205" s="29" t="n"/>
      <c r="U205" s="29" t="n"/>
      <c r="V205" s="30">
        <f>IF(OR($A205="",$U205=""),"",IF($S205&lt;&gt;"",MAX(0,$S205-$U205),MAX(0,TODAY()-$U205)))</f>
        <v/>
      </c>
      <c r="W205" s="30">
        <f>IF($A205="","",IF(OR($N205="Live",$N205="Retired"),"",TODAY()-MAX($O205,$P205,$Q205,$R205)))</f>
        <v/>
      </c>
      <c r="X205" s="23" t="n"/>
      <c r="Y205" s="30">
        <f>IF($A205="","",COUNTIFS('Issues Log'!$C$5:$C$504,$A205,'Issues Log'!$K$5:$K$504,"Open")+COUNTIFS('Issues Log'!$C$5:$C$504,$A205,'Issues Log'!$K$5:$K$504,"In progress"))</f>
        <v/>
      </c>
      <c r="Z205" s="27" t="n"/>
    </row>
    <row r="206">
      <c r="A206" s="27" t="n"/>
      <c r="B206" s="27" t="n"/>
      <c r="C206" s="27" t="n"/>
      <c r="D206" s="28">
        <f>IF($C206="","",IFERROR(INDEX('Topic Plan'!$C$5:$C$115,MATCH($C206,'Topic Plan'!$B$5:$B$115,0)),"UNKNOWN TOPIC ID"))</f>
        <v/>
      </c>
      <c r="E206" s="28">
        <f>IF($C206="","",IFERROR(INDEX('Topic Plan'!$D$5:$D$115,MATCH($C206,'Topic Plan'!$B$5:$B$115,0)),""))</f>
        <v/>
      </c>
      <c r="F206" s="28">
        <f>IF($C206="","",IFERROR(INDEX('Topic Plan'!$E$5:$E$115,MATCH($C206,'Topic Plan'!$B$5:$B$115,0)),""))</f>
        <v/>
      </c>
      <c r="G206" s="23" t="n"/>
      <c r="H206" s="27" t="n"/>
      <c r="I206" s="27" t="n"/>
      <c r="J206" s="27" t="n"/>
      <c r="K206" s="27" t="n"/>
      <c r="L206" s="27" t="n"/>
      <c r="M206" s="27" t="n"/>
      <c r="N206" s="23" t="n"/>
      <c r="O206" s="29" t="n"/>
      <c r="P206" s="29" t="n"/>
      <c r="Q206" s="29" t="n"/>
      <c r="R206" s="29" t="n"/>
      <c r="S206" s="29" t="n"/>
      <c r="T206" s="29" t="n"/>
      <c r="U206" s="29" t="n"/>
      <c r="V206" s="30">
        <f>IF(OR($A206="",$U206=""),"",IF($S206&lt;&gt;"",MAX(0,$S206-$U206),MAX(0,TODAY()-$U206)))</f>
        <v/>
      </c>
      <c r="W206" s="30">
        <f>IF($A206="","",IF(OR($N206="Live",$N206="Retired"),"",TODAY()-MAX($O206,$P206,$Q206,$R206)))</f>
        <v/>
      </c>
      <c r="X206" s="23" t="n"/>
      <c r="Y206" s="30">
        <f>IF($A206="","",COUNTIFS('Issues Log'!$C$5:$C$504,$A206,'Issues Log'!$K$5:$K$504,"Open")+COUNTIFS('Issues Log'!$C$5:$C$504,$A206,'Issues Log'!$K$5:$K$504,"In progress"))</f>
        <v/>
      </c>
      <c r="Z206" s="27" t="n"/>
    </row>
    <row r="207">
      <c r="A207" s="27" t="n"/>
      <c r="B207" s="27" t="n"/>
      <c r="C207" s="27" t="n"/>
      <c r="D207" s="28">
        <f>IF($C207="","",IFERROR(INDEX('Topic Plan'!$C$5:$C$115,MATCH($C207,'Topic Plan'!$B$5:$B$115,0)),"UNKNOWN TOPIC ID"))</f>
        <v/>
      </c>
      <c r="E207" s="28">
        <f>IF($C207="","",IFERROR(INDEX('Topic Plan'!$D$5:$D$115,MATCH($C207,'Topic Plan'!$B$5:$B$115,0)),""))</f>
        <v/>
      </c>
      <c r="F207" s="28">
        <f>IF($C207="","",IFERROR(INDEX('Topic Plan'!$E$5:$E$115,MATCH($C207,'Topic Plan'!$B$5:$B$115,0)),""))</f>
        <v/>
      </c>
      <c r="G207" s="23" t="n"/>
      <c r="H207" s="27" t="n"/>
      <c r="I207" s="27" t="n"/>
      <c r="J207" s="27" t="n"/>
      <c r="K207" s="27" t="n"/>
      <c r="L207" s="27" t="n"/>
      <c r="M207" s="27" t="n"/>
      <c r="N207" s="23" t="n"/>
      <c r="O207" s="29" t="n"/>
      <c r="P207" s="29" t="n"/>
      <c r="Q207" s="29" t="n"/>
      <c r="R207" s="29" t="n"/>
      <c r="S207" s="29" t="n"/>
      <c r="T207" s="29" t="n"/>
      <c r="U207" s="29" t="n"/>
      <c r="V207" s="30">
        <f>IF(OR($A207="",$U207=""),"",IF($S207&lt;&gt;"",MAX(0,$S207-$U207),MAX(0,TODAY()-$U207)))</f>
        <v/>
      </c>
      <c r="W207" s="30">
        <f>IF($A207="","",IF(OR($N207="Live",$N207="Retired"),"",TODAY()-MAX($O207,$P207,$Q207,$R207)))</f>
        <v/>
      </c>
      <c r="X207" s="23" t="n"/>
      <c r="Y207" s="30">
        <f>IF($A207="","",COUNTIFS('Issues Log'!$C$5:$C$504,$A207,'Issues Log'!$K$5:$K$504,"Open")+COUNTIFS('Issues Log'!$C$5:$C$504,$A207,'Issues Log'!$K$5:$K$504,"In progress"))</f>
        <v/>
      </c>
      <c r="Z207" s="27" t="n"/>
    </row>
    <row r="208">
      <c r="A208" s="27" t="n"/>
      <c r="B208" s="27" t="n"/>
      <c r="C208" s="27" t="n"/>
      <c r="D208" s="28">
        <f>IF($C208="","",IFERROR(INDEX('Topic Plan'!$C$5:$C$115,MATCH($C208,'Topic Plan'!$B$5:$B$115,0)),"UNKNOWN TOPIC ID"))</f>
        <v/>
      </c>
      <c r="E208" s="28">
        <f>IF($C208="","",IFERROR(INDEX('Topic Plan'!$D$5:$D$115,MATCH($C208,'Topic Plan'!$B$5:$B$115,0)),""))</f>
        <v/>
      </c>
      <c r="F208" s="28">
        <f>IF($C208="","",IFERROR(INDEX('Topic Plan'!$E$5:$E$115,MATCH($C208,'Topic Plan'!$B$5:$B$115,0)),""))</f>
        <v/>
      </c>
      <c r="G208" s="23" t="n"/>
      <c r="H208" s="27" t="n"/>
      <c r="I208" s="27" t="n"/>
      <c r="J208" s="27" t="n"/>
      <c r="K208" s="27" t="n"/>
      <c r="L208" s="27" t="n"/>
      <c r="M208" s="27" t="n"/>
      <c r="N208" s="23" t="n"/>
      <c r="O208" s="29" t="n"/>
      <c r="P208" s="29" t="n"/>
      <c r="Q208" s="29" t="n"/>
      <c r="R208" s="29" t="n"/>
      <c r="S208" s="29" t="n"/>
      <c r="T208" s="29" t="n"/>
      <c r="U208" s="29" t="n"/>
      <c r="V208" s="30">
        <f>IF(OR($A208="",$U208=""),"",IF($S208&lt;&gt;"",MAX(0,$S208-$U208),MAX(0,TODAY()-$U208)))</f>
        <v/>
      </c>
      <c r="W208" s="30">
        <f>IF($A208="","",IF(OR($N208="Live",$N208="Retired"),"",TODAY()-MAX($O208,$P208,$Q208,$R208)))</f>
        <v/>
      </c>
      <c r="X208" s="23" t="n"/>
      <c r="Y208" s="30">
        <f>IF($A208="","",COUNTIFS('Issues Log'!$C$5:$C$504,$A208,'Issues Log'!$K$5:$K$504,"Open")+COUNTIFS('Issues Log'!$C$5:$C$504,$A208,'Issues Log'!$K$5:$K$504,"In progress"))</f>
        <v/>
      </c>
      <c r="Z208" s="27" t="n"/>
    </row>
    <row r="209">
      <c r="A209" s="27" t="n"/>
      <c r="B209" s="27" t="n"/>
      <c r="C209" s="27" t="n"/>
      <c r="D209" s="28">
        <f>IF($C209="","",IFERROR(INDEX('Topic Plan'!$C$5:$C$115,MATCH($C209,'Topic Plan'!$B$5:$B$115,0)),"UNKNOWN TOPIC ID"))</f>
        <v/>
      </c>
      <c r="E209" s="28">
        <f>IF($C209="","",IFERROR(INDEX('Topic Plan'!$D$5:$D$115,MATCH($C209,'Topic Plan'!$B$5:$B$115,0)),""))</f>
        <v/>
      </c>
      <c r="F209" s="28">
        <f>IF($C209="","",IFERROR(INDEX('Topic Plan'!$E$5:$E$115,MATCH($C209,'Topic Plan'!$B$5:$B$115,0)),""))</f>
        <v/>
      </c>
      <c r="G209" s="23" t="n"/>
      <c r="H209" s="27" t="n"/>
      <c r="I209" s="27" t="n"/>
      <c r="J209" s="27" t="n"/>
      <c r="K209" s="27" t="n"/>
      <c r="L209" s="27" t="n"/>
      <c r="M209" s="27" t="n"/>
      <c r="N209" s="23" t="n"/>
      <c r="O209" s="29" t="n"/>
      <c r="P209" s="29" t="n"/>
      <c r="Q209" s="29" t="n"/>
      <c r="R209" s="29" t="n"/>
      <c r="S209" s="29" t="n"/>
      <c r="T209" s="29" t="n"/>
      <c r="U209" s="29" t="n"/>
      <c r="V209" s="30">
        <f>IF(OR($A209="",$U209=""),"",IF($S209&lt;&gt;"",MAX(0,$S209-$U209),MAX(0,TODAY()-$U209)))</f>
        <v/>
      </c>
      <c r="W209" s="30">
        <f>IF($A209="","",IF(OR($N209="Live",$N209="Retired"),"",TODAY()-MAX($O209,$P209,$Q209,$R209)))</f>
        <v/>
      </c>
      <c r="X209" s="23" t="n"/>
      <c r="Y209" s="30">
        <f>IF($A209="","",COUNTIFS('Issues Log'!$C$5:$C$504,$A209,'Issues Log'!$K$5:$K$504,"Open")+COUNTIFS('Issues Log'!$C$5:$C$504,$A209,'Issues Log'!$K$5:$K$504,"In progress"))</f>
        <v/>
      </c>
      <c r="Z209" s="27" t="n"/>
    </row>
    <row r="210">
      <c r="A210" s="27" t="n"/>
      <c r="B210" s="27" t="n"/>
      <c r="C210" s="27" t="n"/>
      <c r="D210" s="28">
        <f>IF($C210="","",IFERROR(INDEX('Topic Plan'!$C$5:$C$115,MATCH($C210,'Topic Plan'!$B$5:$B$115,0)),"UNKNOWN TOPIC ID"))</f>
        <v/>
      </c>
      <c r="E210" s="28">
        <f>IF($C210="","",IFERROR(INDEX('Topic Plan'!$D$5:$D$115,MATCH($C210,'Topic Plan'!$B$5:$B$115,0)),""))</f>
        <v/>
      </c>
      <c r="F210" s="28">
        <f>IF($C210="","",IFERROR(INDEX('Topic Plan'!$E$5:$E$115,MATCH($C210,'Topic Plan'!$B$5:$B$115,0)),""))</f>
        <v/>
      </c>
      <c r="G210" s="23" t="n"/>
      <c r="H210" s="27" t="n"/>
      <c r="I210" s="27" t="n"/>
      <c r="J210" s="27" t="n"/>
      <c r="K210" s="27" t="n"/>
      <c r="L210" s="27" t="n"/>
      <c r="M210" s="27" t="n"/>
      <c r="N210" s="23" t="n"/>
      <c r="O210" s="29" t="n"/>
      <c r="P210" s="29" t="n"/>
      <c r="Q210" s="29" t="n"/>
      <c r="R210" s="29" t="n"/>
      <c r="S210" s="29" t="n"/>
      <c r="T210" s="29" t="n"/>
      <c r="U210" s="29" t="n"/>
      <c r="V210" s="30">
        <f>IF(OR($A210="",$U210=""),"",IF($S210&lt;&gt;"",MAX(0,$S210-$U210),MAX(0,TODAY()-$U210)))</f>
        <v/>
      </c>
      <c r="W210" s="30">
        <f>IF($A210="","",IF(OR($N210="Live",$N210="Retired"),"",TODAY()-MAX($O210,$P210,$Q210,$R210)))</f>
        <v/>
      </c>
      <c r="X210" s="23" t="n"/>
      <c r="Y210" s="30">
        <f>IF($A210="","",COUNTIFS('Issues Log'!$C$5:$C$504,$A210,'Issues Log'!$K$5:$K$504,"Open")+COUNTIFS('Issues Log'!$C$5:$C$504,$A210,'Issues Log'!$K$5:$K$504,"In progress"))</f>
        <v/>
      </c>
      <c r="Z210" s="27" t="n"/>
    </row>
    <row r="211">
      <c r="A211" s="27" t="n"/>
      <c r="B211" s="27" t="n"/>
      <c r="C211" s="27" t="n"/>
      <c r="D211" s="28">
        <f>IF($C211="","",IFERROR(INDEX('Topic Plan'!$C$5:$C$115,MATCH($C211,'Topic Plan'!$B$5:$B$115,0)),"UNKNOWN TOPIC ID"))</f>
        <v/>
      </c>
      <c r="E211" s="28">
        <f>IF($C211="","",IFERROR(INDEX('Topic Plan'!$D$5:$D$115,MATCH($C211,'Topic Plan'!$B$5:$B$115,0)),""))</f>
        <v/>
      </c>
      <c r="F211" s="28">
        <f>IF($C211="","",IFERROR(INDEX('Topic Plan'!$E$5:$E$115,MATCH($C211,'Topic Plan'!$B$5:$B$115,0)),""))</f>
        <v/>
      </c>
      <c r="G211" s="23" t="n"/>
      <c r="H211" s="27" t="n"/>
      <c r="I211" s="27" t="n"/>
      <c r="J211" s="27" t="n"/>
      <c r="K211" s="27" t="n"/>
      <c r="L211" s="27" t="n"/>
      <c r="M211" s="27" t="n"/>
      <c r="N211" s="23" t="n"/>
      <c r="O211" s="29" t="n"/>
      <c r="P211" s="29" t="n"/>
      <c r="Q211" s="29" t="n"/>
      <c r="R211" s="29" t="n"/>
      <c r="S211" s="29" t="n"/>
      <c r="T211" s="29" t="n"/>
      <c r="U211" s="29" t="n"/>
      <c r="V211" s="30">
        <f>IF(OR($A211="",$U211=""),"",IF($S211&lt;&gt;"",MAX(0,$S211-$U211),MAX(0,TODAY()-$U211)))</f>
        <v/>
      </c>
      <c r="W211" s="30">
        <f>IF($A211="","",IF(OR($N211="Live",$N211="Retired"),"",TODAY()-MAX($O211,$P211,$Q211,$R211)))</f>
        <v/>
      </c>
      <c r="X211" s="23" t="n"/>
      <c r="Y211" s="30">
        <f>IF($A211="","",COUNTIFS('Issues Log'!$C$5:$C$504,$A211,'Issues Log'!$K$5:$K$504,"Open")+COUNTIFS('Issues Log'!$C$5:$C$504,$A211,'Issues Log'!$K$5:$K$504,"In progress"))</f>
        <v/>
      </c>
      <c r="Z211" s="27" t="n"/>
    </row>
    <row r="212">
      <c r="A212" s="27" t="n"/>
      <c r="B212" s="27" t="n"/>
      <c r="C212" s="27" t="n"/>
      <c r="D212" s="28">
        <f>IF($C212="","",IFERROR(INDEX('Topic Plan'!$C$5:$C$115,MATCH($C212,'Topic Plan'!$B$5:$B$115,0)),"UNKNOWN TOPIC ID"))</f>
        <v/>
      </c>
      <c r="E212" s="28">
        <f>IF($C212="","",IFERROR(INDEX('Topic Plan'!$D$5:$D$115,MATCH($C212,'Topic Plan'!$B$5:$B$115,0)),""))</f>
        <v/>
      </c>
      <c r="F212" s="28">
        <f>IF($C212="","",IFERROR(INDEX('Topic Plan'!$E$5:$E$115,MATCH($C212,'Topic Plan'!$B$5:$B$115,0)),""))</f>
        <v/>
      </c>
      <c r="G212" s="23" t="n"/>
      <c r="H212" s="27" t="n"/>
      <c r="I212" s="27" t="n"/>
      <c r="J212" s="27" t="n"/>
      <c r="K212" s="27" t="n"/>
      <c r="L212" s="27" t="n"/>
      <c r="M212" s="27" t="n"/>
      <c r="N212" s="23" t="n"/>
      <c r="O212" s="29" t="n"/>
      <c r="P212" s="29" t="n"/>
      <c r="Q212" s="29" t="n"/>
      <c r="R212" s="29" t="n"/>
      <c r="S212" s="29" t="n"/>
      <c r="T212" s="29" t="n"/>
      <c r="U212" s="29" t="n"/>
      <c r="V212" s="30">
        <f>IF(OR($A212="",$U212=""),"",IF($S212&lt;&gt;"",MAX(0,$S212-$U212),MAX(0,TODAY()-$U212)))</f>
        <v/>
      </c>
      <c r="W212" s="30">
        <f>IF($A212="","",IF(OR($N212="Live",$N212="Retired"),"",TODAY()-MAX($O212,$P212,$Q212,$R212)))</f>
        <v/>
      </c>
      <c r="X212" s="23" t="n"/>
      <c r="Y212" s="30">
        <f>IF($A212="","",COUNTIFS('Issues Log'!$C$5:$C$504,$A212,'Issues Log'!$K$5:$K$504,"Open")+COUNTIFS('Issues Log'!$C$5:$C$504,$A212,'Issues Log'!$K$5:$K$504,"In progress"))</f>
        <v/>
      </c>
      <c r="Z212" s="27" t="n"/>
    </row>
    <row r="213">
      <c r="A213" s="27" t="n"/>
      <c r="B213" s="27" t="n"/>
      <c r="C213" s="27" t="n"/>
      <c r="D213" s="28">
        <f>IF($C213="","",IFERROR(INDEX('Topic Plan'!$C$5:$C$115,MATCH($C213,'Topic Plan'!$B$5:$B$115,0)),"UNKNOWN TOPIC ID"))</f>
        <v/>
      </c>
      <c r="E213" s="28">
        <f>IF($C213="","",IFERROR(INDEX('Topic Plan'!$D$5:$D$115,MATCH($C213,'Topic Plan'!$B$5:$B$115,0)),""))</f>
        <v/>
      </c>
      <c r="F213" s="28">
        <f>IF($C213="","",IFERROR(INDEX('Topic Plan'!$E$5:$E$115,MATCH($C213,'Topic Plan'!$B$5:$B$115,0)),""))</f>
        <v/>
      </c>
      <c r="G213" s="23" t="n"/>
      <c r="H213" s="27" t="n"/>
      <c r="I213" s="27" t="n"/>
      <c r="J213" s="27" t="n"/>
      <c r="K213" s="27" t="n"/>
      <c r="L213" s="27" t="n"/>
      <c r="M213" s="27" t="n"/>
      <c r="N213" s="23" t="n"/>
      <c r="O213" s="29" t="n"/>
      <c r="P213" s="29" t="n"/>
      <c r="Q213" s="29" t="n"/>
      <c r="R213" s="29" t="n"/>
      <c r="S213" s="29" t="n"/>
      <c r="T213" s="29" t="n"/>
      <c r="U213" s="29" t="n"/>
      <c r="V213" s="30">
        <f>IF(OR($A213="",$U213=""),"",IF($S213&lt;&gt;"",MAX(0,$S213-$U213),MAX(0,TODAY()-$U213)))</f>
        <v/>
      </c>
      <c r="W213" s="30">
        <f>IF($A213="","",IF(OR($N213="Live",$N213="Retired"),"",TODAY()-MAX($O213,$P213,$Q213,$R213)))</f>
        <v/>
      </c>
      <c r="X213" s="23" t="n"/>
      <c r="Y213" s="30">
        <f>IF($A213="","",COUNTIFS('Issues Log'!$C$5:$C$504,$A213,'Issues Log'!$K$5:$K$504,"Open")+COUNTIFS('Issues Log'!$C$5:$C$504,$A213,'Issues Log'!$K$5:$K$504,"In progress"))</f>
        <v/>
      </c>
      <c r="Z213" s="27" t="n"/>
    </row>
    <row r="214">
      <c r="A214" s="27" t="n"/>
      <c r="B214" s="27" t="n"/>
      <c r="C214" s="27" t="n"/>
      <c r="D214" s="28">
        <f>IF($C214="","",IFERROR(INDEX('Topic Plan'!$C$5:$C$115,MATCH($C214,'Topic Plan'!$B$5:$B$115,0)),"UNKNOWN TOPIC ID"))</f>
        <v/>
      </c>
      <c r="E214" s="28">
        <f>IF($C214="","",IFERROR(INDEX('Topic Plan'!$D$5:$D$115,MATCH($C214,'Topic Plan'!$B$5:$B$115,0)),""))</f>
        <v/>
      </c>
      <c r="F214" s="28">
        <f>IF($C214="","",IFERROR(INDEX('Topic Plan'!$E$5:$E$115,MATCH($C214,'Topic Plan'!$B$5:$B$115,0)),""))</f>
        <v/>
      </c>
      <c r="G214" s="23" t="n"/>
      <c r="H214" s="27" t="n"/>
      <c r="I214" s="27" t="n"/>
      <c r="J214" s="27" t="n"/>
      <c r="K214" s="27" t="n"/>
      <c r="L214" s="27" t="n"/>
      <c r="M214" s="27" t="n"/>
      <c r="N214" s="23" t="n"/>
      <c r="O214" s="29" t="n"/>
      <c r="P214" s="29" t="n"/>
      <c r="Q214" s="29" t="n"/>
      <c r="R214" s="29" t="n"/>
      <c r="S214" s="29" t="n"/>
      <c r="T214" s="29" t="n"/>
      <c r="U214" s="29" t="n"/>
      <c r="V214" s="30">
        <f>IF(OR($A214="",$U214=""),"",IF($S214&lt;&gt;"",MAX(0,$S214-$U214),MAX(0,TODAY()-$U214)))</f>
        <v/>
      </c>
      <c r="W214" s="30">
        <f>IF($A214="","",IF(OR($N214="Live",$N214="Retired"),"",TODAY()-MAX($O214,$P214,$Q214,$R214)))</f>
        <v/>
      </c>
      <c r="X214" s="23" t="n"/>
      <c r="Y214" s="30">
        <f>IF($A214="","",COUNTIFS('Issues Log'!$C$5:$C$504,$A214,'Issues Log'!$K$5:$K$504,"Open")+COUNTIFS('Issues Log'!$C$5:$C$504,$A214,'Issues Log'!$K$5:$K$504,"In progress"))</f>
        <v/>
      </c>
      <c r="Z214" s="27" t="n"/>
    </row>
    <row r="215">
      <c r="A215" s="27" t="n"/>
      <c r="B215" s="27" t="n"/>
      <c r="C215" s="27" t="n"/>
      <c r="D215" s="28">
        <f>IF($C215="","",IFERROR(INDEX('Topic Plan'!$C$5:$C$115,MATCH($C215,'Topic Plan'!$B$5:$B$115,0)),"UNKNOWN TOPIC ID"))</f>
        <v/>
      </c>
      <c r="E215" s="28">
        <f>IF($C215="","",IFERROR(INDEX('Topic Plan'!$D$5:$D$115,MATCH($C215,'Topic Plan'!$B$5:$B$115,0)),""))</f>
        <v/>
      </c>
      <c r="F215" s="28">
        <f>IF($C215="","",IFERROR(INDEX('Topic Plan'!$E$5:$E$115,MATCH($C215,'Topic Plan'!$B$5:$B$115,0)),""))</f>
        <v/>
      </c>
      <c r="G215" s="23" t="n"/>
      <c r="H215" s="27" t="n"/>
      <c r="I215" s="27" t="n"/>
      <c r="J215" s="27" t="n"/>
      <c r="K215" s="27" t="n"/>
      <c r="L215" s="27" t="n"/>
      <c r="M215" s="27" t="n"/>
      <c r="N215" s="23" t="n"/>
      <c r="O215" s="29" t="n"/>
      <c r="P215" s="29" t="n"/>
      <c r="Q215" s="29" t="n"/>
      <c r="R215" s="29" t="n"/>
      <c r="S215" s="29" t="n"/>
      <c r="T215" s="29" t="n"/>
      <c r="U215" s="29" t="n"/>
      <c r="V215" s="30">
        <f>IF(OR($A215="",$U215=""),"",IF($S215&lt;&gt;"",MAX(0,$S215-$U215),MAX(0,TODAY()-$U215)))</f>
        <v/>
      </c>
      <c r="W215" s="30">
        <f>IF($A215="","",IF(OR($N215="Live",$N215="Retired"),"",TODAY()-MAX($O215,$P215,$Q215,$R215)))</f>
        <v/>
      </c>
      <c r="X215" s="23" t="n"/>
      <c r="Y215" s="30">
        <f>IF($A215="","",COUNTIFS('Issues Log'!$C$5:$C$504,$A215,'Issues Log'!$K$5:$K$504,"Open")+COUNTIFS('Issues Log'!$C$5:$C$504,$A215,'Issues Log'!$K$5:$K$504,"In progress"))</f>
        <v/>
      </c>
      <c r="Z215" s="27" t="n"/>
    </row>
    <row r="216">
      <c r="A216" s="27" t="n"/>
      <c r="B216" s="27" t="n"/>
      <c r="C216" s="27" t="n"/>
      <c r="D216" s="28">
        <f>IF($C216="","",IFERROR(INDEX('Topic Plan'!$C$5:$C$115,MATCH($C216,'Topic Plan'!$B$5:$B$115,0)),"UNKNOWN TOPIC ID"))</f>
        <v/>
      </c>
      <c r="E216" s="28">
        <f>IF($C216="","",IFERROR(INDEX('Topic Plan'!$D$5:$D$115,MATCH($C216,'Topic Plan'!$B$5:$B$115,0)),""))</f>
        <v/>
      </c>
      <c r="F216" s="28">
        <f>IF($C216="","",IFERROR(INDEX('Topic Plan'!$E$5:$E$115,MATCH($C216,'Topic Plan'!$B$5:$B$115,0)),""))</f>
        <v/>
      </c>
      <c r="G216" s="23" t="n"/>
      <c r="H216" s="27" t="n"/>
      <c r="I216" s="27" t="n"/>
      <c r="J216" s="27" t="n"/>
      <c r="K216" s="27" t="n"/>
      <c r="L216" s="27" t="n"/>
      <c r="M216" s="27" t="n"/>
      <c r="N216" s="23" t="n"/>
      <c r="O216" s="29" t="n"/>
      <c r="P216" s="29" t="n"/>
      <c r="Q216" s="29" t="n"/>
      <c r="R216" s="29" t="n"/>
      <c r="S216" s="29" t="n"/>
      <c r="T216" s="29" t="n"/>
      <c r="U216" s="29" t="n"/>
      <c r="V216" s="30">
        <f>IF(OR($A216="",$U216=""),"",IF($S216&lt;&gt;"",MAX(0,$S216-$U216),MAX(0,TODAY()-$U216)))</f>
        <v/>
      </c>
      <c r="W216" s="30">
        <f>IF($A216="","",IF(OR($N216="Live",$N216="Retired"),"",TODAY()-MAX($O216,$P216,$Q216,$R216)))</f>
        <v/>
      </c>
      <c r="X216" s="23" t="n"/>
      <c r="Y216" s="30">
        <f>IF($A216="","",COUNTIFS('Issues Log'!$C$5:$C$504,$A216,'Issues Log'!$K$5:$K$504,"Open")+COUNTIFS('Issues Log'!$C$5:$C$504,$A216,'Issues Log'!$K$5:$K$504,"In progress"))</f>
        <v/>
      </c>
      <c r="Z216" s="27" t="n"/>
    </row>
    <row r="217">
      <c r="A217" s="27" t="n"/>
      <c r="B217" s="27" t="n"/>
      <c r="C217" s="27" t="n"/>
      <c r="D217" s="28">
        <f>IF($C217="","",IFERROR(INDEX('Topic Plan'!$C$5:$C$115,MATCH($C217,'Topic Plan'!$B$5:$B$115,0)),"UNKNOWN TOPIC ID"))</f>
        <v/>
      </c>
      <c r="E217" s="28">
        <f>IF($C217="","",IFERROR(INDEX('Topic Plan'!$D$5:$D$115,MATCH($C217,'Topic Plan'!$B$5:$B$115,0)),""))</f>
        <v/>
      </c>
      <c r="F217" s="28">
        <f>IF($C217="","",IFERROR(INDEX('Topic Plan'!$E$5:$E$115,MATCH($C217,'Topic Plan'!$B$5:$B$115,0)),""))</f>
        <v/>
      </c>
      <c r="G217" s="23" t="n"/>
      <c r="H217" s="27" t="n"/>
      <c r="I217" s="27" t="n"/>
      <c r="J217" s="27" t="n"/>
      <c r="K217" s="27" t="n"/>
      <c r="L217" s="27" t="n"/>
      <c r="M217" s="27" t="n"/>
      <c r="N217" s="23" t="n"/>
      <c r="O217" s="29" t="n"/>
      <c r="P217" s="29" t="n"/>
      <c r="Q217" s="29" t="n"/>
      <c r="R217" s="29" t="n"/>
      <c r="S217" s="29" t="n"/>
      <c r="T217" s="29" t="n"/>
      <c r="U217" s="29" t="n"/>
      <c r="V217" s="30">
        <f>IF(OR($A217="",$U217=""),"",IF($S217&lt;&gt;"",MAX(0,$S217-$U217),MAX(0,TODAY()-$U217)))</f>
        <v/>
      </c>
      <c r="W217" s="30">
        <f>IF($A217="","",IF(OR($N217="Live",$N217="Retired"),"",TODAY()-MAX($O217,$P217,$Q217,$R217)))</f>
        <v/>
      </c>
      <c r="X217" s="23" t="n"/>
      <c r="Y217" s="30">
        <f>IF($A217="","",COUNTIFS('Issues Log'!$C$5:$C$504,$A217,'Issues Log'!$K$5:$K$504,"Open")+COUNTIFS('Issues Log'!$C$5:$C$504,$A217,'Issues Log'!$K$5:$K$504,"In progress"))</f>
        <v/>
      </c>
      <c r="Z217" s="27" t="n"/>
    </row>
    <row r="218">
      <c r="A218" s="27" t="n"/>
      <c r="B218" s="27" t="n"/>
      <c r="C218" s="27" t="n"/>
      <c r="D218" s="28">
        <f>IF($C218="","",IFERROR(INDEX('Topic Plan'!$C$5:$C$115,MATCH($C218,'Topic Plan'!$B$5:$B$115,0)),"UNKNOWN TOPIC ID"))</f>
        <v/>
      </c>
      <c r="E218" s="28">
        <f>IF($C218="","",IFERROR(INDEX('Topic Plan'!$D$5:$D$115,MATCH($C218,'Topic Plan'!$B$5:$B$115,0)),""))</f>
        <v/>
      </c>
      <c r="F218" s="28">
        <f>IF($C218="","",IFERROR(INDEX('Topic Plan'!$E$5:$E$115,MATCH($C218,'Topic Plan'!$B$5:$B$115,0)),""))</f>
        <v/>
      </c>
      <c r="G218" s="23" t="n"/>
      <c r="H218" s="27" t="n"/>
      <c r="I218" s="27" t="n"/>
      <c r="J218" s="27" t="n"/>
      <c r="K218" s="27" t="n"/>
      <c r="L218" s="27" t="n"/>
      <c r="M218" s="27" t="n"/>
      <c r="N218" s="23" t="n"/>
      <c r="O218" s="29" t="n"/>
      <c r="P218" s="29" t="n"/>
      <c r="Q218" s="29" t="n"/>
      <c r="R218" s="29" t="n"/>
      <c r="S218" s="29" t="n"/>
      <c r="T218" s="29" t="n"/>
      <c r="U218" s="29" t="n"/>
      <c r="V218" s="30">
        <f>IF(OR($A218="",$U218=""),"",IF($S218&lt;&gt;"",MAX(0,$S218-$U218),MAX(0,TODAY()-$U218)))</f>
        <v/>
      </c>
      <c r="W218" s="30">
        <f>IF($A218="","",IF(OR($N218="Live",$N218="Retired"),"",TODAY()-MAX($O218,$P218,$Q218,$R218)))</f>
        <v/>
      </c>
      <c r="X218" s="23" t="n"/>
      <c r="Y218" s="30">
        <f>IF($A218="","",COUNTIFS('Issues Log'!$C$5:$C$504,$A218,'Issues Log'!$K$5:$K$504,"Open")+COUNTIFS('Issues Log'!$C$5:$C$504,$A218,'Issues Log'!$K$5:$K$504,"In progress"))</f>
        <v/>
      </c>
      <c r="Z218" s="27" t="n"/>
    </row>
    <row r="219">
      <c r="A219" s="27" t="n"/>
      <c r="B219" s="27" t="n"/>
      <c r="C219" s="27" t="n"/>
      <c r="D219" s="28">
        <f>IF($C219="","",IFERROR(INDEX('Topic Plan'!$C$5:$C$115,MATCH($C219,'Topic Plan'!$B$5:$B$115,0)),"UNKNOWN TOPIC ID"))</f>
        <v/>
      </c>
      <c r="E219" s="28">
        <f>IF($C219="","",IFERROR(INDEX('Topic Plan'!$D$5:$D$115,MATCH($C219,'Topic Plan'!$B$5:$B$115,0)),""))</f>
        <v/>
      </c>
      <c r="F219" s="28">
        <f>IF($C219="","",IFERROR(INDEX('Topic Plan'!$E$5:$E$115,MATCH($C219,'Topic Plan'!$B$5:$B$115,0)),""))</f>
        <v/>
      </c>
      <c r="G219" s="23" t="n"/>
      <c r="H219" s="27" t="n"/>
      <c r="I219" s="27" t="n"/>
      <c r="J219" s="27" t="n"/>
      <c r="K219" s="27" t="n"/>
      <c r="L219" s="27" t="n"/>
      <c r="M219" s="27" t="n"/>
      <c r="N219" s="23" t="n"/>
      <c r="O219" s="29" t="n"/>
      <c r="P219" s="29" t="n"/>
      <c r="Q219" s="29" t="n"/>
      <c r="R219" s="29" t="n"/>
      <c r="S219" s="29" t="n"/>
      <c r="T219" s="29" t="n"/>
      <c r="U219" s="29" t="n"/>
      <c r="V219" s="30">
        <f>IF(OR($A219="",$U219=""),"",IF($S219&lt;&gt;"",MAX(0,$S219-$U219),MAX(0,TODAY()-$U219)))</f>
        <v/>
      </c>
      <c r="W219" s="30">
        <f>IF($A219="","",IF(OR($N219="Live",$N219="Retired"),"",TODAY()-MAX($O219,$P219,$Q219,$R219)))</f>
        <v/>
      </c>
      <c r="X219" s="23" t="n"/>
      <c r="Y219" s="30">
        <f>IF($A219="","",COUNTIFS('Issues Log'!$C$5:$C$504,$A219,'Issues Log'!$K$5:$K$504,"Open")+COUNTIFS('Issues Log'!$C$5:$C$504,$A219,'Issues Log'!$K$5:$K$504,"In progress"))</f>
        <v/>
      </c>
      <c r="Z219" s="27" t="n"/>
    </row>
    <row r="220">
      <c r="A220" s="27" t="n"/>
      <c r="B220" s="27" t="n"/>
      <c r="C220" s="27" t="n"/>
      <c r="D220" s="28">
        <f>IF($C220="","",IFERROR(INDEX('Topic Plan'!$C$5:$C$115,MATCH($C220,'Topic Plan'!$B$5:$B$115,0)),"UNKNOWN TOPIC ID"))</f>
        <v/>
      </c>
      <c r="E220" s="28">
        <f>IF($C220="","",IFERROR(INDEX('Topic Plan'!$D$5:$D$115,MATCH($C220,'Topic Plan'!$B$5:$B$115,0)),""))</f>
        <v/>
      </c>
      <c r="F220" s="28">
        <f>IF($C220="","",IFERROR(INDEX('Topic Plan'!$E$5:$E$115,MATCH($C220,'Topic Plan'!$B$5:$B$115,0)),""))</f>
        <v/>
      </c>
      <c r="G220" s="23" t="n"/>
      <c r="H220" s="27" t="n"/>
      <c r="I220" s="27" t="n"/>
      <c r="J220" s="27" t="n"/>
      <c r="K220" s="27" t="n"/>
      <c r="L220" s="27" t="n"/>
      <c r="M220" s="27" t="n"/>
      <c r="N220" s="23" t="n"/>
      <c r="O220" s="29" t="n"/>
      <c r="P220" s="29" t="n"/>
      <c r="Q220" s="29" t="n"/>
      <c r="R220" s="29" t="n"/>
      <c r="S220" s="29" t="n"/>
      <c r="T220" s="29" t="n"/>
      <c r="U220" s="29" t="n"/>
      <c r="V220" s="30">
        <f>IF(OR($A220="",$U220=""),"",IF($S220&lt;&gt;"",MAX(0,$S220-$U220),MAX(0,TODAY()-$U220)))</f>
        <v/>
      </c>
      <c r="W220" s="30">
        <f>IF($A220="","",IF(OR($N220="Live",$N220="Retired"),"",TODAY()-MAX($O220,$P220,$Q220,$R220)))</f>
        <v/>
      </c>
      <c r="X220" s="23" t="n"/>
      <c r="Y220" s="30">
        <f>IF($A220="","",COUNTIFS('Issues Log'!$C$5:$C$504,$A220,'Issues Log'!$K$5:$K$504,"Open")+COUNTIFS('Issues Log'!$C$5:$C$504,$A220,'Issues Log'!$K$5:$K$504,"In progress"))</f>
        <v/>
      </c>
      <c r="Z220" s="27" t="n"/>
    </row>
    <row r="221">
      <c r="A221" s="27" t="n"/>
      <c r="B221" s="27" t="n"/>
      <c r="C221" s="27" t="n"/>
      <c r="D221" s="28">
        <f>IF($C221="","",IFERROR(INDEX('Topic Plan'!$C$5:$C$115,MATCH($C221,'Topic Plan'!$B$5:$B$115,0)),"UNKNOWN TOPIC ID"))</f>
        <v/>
      </c>
      <c r="E221" s="28">
        <f>IF($C221="","",IFERROR(INDEX('Topic Plan'!$D$5:$D$115,MATCH($C221,'Topic Plan'!$B$5:$B$115,0)),""))</f>
        <v/>
      </c>
      <c r="F221" s="28">
        <f>IF($C221="","",IFERROR(INDEX('Topic Plan'!$E$5:$E$115,MATCH($C221,'Topic Plan'!$B$5:$B$115,0)),""))</f>
        <v/>
      </c>
      <c r="G221" s="23" t="n"/>
      <c r="H221" s="27" t="n"/>
      <c r="I221" s="27" t="n"/>
      <c r="J221" s="27" t="n"/>
      <c r="K221" s="27" t="n"/>
      <c r="L221" s="27" t="n"/>
      <c r="M221" s="27" t="n"/>
      <c r="N221" s="23" t="n"/>
      <c r="O221" s="29" t="n"/>
      <c r="P221" s="29" t="n"/>
      <c r="Q221" s="29" t="n"/>
      <c r="R221" s="29" t="n"/>
      <c r="S221" s="29" t="n"/>
      <c r="T221" s="29" t="n"/>
      <c r="U221" s="29" t="n"/>
      <c r="V221" s="30">
        <f>IF(OR($A221="",$U221=""),"",IF($S221&lt;&gt;"",MAX(0,$S221-$U221),MAX(0,TODAY()-$U221)))</f>
        <v/>
      </c>
      <c r="W221" s="30">
        <f>IF($A221="","",IF(OR($N221="Live",$N221="Retired"),"",TODAY()-MAX($O221,$P221,$Q221,$R221)))</f>
        <v/>
      </c>
      <c r="X221" s="23" t="n"/>
      <c r="Y221" s="30">
        <f>IF($A221="","",COUNTIFS('Issues Log'!$C$5:$C$504,$A221,'Issues Log'!$K$5:$K$504,"Open")+COUNTIFS('Issues Log'!$C$5:$C$504,$A221,'Issues Log'!$K$5:$K$504,"In progress"))</f>
        <v/>
      </c>
      <c r="Z221" s="27" t="n"/>
    </row>
    <row r="222">
      <c r="A222" s="27" t="n"/>
      <c r="B222" s="27" t="n"/>
      <c r="C222" s="27" t="n"/>
      <c r="D222" s="28">
        <f>IF($C222="","",IFERROR(INDEX('Topic Plan'!$C$5:$C$115,MATCH($C222,'Topic Plan'!$B$5:$B$115,0)),"UNKNOWN TOPIC ID"))</f>
        <v/>
      </c>
      <c r="E222" s="28">
        <f>IF($C222="","",IFERROR(INDEX('Topic Plan'!$D$5:$D$115,MATCH($C222,'Topic Plan'!$B$5:$B$115,0)),""))</f>
        <v/>
      </c>
      <c r="F222" s="28">
        <f>IF($C222="","",IFERROR(INDEX('Topic Plan'!$E$5:$E$115,MATCH($C222,'Topic Plan'!$B$5:$B$115,0)),""))</f>
        <v/>
      </c>
      <c r="G222" s="23" t="n"/>
      <c r="H222" s="27" t="n"/>
      <c r="I222" s="27" t="n"/>
      <c r="J222" s="27" t="n"/>
      <c r="K222" s="27" t="n"/>
      <c r="L222" s="27" t="n"/>
      <c r="M222" s="27" t="n"/>
      <c r="N222" s="23" t="n"/>
      <c r="O222" s="29" t="n"/>
      <c r="P222" s="29" t="n"/>
      <c r="Q222" s="29" t="n"/>
      <c r="R222" s="29" t="n"/>
      <c r="S222" s="29" t="n"/>
      <c r="T222" s="29" t="n"/>
      <c r="U222" s="29" t="n"/>
      <c r="V222" s="30">
        <f>IF(OR($A222="",$U222=""),"",IF($S222&lt;&gt;"",MAX(0,$S222-$U222),MAX(0,TODAY()-$U222)))</f>
        <v/>
      </c>
      <c r="W222" s="30">
        <f>IF($A222="","",IF(OR($N222="Live",$N222="Retired"),"",TODAY()-MAX($O222,$P222,$Q222,$R222)))</f>
        <v/>
      </c>
      <c r="X222" s="23" t="n"/>
      <c r="Y222" s="30">
        <f>IF($A222="","",COUNTIFS('Issues Log'!$C$5:$C$504,$A222,'Issues Log'!$K$5:$K$504,"Open")+COUNTIFS('Issues Log'!$C$5:$C$504,$A222,'Issues Log'!$K$5:$K$504,"In progress"))</f>
        <v/>
      </c>
      <c r="Z222" s="27" t="n"/>
    </row>
    <row r="223">
      <c r="A223" s="27" t="n"/>
      <c r="B223" s="27" t="n"/>
      <c r="C223" s="27" t="n"/>
      <c r="D223" s="28">
        <f>IF($C223="","",IFERROR(INDEX('Topic Plan'!$C$5:$C$115,MATCH($C223,'Topic Plan'!$B$5:$B$115,0)),"UNKNOWN TOPIC ID"))</f>
        <v/>
      </c>
      <c r="E223" s="28">
        <f>IF($C223="","",IFERROR(INDEX('Topic Plan'!$D$5:$D$115,MATCH($C223,'Topic Plan'!$B$5:$B$115,0)),""))</f>
        <v/>
      </c>
      <c r="F223" s="28">
        <f>IF($C223="","",IFERROR(INDEX('Topic Plan'!$E$5:$E$115,MATCH($C223,'Topic Plan'!$B$5:$B$115,0)),""))</f>
        <v/>
      </c>
      <c r="G223" s="23" t="n"/>
      <c r="H223" s="27" t="n"/>
      <c r="I223" s="27" t="n"/>
      <c r="J223" s="27" t="n"/>
      <c r="K223" s="27" t="n"/>
      <c r="L223" s="27" t="n"/>
      <c r="M223" s="27" t="n"/>
      <c r="N223" s="23" t="n"/>
      <c r="O223" s="29" t="n"/>
      <c r="P223" s="29" t="n"/>
      <c r="Q223" s="29" t="n"/>
      <c r="R223" s="29" t="n"/>
      <c r="S223" s="29" t="n"/>
      <c r="T223" s="29" t="n"/>
      <c r="U223" s="29" t="n"/>
      <c r="V223" s="30">
        <f>IF(OR($A223="",$U223=""),"",IF($S223&lt;&gt;"",MAX(0,$S223-$U223),MAX(0,TODAY()-$U223)))</f>
        <v/>
      </c>
      <c r="W223" s="30">
        <f>IF($A223="","",IF(OR($N223="Live",$N223="Retired"),"",TODAY()-MAX($O223,$P223,$Q223,$R223)))</f>
        <v/>
      </c>
      <c r="X223" s="23" t="n"/>
      <c r="Y223" s="30">
        <f>IF($A223="","",COUNTIFS('Issues Log'!$C$5:$C$504,$A223,'Issues Log'!$K$5:$K$504,"Open")+COUNTIFS('Issues Log'!$C$5:$C$504,$A223,'Issues Log'!$K$5:$K$504,"In progress"))</f>
        <v/>
      </c>
      <c r="Z223" s="27" t="n"/>
    </row>
    <row r="224">
      <c r="A224" s="27" t="n"/>
      <c r="B224" s="27" t="n"/>
      <c r="C224" s="27" t="n"/>
      <c r="D224" s="28">
        <f>IF($C224="","",IFERROR(INDEX('Topic Plan'!$C$5:$C$115,MATCH($C224,'Topic Plan'!$B$5:$B$115,0)),"UNKNOWN TOPIC ID"))</f>
        <v/>
      </c>
      <c r="E224" s="28">
        <f>IF($C224="","",IFERROR(INDEX('Topic Plan'!$D$5:$D$115,MATCH($C224,'Topic Plan'!$B$5:$B$115,0)),""))</f>
        <v/>
      </c>
      <c r="F224" s="28">
        <f>IF($C224="","",IFERROR(INDEX('Topic Plan'!$E$5:$E$115,MATCH($C224,'Topic Plan'!$B$5:$B$115,0)),""))</f>
        <v/>
      </c>
      <c r="G224" s="23" t="n"/>
      <c r="H224" s="27" t="n"/>
      <c r="I224" s="27" t="n"/>
      <c r="J224" s="27" t="n"/>
      <c r="K224" s="27" t="n"/>
      <c r="L224" s="27" t="n"/>
      <c r="M224" s="27" t="n"/>
      <c r="N224" s="23" t="n"/>
      <c r="O224" s="29" t="n"/>
      <c r="P224" s="29" t="n"/>
      <c r="Q224" s="29" t="n"/>
      <c r="R224" s="29" t="n"/>
      <c r="S224" s="29" t="n"/>
      <c r="T224" s="29" t="n"/>
      <c r="U224" s="29" t="n"/>
      <c r="V224" s="30">
        <f>IF(OR($A224="",$U224=""),"",IF($S224&lt;&gt;"",MAX(0,$S224-$U224),MAX(0,TODAY()-$U224)))</f>
        <v/>
      </c>
      <c r="W224" s="30">
        <f>IF($A224="","",IF(OR($N224="Live",$N224="Retired"),"",TODAY()-MAX($O224,$P224,$Q224,$R224)))</f>
        <v/>
      </c>
      <c r="X224" s="23" t="n"/>
      <c r="Y224" s="30">
        <f>IF($A224="","",COUNTIFS('Issues Log'!$C$5:$C$504,$A224,'Issues Log'!$K$5:$K$504,"Open")+COUNTIFS('Issues Log'!$C$5:$C$504,$A224,'Issues Log'!$K$5:$K$504,"In progress"))</f>
        <v/>
      </c>
      <c r="Z224" s="27" t="n"/>
    </row>
    <row r="225">
      <c r="A225" s="27" t="n"/>
      <c r="B225" s="27" t="n"/>
      <c r="C225" s="27" t="n"/>
      <c r="D225" s="28">
        <f>IF($C225="","",IFERROR(INDEX('Topic Plan'!$C$5:$C$115,MATCH($C225,'Topic Plan'!$B$5:$B$115,0)),"UNKNOWN TOPIC ID"))</f>
        <v/>
      </c>
      <c r="E225" s="28">
        <f>IF($C225="","",IFERROR(INDEX('Topic Plan'!$D$5:$D$115,MATCH($C225,'Topic Plan'!$B$5:$B$115,0)),""))</f>
        <v/>
      </c>
      <c r="F225" s="28">
        <f>IF($C225="","",IFERROR(INDEX('Topic Plan'!$E$5:$E$115,MATCH($C225,'Topic Plan'!$B$5:$B$115,0)),""))</f>
        <v/>
      </c>
      <c r="G225" s="23" t="n"/>
      <c r="H225" s="27" t="n"/>
      <c r="I225" s="27" t="n"/>
      <c r="J225" s="27" t="n"/>
      <c r="K225" s="27" t="n"/>
      <c r="L225" s="27" t="n"/>
      <c r="M225" s="27" t="n"/>
      <c r="N225" s="23" t="n"/>
      <c r="O225" s="29" t="n"/>
      <c r="P225" s="29" t="n"/>
      <c r="Q225" s="29" t="n"/>
      <c r="R225" s="29" t="n"/>
      <c r="S225" s="29" t="n"/>
      <c r="T225" s="29" t="n"/>
      <c r="U225" s="29" t="n"/>
      <c r="V225" s="30">
        <f>IF(OR($A225="",$U225=""),"",IF($S225&lt;&gt;"",MAX(0,$S225-$U225),MAX(0,TODAY()-$U225)))</f>
        <v/>
      </c>
      <c r="W225" s="30">
        <f>IF($A225="","",IF(OR($N225="Live",$N225="Retired"),"",TODAY()-MAX($O225,$P225,$Q225,$R225)))</f>
        <v/>
      </c>
      <c r="X225" s="23" t="n"/>
      <c r="Y225" s="30">
        <f>IF($A225="","",COUNTIFS('Issues Log'!$C$5:$C$504,$A225,'Issues Log'!$K$5:$K$504,"Open")+COUNTIFS('Issues Log'!$C$5:$C$504,$A225,'Issues Log'!$K$5:$K$504,"In progress"))</f>
        <v/>
      </c>
      <c r="Z225" s="27" t="n"/>
    </row>
    <row r="226">
      <c r="A226" s="27" t="n"/>
      <c r="B226" s="27" t="n"/>
      <c r="C226" s="27" t="n"/>
      <c r="D226" s="28">
        <f>IF($C226="","",IFERROR(INDEX('Topic Plan'!$C$5:$C$115,MATCH($C226,'Topic Plan'!$B$5:$B$115,0)),"UNKNOWN TOPIC ID"))</f>
        <v/>
      </c>
      <c r="E226" s="28">
        <f>IF($C226="","",IFERROR(INDEX('Topic Plan'!$D$5:$D$115,MATCH($C226,'Topic Plan'!$B$5:$B$115,0)),""))</f>
        <v/>
      </c>
      <c r="F226" s="28">
        <f>IF($C226="","",IFERROR(INDEX('Topic Plan'!$E$5:$E$115,MATCH($C226,'Topic Plan'!$B$5:$B$115,0)),""))</f>
        <v/>
      </c>
      <c r="G226" s="23" t="n"/>
      <c r="H226" s="27" t="n"/>
      <c r="I226" s="27" t="n"/>
      <c r="J226" s="27" t="n"/>
      <c r="K226" s="27" t="n"/>
      <c r="L226" s="27" t="n"/>
      <c r="M226" s="27" t="n"/>
      <c r="N226" s="23" t="n"/>
      <c r="O226" s="29" t="n"/>
      <c r="P226" s="29" t="n"/>
      <c r="Q226" s="29" t="n"/>
      <c r="R226" s="29" t="n"/>
      <c r="S226" s="29" t="n"/>
      <c r="T226" s="29" t="n"/>
      <c r="U226" s="29" t="n"/>
      <c r="V226" s="30">
        <f>IF(OR($A226="",$U226=""),"",IF($S226&lt;&gt;"",MAX(0,$S226-$U226),MAX(0,TODAY()-$U226)))</f>
        <v/>
      </c>
      <c r="W226" s="30">
        <f>IF($A226="","",IF(OR($N226="Live",$N226="Retired"),"",TODAY()-MAX($O226,$P226,$Q226,$R226)))</f>
        <v/>
      </c>
      <c r="X226" s="23" t="n"/>
      <c r="Y226" s="30">
        <f>IF($A226="","",COUNTIFS('Issues Log'!$C$5:$C$504,$A226,'Issues Log'!$K$5:$K$504,"Open")+COUNTIFS('Issues Log'!$C$5:$C$504,$A226,'Issues Log'!$K$5:$K$504,"In progress"))</f>
        <v/>
      </c>
      <c r="Z226" s="27" t="n"/>
    </row>
    <row r="227">
      <c r="A227" s="27" t="n"/>
      <c r="B227" s="27" t="n"/>
      <c r="C227" s="27" t="n"/>
      <c r="D227" s="28">
        <f>IF($C227="","",IFERROR(INDEX('Topic Plan'!$C$5:$C$115,MATCH($C227,'Topic Plan'!$B$5:$B$115,0)),"UNKNOWN TOPIC ID"))</f>
        <v/>
      </c>
      <c r="E227" s="28">
        <f>IF($C227="","",IFERROR(INDEX('Topic Plan'!$D$5:$D$115,MATCH($C227,'Topic Plan'!$B$5:$B$115,0)),""))</f>
        <v/>
      </c>
      <c r="F227" s="28">
        <f>IF($C227="","",IFERROR(INDEX('Topic Plan'!$E$5:$E$115,MATCH($C227,'Topic Plan'!$B$5:$B$115,0)),""))</f>
        <v/>
      </c>
      <c r="G227" s="23" t="n"/>
      <c r="H227" s="27" t="n"/>
      <c r="I227" s="27" t="n"/>
      <c r="J227" s="27" t="n"/>
      <c r="K227" s="27" t="n"/>
      <c r="L227" s="27" t="n"/>
      <c r="M227" s="27" t="n"/>
      <c r="N227" s="23" t="n"/>
      <c r="O227" s="29" t="n"/>
      <c r="P227" s="29" t="n"/>
      <c r="Q227" s="29" t="n"/>
      <c r="R227" s="29" t="n"/>
      <c r="S227" s="29" t="n"/>
      <c r="T227" s="29" t="n"/>
      <c r="U227" s="29" t="n"/>
      <c r="V227" s="30">
        <f>IF(OR($A227="",$U227=""),"",IF($S227&lt;&gt;"",MAX(0,$S227-$U227),MAX(0,TODAY()-$U227)))</f>
        <v/>
      </c>
      <c r="W227" s="30">
        <f>IF($A227="","",IF(OR($N227="Live",$N227="Retired"),"",TODAY()-MAX($O227,$P227,$Q227,$R227)))</f>
        <v/>
      </c>
      <c r="X227" s="23" t="n"/>
      <c r="Y227" s="30">
        <f>IF($A227="","",COUNTIFS('Issues Log'!$C$5:$C$504,$A227,'Issues Log'!$K$5:$K$504,"Open")+COUNTIFS('Issues Log'!$C$5:$C$504,$A227,'Issues Log'!$K$5:$K$504,"In progress"))</f>
        <v/>
      </c>
      <c r="Z227" s="27" t="n"/>
    </row>
    <row r="228">
      <c r="A228" s="27" t="n"/>
      <c r="B228" s="27" t="n"/>
      <c r="C228" s="27" t="n"/>
      <c r="D228" s="28">
        <f>IF($C228="","",IFERROR(INDEX('Topic Plan'!$C$5:$C$115,MATCH($C228,'Topic Plan'!$B$5:$B$115,0)),"UNKNOWN TOPIC ID"))</f>
        <v/>
      </c>
      <c r="E228" s="28">
        <f>IF($C228="","",IFERROR(INDEX('Topic Plan'!$D$5:$D$115,MATCH($C228,'Topic Plan'!$B$5:$B$115,0)),""))</f>
        <v/>
      </c>
      <c r="F228" s="28">
        <f>IF($C228="","",IFERROR(INDEX('Topic Plan'!$E$5:$E$115,MATCH($C228,'Topic Plan'!$B$5:$B$115,0)),""))</f>
        <v/>
      </c>
      <c r="G228" s="23" t="n"/>
      <c r="H228" s="27" t="n"/>
      <c r="I228" s="27" t="n"/>
      <c r="J228" s="27" t="n"/>
      <c r="K228" s="27" t="n"/>
      <c r="L228" s="27" t="n"/>
      <c r="M228" s="27" t="n"/>
      <c r="N228" s="23" t="n"/>
      <c r="O228" s="29" t="n"/>
      <c r="P228" s="29" t="n"/>
      <c r="Q228" s="29" t="n"/>
      <c r="R228" s="29" t="n"/>
      <c r="S228" s="29" t="n"/>
      <c r="T228" s="29" t="n"/>
      <c r="U228" s="29" t="n"/>
      <c r="V228" s="30">
        <f>IF(OR($A228="",$U228=""),"",IF($S228&lt;&gt;"",MAX(0,$S228-$U228),MAX(0,TODAY()-$U228)))</f>
        <v/>
      </c>
      <c r="W228" s="30">
        <f>IF($A228="","",IF(OR($N228="Live",$N228="Retired"),"",TODAY()-MAX($O228,$P228,$Q228,$R228)))</f>
        <v/>
      </c>
      <c r="X228" s="23" t="n"/>
      <c r="Y228" s="30">
        <f>IF($A228="","",COUNTIFS('Issues Log'!$C$5:$C$504,$A228,'Issues Log'!$K$5:$K$504,"Open")+COUNTIFS('Issues Log'!$C$5:$C$504,$A228,'Issues Log'!$K$5:$K$504,"In progress"))</f>
        <v/>
      </c>
      <c r="Z228" s="27" t="n"/>
    </row>
    <row r="229">
      <c r="A229" s="27" t="n"/>
      <c r="B229" s="27" t="n"/>
      <c r="C229" s="27" t="n"/>
      <c r="D229" s="28">
        <f>IF($C229="","",IFERROR(INDEX('Topic Plan'!$C$5:$C$115,MATCH($C229,'Topic Plan'!$B$5:$B$115,0)),"UNKNOWN TOPIC ID"))</f>
        <v/>
      </c>
      <c r="E229" s="28">
        <f>IF($C229="","",IFERROR(INDEX('Topic Plan'!$D$5:$D$115,MATCH($C229,'Topic Plan'!$B$5:$B$115,0)),""))</f>
        <v/>
      </c>
      <c r="F229" s="28">
        <f>IF($C229="","",IFERROR(INDEX('Topic Plan'!$E$5:$E$115,MATCH($C229,'Topic Plan'!$B$5:$B$115,0)),""))</f>
        <v/>
      </c>
      <c r="G229" s="23" t="n"/>
      <c r="H229" s="27" t="n"/>
      <c r="I229" s="27" t="n"/>
      <c r="J229" s="27" t="n"/>
      <c r="K229" s="27" t="n"/>
      <c r="L229" s="27" t="n"/>
      <c r="M229" s="27" t="n"/>
      <c r="N229" s="23" t="n"/>
      <c r="O229" s="29" t="n"/>
      <c r="P229" s="29" t="n"/>
      <c r="Q229" s="29" t="n"/>
      <c r="R229" s="29" t="n"/>
      <c r="S229" s="29" t="n"/>
      <c r="T229" s="29" t="n"/>
      <c r="U229" s="29" t="n"/>
      <c r="V229" s="30">
        <f>IF(OR($A229="",$U229=""),"",IF($S229&lt;&gt;"",MAX(0,$S229-$U229),MAX(0,TODAY()-$U229)))</f>
        <v/>
      </c>
      <c r="W229" s="30">
        <f>IF($A229="","",IF(OR($N229="Live",$N229="Retired"),"",TODAY()-MAX($O229,$P229,$Q229,$R229)))</f>
        <v/>
      </c>
      <c r="X229" s="23" t="n"/>
      <c r="Y229" s="30">
        <f>IF($A229="","",COUNTIFS('Issues Log'!$C$5:$C$504,$A229,'Issues Log'!$K$5:$K$504,"Open")+COUNTIFS('Issues Log'!$C$5:$C$504,$A229,'Issues Log'!$K$5:$K$504,"In progress"))</f>
        <v/>
      </c>
      <c r="Z229" s="27" t="n"/>
    </row>
    <row r="230">
      <c r="A230" s="27" t="n"/>
      <c r="B230" s="27" t="n"/>
      <c r="C230" s="27" t="n"/>
      <c r="D230" s="28">
        <f>IF($C230="","",IFERROR(INDEX('Topic Plan'!$C$5:$C$115,MATCH($C230,'Topic Plan'!$B$5:$B$115,0)),"UNKNOWN TOPIC ID"))</f>
        <v/>
      </c>
      <c r="E230" s="28">
        <f>IF($C230="","",IFERROR(INDEX('Topic Plan'!$D$5:$D$115,MATCH($C230,'Topic Plan'!$B$5:$B$115,0)),""))</f>
        <v/>
      </c>
      <c r="F230" s="28">
        <f>IF($C230="","",IFERROR(INDEX('Topic Plan'!$E$5:$E$115,MATCH($C230,'Topic Plan'!$B$5:$B$115,0)),""))</f>
        <v/>
      </c>
      <c r="G230" s="23" t="n"/>
      <c r="H230" s="27" t="n"/>
      <c r="I230" s="27" t="n"/>
      <c r="J230" s="27" t="n"/>
      <c r="K230" s="27" t="n"/>
      <c r="L230" s="27" t="n"/>
      <c r="M230" s="27" t="n"/>
      <c r="N230" s="23" t="n"/>
      <c r="O230" s="29" t="n"/>
      <c r="P230" s="29" t="n"/>
      <c r="Q230" s="29" t="n"/>
      <c r="R230" s="29" t="n"/>
      <c r="S230" s="29" t="n"/>
      <c r="T230" s="29" t="n"/>
      <c r="U230" s="29" t="n"/>
      <c r="V230" s="30">
        <f>IF(OR($A230="",$U230=""),"",IF($S230&lt;&gt;"",MAX(0,$S230-$U230),MAX(0,TODAY()-$U230)))</f>
        <v/>
      </c>
      <c r="W230" s="30">
        <f>IF($A230="","",IF(OR($N230="Live",$N230="Retired"),"",TODAY()-MAX($O230,$P230,$Q230,$R230)))</f>
        <v/>
      </c>
      <c r="X230" s="23" t="n"/>
      <c r="Y230" s="30">
        <f>IF($A230="","",COUNTIFS('Issues Log'!$C$5:$C$504,$A230,'Issues Log'!$K$5:$K$504,"Open")+COUNTIFS('Issues Log'!$C$5:$C$504,$A230,'Issues Log'!$K$5:$K$504,"In progress"))</f>
        <v/>
      </c>
      <c r="Z230" s="27" t="n"/>
    </row>
    <row r="231">
      <c r="A231" s="27" t="n"/>
      <c r="B231" s="27" t="n"/>
      <c r="C231" s="27" t="n"/>
      <c r="D231" s="28">
        <f>IF($C231="","",IFERROR(INDEX('Topic Plan'!$C$5:$C$115,MATCH($C231,'Topic Plan'!$B$5:$B$115,0)),"UNKNOWN TOPIC ID"))</f>
        <v/>
      </c>
      <c r="E231" s="28">
        <f>IF($C231="","",IFERROR(INDEX('Topic Plan'!$D$5:$D$115,MATCH($C231,'Topic Plan'!$B$5:$B$115,0)),""))</f>
        <v/>
      </c>
      <c r="F231" s="28">
        <f>IF($C231="","",IFERROR(INDEX('Topic Plan'!$E$5:$E$115,MATCH($C231,'Topic Plan'!$B$5:$B$115,0)),""))</f>
        <v/>
      </c>
      <c r="G231" s="23" t="n"/>
      <c r="H231" s="27" t="n"/>
      <c r="I231" s="27" t="n"/>
      <c r="J231" s="27" t="n"/>
      <c r="K231" s="27" t="n"/>
      <c r="L231" s="27" t="n"/>
      <c r="M231" s="27" t="n"/>
      <c r="N231" s="23" t="n"/>
      <c r="O231" s="29" t="n"/>
      <c r="P231" s="29" t="n"/>
      <c r="Q231" s="29" t="n"/>
      <c r="R231" s="29" t="n"/>
      <c r="S231" s="29" t="n"/>
      <c r="T231" s="29" t="n"/>
      <c r="U231" s="29" t="n"/>
      <c r="V231" s="30">
        <f>IF(OR($A231="",$U231=""),"",IF($S231&lt;&gt;"",MAX(0,$S231-$U231),MAX(0,TODAY()-$U231)))</f>
        <v/>
      </c>
      <c r="W231" s="30">
        <f>IF($A231="","",IF(OR($N231="Live",$N231="Retired"),"",TODAY()-MAX($O231,$P231,$Q231,$R231)))</f>
        <v/>
      </c>
      <c r="X231" s="23" t="n"/>
      <c r="Y231" s="30">
        <f>IF($A231="","",COUNTIFS('Issues Log'!$C$5:$C$504,$A231,'Issues Log'!$K$5:$K$504,"Open")+COUNTIFS('Issues Log'!$C$5:$C$504,$A231,'Issues Log'!$K$5:$K$504,"In progress"))</f>
        <v/>
      </c>
      <c r="Z231" s="27" t="n"/>
    </row>
    <row r="232">
      <c r="A232" s="27" t="n"/>
      <c r="B232" s="27" t="n"/>
      <c r="C232" s="27" t="n"/>
      <c r="D232" s="28">
        <f>IF($C232="","",IFERROR(INDEX('Topic Plan'!$C$5:$C$115,MATCH($C232,'Topic Plan'!$B$5:$B$115,0)),"UNKNOWN TOPIC ID"))</f>
        <v/>
      </c>
      <c r="E232" s="28">
        <f>IF($C232="","",IFERROR(INDEX('Topic Plan'!$D$5:$D$115,MATCH($C232,'Topic Plan'!$B$5:$B$115,0)),""))</f>
        <v/>
      </c>
      <c r="F232" s="28">
        <f>IF($C232="","",IFERROR(INDEX('Topic Plan'!$E$5:$E$115,MATCH($C232,'Topic Plan'!$B$5:$B$115,0)),""))</f>
        <v/>
      </c>
      <c r="G232" s="23" t="n"/>
      <c r="H232" s="27" t="n"/>
      <c r="I232" s="27" t="n"/>
      <c r="J232" s="27" t="n"/>
      <c r="K232" s="27" t="n"/>
      <c r="L232" s="27" t="n"/>
      <c r="M232" s="27" t="n"/>
      <c r="N232" s="23" t="n"/>
      <c r="O232" s="29" t="n"/>
      <c r="P232" s="29" t="n"/>
      <c r="Q232" s="29" t="n"/>
      <c r="R232" s="29" t="n"/>
      <c r="S232" s="29" t="n"/>
      <c r="T232" s="29" t="n"/>
      <c r="U232" s="29" t="n"/>
      <c r="V232" s="30">
        <f>IF(OR($A232="",$U232=""),"",IF($S232&lt;&gt;"",MAX(0,$S232-$U232),MAX(0,TODAY()-$U232)))</f>
        <v/>
      </c>
      <c r="W232" s="30">
        <f>IF($A232="","",IF(OR($N232="Live",$N232="Retired"),"",TODAY()-MAX($O232,$P232,$Q232,$R232)))</f>
        <v/>
      </c>
      <c r="X232" s="23" t="n"/>
      <c r="Y232" s="30">
        <f>IF($A232="","",COUNTIFS('Issues Log'!$C$5:$C$504,$A232,'Issues Log'!$K$5:$K$504,"Open")+COUNTIFS('Issues Log'!$C$5:$C$504,$A232,'Issues Log'!$K$5:$K$504,"In progress"))</f>
        <v/>
      </c>
      <c r="Z232" s="27" t="n"/>
    </row>
    <row r="233">
      <c r="A233" s="27" t="n"/>
      <c r="B233" s="27" t="n"/>
      <c r="C233" s="27" t="n"/>
      <c r="D233" s="28">
        <f>IF($C233="","",IFERROR(INDEX('Topic Plan'!$C$5:$C$115,MATCH($C233,'Topic Plan'!$B$5:$B$115,0)),"UNKNOWN TOPIC ID"))</f>
        <v/>
      </c>
      <c r="E233" s="28">
        <f>IF($C233="","",IFERROR(INDEX('Topic Plan'!$D$5:$D$115,MATCH($C233,'Topic Plan'!$B$5:$B$115,0)),""))</f>
        <v/>
      </c>
      <c r="F233" s="28">
        <f>IF($C233="","",IFERROR(INDEX('Topic Plan'!$E$5:$E$115,MATCH($C233,'Topic Plan'!$B$5:$B$115,0)),""))</f>
        <v/>
      </c>
      <c r="G233" s="23" t="n"/>
      <c r="H233" s="27" t="n"/>
      <c r="I233" s="27" t="n"/>
      <c r="J233" s="27" t="n"/>
      <c r="K233" s="27" t="n"/>
      <c r="L233" s="27" t="n"/>
      <c r="M233" s="27" t="n"/>
      <c r="N233" s="23" t="n"/>
      <c r="O233" s="29" t="n"/>
      <c r="P233" s="29" t="n"/>
      <c r="Q233" s="29" t="n"/>
      <c r="R233" s="29" t="n"/>
      <c r="S233" s="29" t="n"/>
      <c r="T233" s="29" t="n"/>
      <c r="U233" s="29" t="n"/>
      <c r="V233" s="30">
        <f>IF(OR($A233="",$U233=""),"",IF($S233&lt;&gt;"",MAX(0,$S233-$U233),MAX(0,TODAY()-$U233)))</f>
        <v/>
      </c>
      <c r="W233" s="30">
        <f>IF($A233="","",IF(OR($N233="Live",$N233="Retired"),"",TODAY()-MAX($O233,$P233,$Q233,$R233)))</f>
        <v/>
      </c>
      <c r="X233" s="23" t="n"/>
      <c r="Y233" s="30">
        <f>IF($A233="","",COUNTIFS('Issues Log'!$C$5:$C$504,$A233,'Issues Log'!$K$5:$K$504,"Open")+COUNTIFS('Issues Log'!$C$5:$C$504,$A233,'Issues Log'!$K$5:$K$504,"In progress"))</f>
        <v/>
      </c>
      <c r="Z233" s="27" t="n"/>
    </row>
    <row r="234">
      <c r="A234" s="27" t="n"/>
      <c r="B234" s="27" t="n"/>
      <c r="C234" s="27" t="n"/>
      <c r="D234" s="28">
        <f>IF($C234="","",IFERROR(INDEX('Topic Plan'!$C$5:$C$115,MATCH($C234,'Topic Plan'!$B$5:$B$115,0)),"UNKNOWN TOPIC ID"))</f>
        <v/>
      </c>
      <c r="E234" s="28">
        <f>IF($C234="","",IFERROR(INDEX('Topic Plan'!$D$5:$D$115,MATCH($C234,'Topic Plan'!$B$5:$B$115,0)),""))</f>
        <v/>
      </c>
      <c r="F234" s="28">
        <f>IF($C234="","",IFERROR(INDEX('Topic Plan'!$E$5:$E$115,MATCH($C234,'Topic Plan'!$B$5:$B$115,0)),""))</f>
        <v/>
      </c>
      <c r="G234" s="23" t="n"/>
      <c r="H234" s="27" t="n"/>
      <c r="I234" s="27" t="n"/>
      <c r="J234" s="27" t="n"/>
      <c r="K234" s="27" t="n"/>
      <c r="L234" s="27" t="n"/>
      <c r="M234" s="27" t="n"/>
      <c r="N234" s="23" t="n"/>
      <c r="O234" s="29" t="n"/>
      <c r="P234" s="29" t="n"/>
      <c r="Q234" s="29" t="n"/>
      <c r="R234" s="29" t="n"/>
      <c r="S234" s="29" t="n"/>
      <c r="T234" s="29" t="n"/>
      <c r="U234" s="29" t="n"/>
      <c r="V234" s="30">
        <f>IF(OR($A234="",$U234=""),"",IF($S234&lt;&gt;"",MAX(0,$S234-$U234),MAX(0,TODAY()-$U234)))</f>
        <v/>
      </c>
      <c r="W234" s="30">
        <f>IF($A234="","",IF(OR($N234="Live",$N234="Retired"),"",TODAY()-MAX($O234,$P234,$Q234,$R234)))</f>
        <v/>
      </c>
      <c r="X234" s="23" t="n"/>
      <c r="Y234" s="30">
        <f>IF($A234="","",COUNTIFS('Issues Log'!$C$5:$C$504,$A234,'Issues Log'!$K$5:$K$504,"Open")+COUNTIFS('Issues Log'!$C$5:$C$504,$A234,'Issues Log'!$K$5:$K$504,"In progress"))</f>
        <v/>
      </c>
      <c r="Z234" s="27" t="n"/>
    </row>
    <row r="235">
      <c r="A235" s="27" t="n"/>
      <c r="B235" s="27" t="n"/>
      <c r="C235" s="27" t="n"/>
      <c r="D235" s="28">
        <f>IF($C235="","",IFERROR(INDEX('Topic Plan'!$C$5:$C$115,MATCH($C235,'Topic Plan'!$B$5:$B$115,0)),"UNKNOWN TOPIC ID"))</f>
        <v/>
      </c>
      <c r="E235" s="28">
        <f>IF($C235="","",IFERROR(INDEX('Topic Plan'!$D$5:$D$115,MATCH($C235,'Topic Plan'!$B$5:$B$115,0)),""))</f>
        <v/>
      </c>
      <c r="F235" s="28">
        <f>IF($C235="","",IFERROR(INDEX('Topic Plan'!$E$5:$E$115,MATCH($C235,'Topic Plan'!$B$5:$B$115,0)),""))</f>
        <v/>
      </c>
      <c r="G235" s="23" t="n"/>
      <c r="H235" s="27" t="n"/>
      <c r="I235" s="27" t="n"/>
      <c r="J235" s="27" t="n"/>
      <c r="K235" s="27" t="n"/>
      <c r="L235" s="27" t="n"/>
      <c r="M235" s="27" t="n"/>
      <c r="N235" s="23" t="n"/>
      <c r="O235" s="29" t="n"/>
      <c r="P235" s="29" t="n"/>
      <c r="Q235" s="29" t="n"/>
      <c r="R235" s="29" t="n"/>
      <c r="S235" s="29" t="n"/>
      <c r="T235" s="29" t="n"/>
      <c r="U235" s="29" t="n"/>
      <c r="V235" s="30">
        <f>IF(OR($A235="",$U235=""),"",IF($S235&lt;&gt;"",MAX(0,$S235-$U235),MAX(0,TODAY()-$U235)))</f>
        <v/>
      </c>
      <c r="W235" s="30">
        <f>IF($A235="","",IF(OR($N235="Live",$N235="Retired"),"",TODAY()-MAX($O235,$P235,$Q235,$R235)))</f>
        <v/>
      </c>
      <c r="X235" s="23" t="n"/>
      <c r="Y235" s="30">
        <f>IF($A235="","",COUNTIFS('Issues Log'!$C$5:$C$504,$A235,'Issues Log'!$K$5:$K$504,"Open")+COUNTIFS('Issues Log'!$C$5:$C$504,$A235,'Issues Log'!$K$5:$K$504,"In progress"))</f>
        <v/>
      </c>
      <c r="Z235" s="27" t="n"/>
    </row>
    <row r="236">
      <c r="A236" s="27" t="n"/>
      <c r="B236" s="27" t="n"/>
      <c r="C236" s="27" t="n"/>
      <c r="D236" s="28">
        <f>IF($C236="","",IFERROR(INDEX('Topic Plan'!$C$5:$C$115,MATCH($C236,'Topic Plan'!$B$5:$B$115,0)),"UNKNOWN TOPIC ID"))</f>
        <v/>
      </c>
      <c r="E236" s="28">
        <f>IF($C236="","",IFERROR(INDEX('Topic Plan'!$D$5:$D$115,MATCH($C236,'Topic Plan'!$B$5:$B$115,0)),""))</f>
        <v/>
      </c>
      <c r="F236" s="28">
        <f>IF($C236="","",IFERROR(INDEX('Topic Plan'!$E$5:$E$115,MATCH($C236,'Topic Plan'!$B$5:$B$115,0)),""))</f>
        <v/>
      </c>
      <c r="G236" s="23" t="n"/>
      <c r="H236" s="27" t="n"/>
      <c r="I236" s="27" t="n"/>
      <c r="J236" s="27" t="n"/>
      <c r="K236" s="27" t="n"/>
      <c r="L236" s="27" t="n"/>
      <c r="M236" s="27" t="n"/>
      <c r="N236" s="23" t="n"/>
      <c r="O236" s="29" t="n"/>
      <c r="P236" s="29" t="n"/>
      <c r="Q236" s="29" t="n"/>
      <c r="R236" s="29" t="n"/>
      <c r="S236" s="29" t="n"/>
      <c r="T236" s="29" t="n"/>
      <c r="U236" s="29" t="n"/>
      <c r="V236" s="30">
        <f>IF(OR($A236="",$U236=""),"",IF($S236&lt;&gt;"",MAX(0,$S236-$U236),MAX(0,TODAY()-$U236)))</f>
        <v/>
      </c>
      <c r="W236" s="30">
        <f>IF($A236="","",IF(OR($N236="Live",$N236="Retired"),"",TODAY()-MAX($O236,$P236,$Q236,$R236)))</f>
        <v/>
      </c>
      <c r="X236" s="23" t="n"/>
      <c r="Y236" s="30">
        <f>IF($A236="","",COUNTIFS('Issues Log'!$C$5:$C$504,$A236,'Issues Log'!$K$5:$K$504,"Open")+COUNTIFS('Issues Log'!$C$5:$C$504,$A236,'Issues Log'!$K$5:$K$504,"In progress"))</f>
        <v/>
      </c>
      <c r="Z236" s="27" t="n"/>
    </row>
    <row r="237">
      <c r="A237" s="27" t="n"/>
      <c r="B237" s="27" t="n"/>
      <c r="C237" s="27" t="n"/>
      <c r="D237" s="28">
        <f>IF($C237="","",IFERROR(INDEX('Topic Plan'!$C$5:$C$115,MATCH($C237,'Topic Plan'!$B$5:$B$115,0)),"UNKNOWN TOPIC ID"))</f>
        <v/>
      </c>
      <c r="E237" s="28">
        <f>IF($C237="","",IFERROR(INDEX('Topic Plan'!$D$5:$D$115,MATCH($C237,'Topic Plan'!$B$5:$B$115,0)),""))</f>
        <v/>
      </c>
      <c r="F237" s="28">
        <f>IF($C237="","",IFERROR(INDEX('Topic Plan'!$E$5:$E$115,MATCH($C237,'Topic Plan'!$B$5:$B$115,0)),""))</f>
        <v/>
      </c>
      <c r="G237" s="23" t="n"/>
      <c r="H237" s="27" t="n"/>
      <c r="I237" s="27" t="n"/>
      <c r="J237" s="27" t="n"/>
      <c r="K237" s="27" t="n"/>
      <c r="L237" s="27" t="n"/>
      <c r="M237" s="27" t="n"/>
      <c r="N237" s="23" t="n"/>
      <c r="O237" s="29" t="n"/>
      <c r="P237" s="29" t="n"/>
      <c r="Q237" s="29" t="n"/>
      <c r="R237" s="29" t="n"/>
      <c r="S237" s="29" t="n"/>
      <c r="T237" s="29" t="n"/>
      <c r="U237" s="29" t="n"/>
      <c r="V237" s="30">
        <f>IF(OR($A237="",$U237=""),"",IF($S237&lt;&gt;"",MAX(0,$S237-$U237),MAX(0,TODAY()-$U237)))</f>
        <v/>
      </c>
      <c r="W237" s="30">
        <f>IF($A237="","",IF(OR($N237="Live",$N237="Retired"),"",TODAY()-MAX($O237,$P237,$Q237,$R237)))</f>
        <v/>
      </c>
      <c r="X237" s="23" t="n"/>
      <c r="Y237" s="30">
        <f>IF($A237="","",COUNTIFS('Issues Log'!$C$5:$C$504,$A237,'Issues Log'!$K$5:$K$504,"Open")+COUNTIFS('Issues Log'!$C$5:$C$504,$A237,'Issues Log'!$K$5:$K$504,"In progress"))</f>
        <v/>
      </c>
      <c r="Z237" s="27" t="n"/>
    </row>
    <row r="238">
      <c r="A238" s="27" t="n"/>
      <c r="B238" s="27" t="n"/>
      <c r="C238" s="27" t="n"/>
      <c r="D238" s="28">
        <f>IF($C238="","",IFERROR(INDEX('Topic Plan'!$C$5:$C$115,MATCH($C238,'Topic Plan'!$B$5:$B$115,0)),"UNKNOWN TOPIC ID"))</f>
        <v/>
      </c>
      <c r="E238" s="28">
        <f>IF($C238="","",IFERROR(INDEX('Topic Plan'!$D$5:$D$115,MATCH($C238,'Topic Plan'!$B$5:$B$115,0)),""))</f>
        <v/>
      </c>
      <c r="F238" s="28">
        <f>IF($C238="","",IFERROR(INDEX('Topic Plan'!$E$5:$E$115,MATCH($C238,'Topic Plan'!$B$5:$B$115,0)),""))</f>
        <v/>
      </c>
      <c r="G238" s="23" t="n"/>
      <c r="H238" s="27" t="n"/>
      <c r="I238" s="27" t="n"/>
      <c r="J238" s="27" t="n"/>
      <c r="K238" s="27" t="n"/>
      <c r="L238" s="27" t="n"/>
      <c r="M238" s="27" t="n"/>
      <c r="N238" s="23" t="n"/>
      <c r="O238" s="29" t="n"/>
      <c r="P238" s="29" t="n"/>
      <c r="Q238" s="29" t="n"/>
      <c r="R238" s="29" t="n"/>
      <c r="S238" s="29" t="n"/>
      <c r="T238" s="29" t="n"/>
      <c r="U238" s="29" t="n"/>
      <c r="V238" s="30">
        <f>IF(OR($A238="",$U238=""),"",IF($S238&lt;&gt;"",MAX(0,$S238-$U238),MAX(0,TODAY()-$U238)))</f>
        <v/>
      </c>
      <c r="W238" s="30">
        <f>IF($A238="","",IF(OR($N238="Live",$N238="Retired"),"",TODAY()-MAX($O238,$P238,$Q238,$R238)))</f>
        <v/>
      </c>
      <c r="X238" s="23" t="n"/>
      <c r="Y238" s="30">
        <f>IF($A238="","",COUNTIFS('Issues Log'!$C$5:$C$504,$A238,'Issues Log'!$K$5:$K$504,"Open")+COUNTIFS('Issues Log'!$C$5:$C$504,$A238,'Issues Log'!$K$5:$K$504,"In progress"))</f>
        <v/>
      </c>
      <c r="Z238" s="27" t="n"/>
    </row>
    <row r="239">
      <c r="A239" s="27" t="n"/>
      <c r="B239" s="27" t="n"/>
      <c r="C239" s="27" t="n"/>
      <c r="D239" s="28">
        <f>IF($C239="","",IFERROR(INDEX('Topic Plan'!$C$5:$C$115,MATCH($C239,'Topic Plan'!$B$5:$B$115,0)),"UNKNOWN TOPIC ID"))</f>
        <v/>
      </c>
      <c r="E239" s="28">
        <f>IF($C239="","",IFERROR(INDEX('Topic Plan'!$D$5:$D$115,MATCH($C239,'Topic Plan'!$B$5:$B$115,0)),""))</f>
        <v/>
      </c>
      <c r="F239" s="28">
        <f>IF($C239="","",IFERROR(INDEX('Topic Plan'!$E$5:$E$115,MATCH($C239,'Topic Plan'!$B$5:$B$115,0)),""))</f>
        <v/>
      </c>
      <c r="G239" s="23" t="n"/>
      <c r="H239" s="27" t="n"/>
      <c r="I239" s="27" t="n"/>
      <c r="J239" s="27" t="n"/>
      <c r="K239" s="27" t="n"/>
      <c r="L239" s="27" t="n"/>
      <c r="M239" s="27" t="n"/>
      <c r="N239" s="23" t="n"/>
      <c r="O239" s="29" t="n"/>
      <c r="P239" s="29" t="n"/>
      <c r="Q239" s="29" t="n"/>
      <c r="R239" s="29" t="n"/>
      <c r="S239" s="29" t="n"/>
      <c r="T239" s="29" t="n"/>
      <c r="U239" s="29" t="n"/>
      <c r="V239" s="30">
        <f>IF(OR($A239="",$U239=""),"",IF($S239&lt;&gt;"",MAX(0,$S239-$U239),MAX(0,TODAY()-$U239)))</f>
        <v/>
      </c>
      <c r="W239" s="30">
        <f>IF($A239="","",IF(OR($N239="Live",$N239="Retired"),"",TODAY()-MAX($O239,$P239,$Q239,$R239)))</f>
        <v/>
      </c>
      <c r="X239" s="23" t="n"/>
      <c r="Y239" s="30">
        <f>IF($A239="","",COUNTIFS('Issues Log'!$C$5:$C$504,$A239,'Issues Log'!$K$5:$K$504,"Open")+COUNTIFS('Issues Log'!$C$5:$C$504,$A239,'Issues Log'!$K$5:$K$504,"In progress"))</f>
        <v/>
      </c>
      <c r="Z239" s="27" t="n"/>
    </row>
    <row r="240">
      <c r="A240" s="27" t="n"/>
      <c r="B240" s="27" t="n"/>
      <c r="C240" s="27" t="n"/>
      <c r="D240" s="28">
        <f>IF($C240="","",IFERROR(INDEX('Topic Plan'!$C$5:$C$115,MATCH($C240,'Topic Plan'!$B$5:$B$115,0)),"UNKNOWN TOPIC ID"))</f>
        <v/>
      </c>
      <c r="E240" s="28">
        <f>IF($C240="","",IFERROR(INDEX('Topic Plan'!$D$5:$D$115,MATCH($C240,'Topic Plan'!$B$5:$B$115,0)),""))</f>
        <v/>
      </c>
      <c r="F240" s="28">
        <f>IF($C240="","",IFERROR(INDEX('Topic Plan'!$E$5:$E$115,MATCH($C240,'Topic Plan'!$B$5:$B$115,0)),""))</f>
        <v/>
      </c>
      <c r="G240" s="23" t="n"/>
      <c r="H240" s="27" t="n"/>
      <c r="I240" s="27" t="n"/>
      <c r="J240" s="27" t="n"/>
      <c r="K240" s="27" t="n"/>
      <c r="L240" s="27" t="n"/>
      <c r="M240" s="27" t="n"/>
      <c r="N240" s="23" t="n"/>
      <c r="O240" s="29" t="n"/>
      <c r="P240" s="29" t="n"/>
      <c r="Q240" s="29" t="n"/>
      <c r="R240" s="29" t="n"/>
      <c r="S240" s="29" t="n"/>
      <c r="T240" s="29" t="n"/>
      <c r="U240" s="29" t="n"/>
      <c r="V240" s="30">
        <f>IF(OR($A240="",$U240=""),"",IF($S240&lt;&gt;"",MAX(0,$S240-$U240),MAX(0,TODAY()-$U240)))</f>
        <v/>
      </c>
      <c r="W240" s="30">
        <f>IF($A240="","",IF(OR($N240="Live",$N240="Retired"),"",TODAY()-MAX($O240,$P240,$Q240,$R240)))</f>
        <v/>
      </c>
      <c r="X240" s="23" t="n"/>
      <c r="Y240" s="30">
        <f>IF($A240="","",COUNTIFS('Issues Log'!$C$5:$C$504,$A240,'Issues Log'!$K$5:$K$504,"Open")+COUNTIFS('Issues Log'!$C$5:$C$504,$A240,'Issues Log'!$K$5:$K$504,"In progress"))</f>
        <v/>
      </c>
      <c r="Z240" s="27" t="n"/>
    </row>
    <row r="241">
      <c r="A241" s="27" t="n"/>
      <c r="B241" s="27" t="n"/>
      <c r="C241" s="27" t="n"/>
      <c r="D241" s="28">
        <f>IF($C241="","",IFERROR(INDEX('Topic Plan'!$C$5:$C$115,MATCH($C241,'Topic Plan'!$B$5:$B$115,0)),"UNKNOWN TOPIC ID"))</f>
        <v/>
      </c>
      <c r="E241" s="28">
        <f>IF($C241="","",IFERROR(INDEX('Topic Plan'!$D$5:$D$115,MATCH($C241,'Topic Plan'!$B$5:$B$115,0)),""))</f>
        <v/>
      </c>
      <c r="F241" s="28">
        <f>IF($C241="","",IFERROR(INDEX('Topic Plan'!$E$5:$E$115,MATCH($C241,'Topic Plan'!$B$5:$B$115,0)),""))</f>
        <v/>
      </c>
      <c r="G241" s="23" t="n"/>
      <c r="H241" s="27" t="n"/>
      <c r="I241" s="27" t="n"/>
      <c r="J241" s="27" t="n"/>
      <c r="K241" s="27" t="n"/>
      <c r="L241" s="27" t="n"/>
      <c r="M241" s="27" t="n"/>
      <c r="N241" s="23" t="n"/>
      <c r="O241" s="29" t="n"/>
      <c r="P241" s="29" t="n"/>
      <c r="Q241" s="29" t="n"/>
      <c r="R241" s="29" t="n"/>
      <c r="S241" s="29" t="n"/>
      <c r="T241" s="29" t="n"/>
      <c r="U241" s="29" t="n"/>
      <c r="V241" s="30">
        <f>IF(OR($A241="",$U241=""),"",IF($S241&lt;&gt;"",MAX(0,$S241-$U241),MAX(0,TODAY()-$U241)))</f>
        <v/>
      </c>
      <c r="W241" s="30">
        <f>IF($A241="","",IF(OR($N241="Live",$N241="Retired"),"",TODAY()-MAX($O241,$P241,$Q241,$R241)))</f>
        <v/>
      </c>
      <c r="X241" s="23" t="n"/>
      <c r="Y241" s="30">
        <f>IF($A241="","",COUNTIFS('Issues Log'!$C$5:$C$504,$A241,'Issues Log'!$K$5:$K$504,"Open")+COUNTIFS('Issues Log'!$C$5:$C$504,$A241,'Issues Log'!$K$5:$K$504,"In progress"))</f>
        <v/>
      </c>
      <c r="Z241" s="27" t="n"/>
    </row>
    <row r="242">
      <c r="A242" s="27" t="n"/>
      <c r="B242" s="27" t="n"/>
      <c r="C242" s="27" t="n"/>
      <c r="D242" s="28">
        <f>IF($C242="","",IFERROR(INDEX('Topic Plan'!$C$5:$C$115,MATCH($C242,'Topic Plan'!$B$5:$B$115,0)),"UNKNOWN TOPIC ID"))</f>
        <v/>
      </c>
      <c r="E242" s="28">
        <f>IF($C242="","",IFERROR(INDEX('Topic Plan'!$D$5:$D$115,MATCH($C242,'Topic Plan'!$B$5:$B$115,0)),""))</f>
        <v/>
      </c>
      <c r="F242" s="28">
        <f>IF($C242="","",IFERROR(INDEX('Topic Plan'!$E$5:$E$115,MATCH($C242,'Topic Plan'!$B$5:$B$115,0)),""))</f>
        <v/>
      </c>
      <c r="G242" s="23" t="n"/>
      <c r="H242" s="27" t="n"/>
      <c r="I242" s="27" t="n"/>
      <c r="J242" s="27" t="n"/>
      <c r="K242" s="27" t="n"/>
      <c r="L242" s="27" t="n"/>
      <c r="M242" s="27" t="n"/>
      <c r="N242" s="23" t="n"/>
      <c r="O242" s="29" t="n"/>
      <c r="P242" s="29" t="n"/>
      <c r="Q242" s="29" t="n"/>
      <c r="R242" s="29" t="n"/>
      <c r="S242" s="29" t="n"/>
      <c r="T242" s="29" t="n"/>
      <c r="U242" s="29" t="n"/>
      <c r="V242" s="30">
        <f>IF(OR($A242="",$U242=""),"",IF($S242&lt;&gt;"",MAX(0,$S242-$U242),MAX(0,TODAY()-$U242)))</f>
        <v/>
      </c>
      <c r="W242" s="30">
        <f>IF($A242="","",IF(OR($N242="Live",$N242="Retired"),"",TODAY()-MAX($O242,$P242,$Q242,$R242)))</f>
        <v/>
      </c>
      <c r="X242" s="23" t="n"/>
      <c r="Y242" s="30">
        <f>IF($A242="","",COUNTIFS('Issues Log'!$C$5:$C$504,$A242,'Issues Log'!$K$5:$K$504,"Open")+COUNTIFS('Issues Log'!$C$5:$C$504,$A242,'Issues Log'!$K$5:$K$504,"In progress"))</f>
        <v/>
      </c>
      <c r="Z242" s="27" t="n"/>
    </row>
    <row r="243">
      <c r="A243" s="27" t="n"/>
      <c r="B243" s="27" t="n"/>
      <c r="C243" s="27" t="n"/>
      <c r="D243" s="28">
        <f>IF($C243="","",IFERROR(INDEX('Topic Plan'!$C$5:$C$115,MATCH($C243,'Topic Plan'!$B$5:$B$115,0)),"UNKNOWN TOPIC ID"))</f>
        <v/>
      </c>
      <c r="E243" s="28">
        <f>IF($C243="","",IFERROR(INDEX('Topic Plan'!$D$5:$D$115,MATCH($C243,'Topic Plan'!$B$5:$B$115,0)),""))</f>
        <v/>
      </c>
      <c r="F243" s="28">
        <f>IF($C243="","",IFERROR(INDEX('Topic Plan'!$E$5:$E$115,MATCH($C243,'Topic Plan'!$B$5:$B$115,0)),""))</f>
        <v/>
      </c>
      <c r="G243" s="23" t="n"/>
      <c r="H243" s="27" t="n"/>
      <c r="I243" s="27" t="n"/>
      <c r="J243" s="27" t="n"/>
      <c r="K243" s="27" t="n"/>
      <c r="L243" s="27" t="n"/>
      <c r="M243" s="27" t="n"/>
      <c r="N243" s="23" t="n"/>
      <c r="O243" s="29" t="n"/>
      <c r="P243" s="29" t="n"/>
      <c r="Q243" s="29" t="n"/>
      <c r="R243" s="29" t="n"/>
      <c r="S243" s="29" t="n"/>
      <c r="T243" s="29" t="n"/>
      <c r="U243" s="29" t="n"/>
      <c r="V243" s="30">
        <f>IF(OR($A243="",$U243=""),"",IF($S243&lt;&gt;"",MAX(0,$S243-$U243),MAX(0,TODAY()-$U243)))</f>
        <v/>
      </c>
      <c r="W243" s="30">
        <f>IF($A243="","",IF(OR($N243="Live",$N243="Retired"),"",TODAY()-MAX($O243,$P243,$Q243,$R243)))</f>
        <v/>
      </c>
      <c r="X243" s="23" t="n"/>
      <c r="Y243" s="30">
        <f>IF($A243="","",COUNTIFS('Issues Log'!$C$5:$C$504,$A243,'Issues Log'!$K$5:$K$504,"Open")+COUNTIFS('Issues Log'!$C$5:$C$504,$A243,'Issues Log'!$K$5:$K$504,"In progress"))</f>
        <v/>
      </c>
      <c r="Z243" s="27" t="n"/>
    </row>
    <row r="244">
      <c r="A244" s="27" t="n"/>
      <c r="B244" s="27" t="n"/>
      <c r="C244" s="27" t="n"/>
      <c r="D244" s="28">
        <f>IF($C244="","",IFERROR(INDEX('Topic Plan'!$C$5:$C$115,MATCH($C244,'Topic Plan'!$B$5:$B$115,0)),"UNKNOWN TOPIC ID"))</f>
        <v/>
      </c>
      <c r="E244" s="28">
        <f>IF($C244="","",IFERROR(INDEX('Topic Plan'!$D$5:$D$115,MATCH($C244,'Topic Plan'!$B$5:$B$115,0)),""))</f>
        <v/>
      </c>
      <c r="F244" s="28">
        <f>IF($C244="","",IFERROR(INDEX('Topic Plan'!$E$5:$E$115,MATCH($C244,'Topic Plan'!$B$5:$B$115,0)),""))</f>
        <v/>
      </c>
      <c r="G244" s="23" t="n"/>
      <c r="H244" s="27" t="n"/>
      <c r="I244" s="27" t="n"/>
      <c r="J244" s="27" t="n"/>
      <c r="K244" s="27" t="n"/>
      <c r="L244" s="27" t="n"/>
      <c r="M244" s="27" t="n"/>
      <c r="N244" s="23" t="n"/>
      <c r="O244" s="29" t="n"/>
      <c r="P244" s="29" t="n"/>
      <c r="Q244" s="29" t="n"/>
      <c r="R244" s="29" t="n"/>
      <c r="S244" s="29" t="n"/>
      <c r="T244" s="29" t="n"/>
      <c r="U244" s="29" t="n"/>
      <c r="V244" s="30">
        <f>IF(OR($A244="",$U244=""),"",IF($S244&lt;&gt;"",MAX(0,$S244-$U244),MAX(0,TODAY()-$U244)))</f>
        <v/>
      </c>
      <c r="W244" s="30">
        <f>IF($A244="","",IF(OR($N244="Live",$N244="Retired"),"",TODAY()-MAX($O244,$P244,$Q244,$R244)))</f>
        <v/>
      </c>
      <c r="X244" s="23" t="n"/>
      <c r="Y244" s="30">
        <f>IF($A244="","",COUNTIFS('Issues Log'!$C$5:$C$504,$A244,'Issues Log'!$K$5:$K$504,"Open")+COUNTIFS('Issues Log'!$C$5:$C$504,$A244,'Issues Log'!$K$5:$K$504,"In progress"))</f>
        <v/>
      </c>
      <c r="Z244" s="27" t="n"/>
    </row>
    <row r="245">
      <c r="A245" s="27" t="n"/>
      <c r="B245" s="27" t="n"/>
      <c r="C245" s="27" t="n"/>
      <c r="D245" s="28">
        <f>IF($C245="","",IFERROR(INDEX('Topic Plan'!$C$5:$C$115,MATCH($C245,'Topic Plan'!$B$5:$B$115,0)),"UNKNOWN TOPIC ID"))</f>
        <v/>
      </c>
      <c r="E245" s="28">
        <f>IF($C245="","",IFERROR(INDEX('Topic Plan'!$D$5:$D$115,MATCH($C245,'Topic Plan'!$B$5:$B$115,0)),""))</f>
        <v/>
      </c>
      <c r="F245" s="28">
        <f>IF($C245="","",IFERROR(INDEX('Topic Plan'!$E$5:$E$115,MATCH($C245,'Topic Plan'!$B$5:$B$115,0)),""))</f>
        <v/>
      </c>
      <c r="G245" s="23" t="n"/>
      <c r="H245" s="27" t="n"/>
      <c r="I245" s="27" t="n"/>
      <c r="J245" s="27" t="n"/>
      <c r="K245" s="27" t="n"/>
      <c r="L245" s="27" t="n"/>
      <c r="M245" s="27" t="n"/>
      <c r="N245" s="23" t="n"/>
      <c r="O245" s="29" t="n"/>
      <c r="P245" s="29" t="n"/>
      <c r="Q245" s="29" t="n"/>
      <c r="R245" s="29" t="n"/>
      <c r="S245" s="29" t="n"/>
      <c r="T245" s="29" t="n"/>
      <c r="U245" s="29" t="n"/>
      <c r="V245" s="30">
        <f>IF(OR($A245="",$U245=""),"",IF($S245&lt;&gt;"",MAX(0,$S245-$U245),MAX(0,TODAY()-$U245)))</f>
        <v/>
      </c>
      <c r="W245" s="30">
        <f>IF($A245="","",IF(OR($N245="Live",$N245="Retired"),"",TODAY()-MAX($O245,$P245,$Q245,$R245)))</f>
        <v/>
      </c>
      <c r="X245" s="23" t="n"/>
      <c r="Y245" s="30">
        <f>IF($A245="","",COUNTIFS('Issues Log'!$C$5:$C$504,$A245,'Issues Log'!$K$5:$K$504,"Open")+COUNTIFS('Issues Log'!$C$5:$C$504,$A245,'Issues Log'!$K$5:$K$504,"In progress"))</f>
        <v/>
      </c>
      <c r="Z245" s="27" t="n"/>
    </row>
    <row r="246">
      <c r="A246" s="27" t="n"/>
      <c r="B246" s="27" t="n"/>
      <c r="C246" s="27" t="n"/>
      <c r="D246" s="28">
        <f>IF($C246="","",IFERROR(INDEX('Topic Plan'!$C$5:$C$115,MATCH($C246,'Topic Plan'!$B$5:$B$115,0)),"UNKNOWN TOPIC ID"))</f>
        <v/>
      </c>
      <c r="E246" s="28">
        <f>IF($C246="","",IFERROR(INDEX('Topic Plan'!$D$5:$D$115,MATCH($C246,'Topic Plan'!$B$5:$B$115,0)),""))</f>
        <v/>
      </c>
      <c r="F246" s="28">
        <f>IF($C246="","",IFERROR(INDEX('Topic Plan'!$E$5:$E$115,MATCH($C246,'Topic Plan'!$B$5:$B$115,0)),""))</f>
        <v/>
      </c>
      <c r="G246" s="23" t="n"/>
      <c r="H246" s="27" t="n"/>
      <c r="I246" s="27" t="n"/>
      <c r="J246" s="27" t="n"/>
      <c r="K246" s="27" t="n"/>
      <c r="L246" s="27" t="n"/>
      <c r="M246" s="27" t="n"/>
      <c r="N246" s="23" t="n"/>
      <c r="O246" s="29" t="n"/>
      <c r="P246" s="29" t="n"/>
      <c r="Q246" s="29" t="n"/>
      <c r="R246" s="29" t="n"/>
      <c r="S246" s="29" t="n"/>
      <c r="T246" s="29" t="n"/>
      <c r="U246" s="29" t="n"/>
      <c r="V246" s="30">
        <f>IF(OR($A246="",$U246=""),"",IF($S246&lt;&gt;"",MAX(0,$S246-$U246),MAX(0,TODAY()-$U246)))</f>
        <v/>
      </c>
      <c r="W246" s="30">
        <f>IF($A246="","",IF(OR($N246="Live",$N246="Retired"),"",TODAY()-MAX($O246,$P246,$Q246,$R246)))</f>
        <v/>
      </c>
      <c r="X246" s="23" t="n"/>
      <c r="Y246" s="30">
        <f>IF($A246="","",COUNTIFS('Issues Log'!$C$5:$C$504,$A246,'Issues Log'!$K$5:$K$504,"Open")+COUNTIFS('Issues Log'!$C$5:$C$504,$A246,'Issues Log'!$K$5:$K$504,"In progress"))</f>
        <v/>
      </c>
      <c r="Z246" s="27" t="n"/>
    </row>
    <row r="247">
      <c r="A247" s="27" t="n"/>
      <c r="B247" s="27" t="n"/>
      <c r="C247" s="27" t="n"/>
      <c r="D247" s="28">
        <f>IF($C247="","",IFERROR(INDEX('Topic Plan'!$C$5:$C$115,MATCH($C247,'Topic Plan'!$B$5:$B$115,0)),"UNKNOWN TOPIC ID"))</f>
        <v/>
      </c>
      <c r="E247" s="28">
        <f>IF($C247="","",IFERROR(INDEX('Topic Plan'!$D$5:$D$115,MATCH($C247,'Topic Plan'!$B$5:$B$115,0)),""))</f>
        <v/>
      </c>
      <c r="F247" s="28">
        <f>IF($C247="","",IFERROR(INDEX('Topic Plan'!$E$5:$E$115,MATCH($C247,'Topic Plan'!$B$5:$B$115,0)),""))</f>
        <v/>
      </c>
      <c r="G247" s="23" t="n"/>
      <c r="H247" s="27" t="n"/>
      <c r="I247" s="27" t="n"/>
      <c r="J247" s="27" t="n"/>
      <c r="K247" s="27" t="n"/>
      <c r="L247" s="27" t="n"/>
      <c r="M247" s="27" t="n"/>
      <c r="N247" s="23" t="n"/>
      <c r="O247" s="29" t="n"/>
      <c r="P247" s="29" t="n"/>
      <c r="Q247" s="29" t="n"/>
      <c r="R247" s="29" t="n"/>
      <c r="S247" s="29" t="n"/>
      <c r="T247" s="29" t="n"/>
      <c r="U247" s="29" t="n"/>
      <c r="V247" s="30">
        <f>IF(OR($A247="",$U247=""),"",IF($S247&lt;&gt;"",MAX(0,$S247-$U247),MAX(0,TODAY()-$U247)))</f>
        <v/>
      </c>
      <c r="W247" s="30">
        <f>IF($A247="","",IF(OR($N247="Live",$N247="Retired"),"",TODAY()-MAX($O247,$P247,$Q247,$R247)))</f>
        <v/>
      </c>
      <c r="X247" s="23" t="n"/>
      <c r="Y247" s="30">
        <f>IF($A247="","",COUNTIFS('Issues Log'!$C$5:$C$504,$A247,'Issues Log'!$K$5:$K$504,"Open")+COUNTIFS('Issues Log'!$C$5:$C$504,$A247,'Issues Log'!$K$5:$K$504,"In progress"))</f>
        <v/>
      </c>
      <c r="Z247" s="27" t="n"/>
    </row>
    <row r="248">
      <c r="A248" s="27" t="n"/>
      <c r="B248" s="27" t="n"/>
      <c r="C248" s="27" t="n"/>
      <c r="D248" s="28">
        <f>IF($C248="","",IFERROR(INDEX('Topic Plan'!$C$5:$C$115,MATCH($C248,'Topic Plan'!$B$5:$B$115,0)),"UNKNOWN TOPIC ID"))</f>
        <v/>
      </c>
      <c r="E248" s="28">
        <f>IF($C248="","",IFERROR(INDEX('Topic Plan'!$D$5:$D$115,MATCH($C248,'Topic Plan'!$B$5:$B$115,0)),""))</f>
        <v/>
      </c>
      <c r="F248" s="28">
        <f>IF($C248="","",IFERROR(INDEX('Topic Plan'!$E$5:$E$115,MATCH($C248,'Topic Plan'!$B$5:$B$115,0)),""))</f>
        <v/>
      </c>
      <c r="G248" s="23" t="n"/>
      <c r="H248" s="27" t="n"/>
      <c r="I248" s="27" t="n"/>
      <c r="J248" s="27" t="n"/>
      <c r="K248" s="27" t="n"/>
      <c r="L248" s="27" t="n"/>
      <c r="M248" s="27" t="n"/>
      <c r="N248" s="23" t="n"/>
      <c r="O248" s="29" t="n"/>
      <c r="P248" s="29" t="n"/>
      <c r="Q248" s="29" t="n"/>
      <c r="R248" s="29" t="n"/>
      <c r="S248" s="29" t="n"/>
      <c r="T248" s="29" t="n"/>
      <c r="U248" s="29" t="n"/>
      <c r="V248" s="30">
        <f>IF(OR($A248="",$U248=""),"",IF($S248&lt;&gt;"",MAX(0,$S248-$U248),MAX(0,TODAY()-$U248)))</f>
        <v/>
      </c>
      <c r="W248" s="30">
        <f>IF($A248="","",IF(OR($N248="Live",$N248="Retired"),"",TODAY()-MAX($O248,$P248,$Q248,$R248)))</f>
        <v/>
      </c>
      <c r="X248" s="23" t="n"/>
      <c r="Y248" s="30">
        <f>IF($A248="","",COUNTIFS('Issues Log'!$C$5:$C$504,$A248,'Issues Log'!$K$5:$K$504,"Open")+COUNTIFS('Issues Log'!$C$5:$C$504,$A248,'Issues Log'!$K$5:$K$504,"In progress"))</f>
        <v/>
      </c>
      <c r="Z248" s="27" t="n"/>
    </row>
    <row r="249">
      <c r="A249" s="27" t="n"/>
      <c r="B249" s="27" t="n"/>
      <c r="C249" s="27" t="n"/>
      <c r="D249" s="28">
        <f>IF($C249="","",IFERROR(INDEX('Topic Plan'!$C$5:$C$115,MATCH($C249,'Topic Plan'!$B$5:$B$115,0)),"UNKNOWN TOPIC ID"))</f>
        <v/>
      </c>
      <c r="E249" s="28">
        <f>IF($C249="","",IFERROR(INDEX('Topic Plan'!$D$5:$D$115,MATCH($C249,'Topic Plan'!$B$5:$B$115,0)),""))</f>
        <v/>
      </c>
      <c r="F249" s="28">
        <f>IF($C249="","",IFERROR(INDEX('Topic Plan'!$E$5:$E$115,MATCH($C249,'Topic Plan'!$B$5:$B$115,0)),""))</f>
        <v/>
      </c>
      <c r="G249" s="23" t="n"/>
      <c r="H249" s="27" t="n"/>
      <c r="I249" s="27" t="n"/>
      <c r="J249" s="27" t="n"/>
      <c r="K249" s="27" t="n"/>
      <c r="L249" s="27" t="n"/>
      <c r="M249" s="27" t="n"/>
      <c r="N249" s="23" t="n"/>
      <c r="O249" s="29" t="n"/>
      <c r="P249" s="29" t="n"/>
      <c r="Q249" s="29" t="n"/>
      <c r="R249" s="29" t="n"/>
      <c r="S249" s="29" t="n"/>
      <c r="T249" s="29" t="n"/>
      <c r="U249" s="29" t="n"/>
      <c r="V249" s="30">
        <f>IF(OR($A249="",$U249=""),"",IF($S249&lt;&gt;"",MAX(0,$S249-$U249),MAX(0,TODAY()-$U249)))</f>
        <v/>
      </c>
      <c r="W249" s="30">
        <f>IF($A249="","",IF(OR($N249="Live",$N249="Retired"),"",TODAY()-MAX($O249,$P249,$Q249,$R249)))</f>
        <v/>
      </c>
      <c r="X249" s="23" t="n"/>
      <c r="Y249" s="30">
        <f>IF($A249="","",COUNTIFS('Issues Log'!$C$5:$C$504,$A249,'Issues Log'!$K$5:$K$504,"Open")+COUNTIFS('Issues Log'!$C$5:$C$504,$A249,'Issues Log'!$K$5:$K$504,"In progress"))</f>
        <v/>
      </c>
      <c r="Z249" s="27" t="n"/>
    </row>
    <row r="250">
      <c r="A250" s="27" t="n"/>
      <c r="B250" s="27" t="n"/>
      <c r="C250" s="27" t="n"/>
      <c r="D250" s="28">
        <f>IF($C250="","",IFERROR(INDEX('Topic Plan'!$C$5:$C$115,MATCH($C250,'Topic Plan'!$B$5:$B$115,0)),"UNKNOWN TOPIC ID"))</f>
        <v/>
      </c>
      <c r="E250" s="28">
        <f>IF($C250="","",IFERROR(INDEX('Topic Plan'!$D$5:$D$115,MATCH($C250,'Topic Plan'!$B$5:$B$115,0)),""))</f>
        <v/>
      </c>
      <c r="F250" s="28">
        <f>IF($C250="","",IFERROR(INDEX('Topic Plan'!$E$5:$E$115,MATCH($C250,'Topic Plan'!$B$5:$B$115,0)),""))</f>
        <v/>
      </c>
      <c r="G250" s="23" t="n"/>
      <c r="H250" s="27" t="n"/>
      <c r="I250" s="27" t="n"/>
      <c r="J250" s="27" t="n"/>
      <c r="K250" s="27" t="n"/>
      <c r="L250" s="27" t="n"/>
      <c r="M250" s="27" t="n"/>
      <c r="N250" s="23" t="n"/>
      <c r="O250" s="29" t="n"/>
      <c r="P250" s="29" t="n"/>
      <c r="Q250" s="29" t="n"/>
      <c r="R250" s="29" t="n"/>
      <c r="S250" s="29" t="n"/>
      <c r="T250" s="29" t="n"/>
      <c r="U250" s="29" t="n"/>
      <c r="V250" s="30">
        <f>IF(OR($A250="",$U250=""),"",IF($S250&lt;&gt;"",MAX(0,$S250-$U250),MAX(0,TODAY()-$U250)))</f>
        <v/>
      </c>
      <c r="W250" s="30">
        <f>IF($A250="","",IF(OR($N250="Live",$N250="Retired"),"",TODAY()-MAX($O250,$P250,$Q250,$R250)))</f>
        <v/>
      </c>
      <c r="X250" s="23" t="n"/>
      <c r="Y250" s="30">
        <f>IF($A250="","",COUNTIFS('Issues Log'!$C$5:$C$504,$A250,'Issues Log'!$K$5:$K$504,"Open")+COUNTIFS('Issues Log'!$C$5:$C$504,$A250,'Issues Log'!$K$5:$K$504,"In progress"))</f>
        <v/>
      </c>
      <c r="Z250" s="27" t="n"/>
    </row>
    <row r="251">
      <c r="A251" s="27" t="n"/>
      <c r="B251" s="27" t="n"/>
      <c r="C251" s="27" t="n"/>
      <c r="D251" s="28">
        <f>IF($C251="","",IFERROR(INDEX('Topic Plan'!$C$5:$C$115,MATCH($C251,'Topic Plan'!$B$5:$B$115,0)),"UNKNOWN TOPIC ID"))</f>
        <v/>
      </c>
      <c r="E251" s="28">
        <f>IF($C251="","",IFERROR(INDEX('Topic Plan'!$D$5:$D$115,MATCH($C251,'Topic Plan'!$B$5:$B$115,0)),""))</f>
        <v/>
      </c>
      <c r="F251" s="28">
        <f>IF($C251="","",IFERROR(INDEX('Topic Plan'!$E$5:$E$115,MATCH($C251,'Topic Plan'!$B$5:$B$115,0)),""))</f>
        <v/>
      </c>
      <c r="G251" s="23" t="n"/>
      <c r="H251" s="27" t="n"/>
      <c r="I251" s="27" t="n"/>
      <c r="J251" s="27" t="n"/>
      <c r="K251" s="27" t="n"/>
      <c r="L251" s="27" t="n"/>
      <c r="M251" s="27" t="n"/>
      <c r="N251" s="23" t="n"/>
      <c r="O251" s="29" t="n"/>
      <c r="P251" s="29" t="n"/>
      <c r="Q251" s="29" t="n"/>
      <c r="R251" s="29" t="n"/>
      <c r="S251" s="29" t="n"/>
      <c r="T251" s="29" t="n"/>
      <c r="U251" s="29" t="n"/>
      <c r="V251" s="30">
        <f>IF(OR($A251="",$U251=""),"",IF($S251&lt;&gt;"",MAX(0,$S251-$U251),MAX(0,TODAY()-$U251)))</f>
        <v/>
      </c>
      <c r="W251" s="30">
        <f>IF($A251="","",IF(OR($N251="Live",$N251="Retired"),"",TODAY()-MAX($O251,$P251,$Q251,$R251)))</f>
        <v/>
      </c>
      <c r="X251" s="23" t="n"/>
      <c r="Y251" s="30">
        <f>IF($A251="","",COUNTIFS('Issues Log'!$C$5:$C$504,$A251,'Issues Log'!$K$5:$K$504,"Open")+COUNTIFS('Issues Log'!$C$5:$C$504,$A251,'Issues Log'!$K$5:$K$504,"In progress"))</f>
        <v/>
      </c>
      <c r="Z251" s="27" t="n"/>
    </row>
    <row r="252">
      <c r="A252" s="27" t="n"/>
      <c r="B252" s="27" t="n"/>
      <c r="C252" s="27" t="n"/>
      <c r="D252" s="28">
        <f>IF($C252="","",IFERROR(INDEX('Topic Plan'!$C$5:$C$115,MATCH($C252,'Topic Plan'!$B$5:$B$115,0)),"UNKNOWN TOPIC ID"))</f>
        <v/>
      </c>
      <c r="E252" s="28">
        <f>IF($C252="","",IFERROR(INDEX('Topic Plan'!$D$5:$D$115,MATCH($C252,'Topic Plan'!$B$5:$B$115,0)),""))</f>
        <v/>
      </c>
      <c r="F252" s="28">
        <f>IF($C252="","",IFERROR(INDEX('Topic Plan'!$E$5:$E$115,MATCH($C252,'Topic Plan'!$B$5:$B$115,0)),""))</f>
        <v/>
      </c>
      <c r="G252" s="23" t="n"/>
      <c r="H252" s="27" t="n"/>
      <c r="I252" s="27" t="n"/>
      <c r="J252" s="27" t="n"/>
      <c r="K252" s="27" t="n"/>
      <c r="L252" s="27" t="n"/>
      <c r="M252" s="27" t="n"/>
      <c r="N252" s="23" t="n"/>
      <c r="O252" s="29" t="n"/>
      <c r="P252" s="29" t="n"/>
      <c r="Q252" s="29" t="n"/>
      <c r="R252" s="29" t="n"/>
      <c r="S252" s="29" t="n"/>
      <c r="T252" s="29" t="n"/>
      <c r="U252" s="29" t="n"/>
      <c r="V252" s="30">
        <f>IF(OR($A252="",$U252=""),"",IF($S252&lt;&gt;"",MAX(0,$S252-$U252),MAX(0,TODAY()-$U252)))</f>
        <v/>
      </c>
      <c r="W252" s="30">
        <f>IF($A252="","",IF(OR($N252="Live",$N252="Retired"),"",TODAY()-MAX($O252,$P252,$Q252,$R252)))</f>
        <v/>
      </c>
      <c r="X252" s="23" t="n"/>
      <c r="Y252" s="30">
        <f>IF($A252="","",COUNTIFS('Issues Log'!$C$5:$C$504,$A252,'Issues Log'!$K$5:$K$504,"Open")+COUNTIFS('Issues Log'!$C$5:$C$504,$A252,'Issues Log'!$K$5:$K$504,"In progress"))</f>
        <v/>
      </c>
      <c r="Z252" s="27" t="n"/>
    </row>
    <row r="253">
      <c r="A253" s="27" t="n"/>
      <c r="B253" s="27" t="n"/>
      <c r="C253" s="27" t="n"/>
      <c r="D253" s="28">
        <f>IF($C253="","",IFERROR(INDEX('Topic Plan'!$C$5:$C$115,MATCH($C253,'Topic Plan'!$B$5:$B$115,0)),"UNKNOWN TOPIC ID"))</f>
        <v/>
      </c>
      <c r="E253" s="28">
        <f>IF($C253="","",IFERROR(INDEX('Topic Plan'!$D$5:$D$115,MATCH($C253,'Topic Plan'!$B$5:$B$115,0)),""))</f>
        <v/>
      </c>
      <c r="F253" s="28">
        <f>IF($C253="","",IFERROR(INDEX('Topic Plan'!$E$5:$E$115,MATCH($C253,'Topic Plan'!$B$5:$B$115,0)),""))</f>
        <v/>
      </c>
      <c r="G253" s="23" t="n"/>
      <c r="H253" s="27" t="n"/>
      <c r="I253" s="27" t="n"/>
      <c r="J253" s="27" t="n"/>
      <c r="K253" s="27" t="n"/>
      <c r="L253" s="27" t="n"/>
      <c r="M253" s="27" t="n"/>
      <c r="N253" s="23" t="n"/>
      <c r="O253" s="29" t="n"/>
      <c r="P253" s="29" t="n"/>
      <c r="Q253" s="29" t="n"/>
      <c r="R253" s="29" t="n"/>
      <c r="S253" s="29" t="n"/>
      <c r="T253" s="29" t="n"/>
      <c r="U253" s="29" t="n"/>
      <c r="V253" s="30">
        <f>IF(OR($A253="",$U253=""),"",IF($S253&lt;&gt;"",MAX(0,$S253-$U253),MAX(0,TODAY()-$U253)))</f>
        <v/>
      </c>
      <c r="W253" s="30">
        <f>IF($A253="","",IF(OR($N253="Live",$N253="Retired"),"",TODAY()-MAX($O253,$P253,$Q253,$R253)))</f>
        <v/>
      </c>
      <c r="X253" s="23" t="n"/>
      <c r="Y253" s="30">
        <f>IF($A253="","",COUNTIFS('Issues Log'!$C$5:$C$504,$A253,'Issues Log'!$K$5:$K$504,"Open")+COUNTIFS('Issues Log'!$C$5:$C$504,$A253,'Issues Log'!$K$5:$K$504,"In progress"))</f>
        <v/>
      </c>
      <c r="Z253" s="27" t="n"/>
    </row>
    <row r="254">
      <c r="A254" s="27" t="n"/>
      <c r="B254" s="27" t="n"/>
      <c r="C254" s="27" t="n"/>
      <c r="D254" s="28">
        <f>IF($C254="","",IFERROR(INDEX('Topic Plan'!$C$5:$C$115,MATCH($C254,'Topic Plan'!$B$5:$B$115,0)),"UNKNOWN TOPIC ID"))</f>
        <v/>
      </c>
      <c r="E254" s="28">
        <f>IF($C254="","",IFERROR(INDEX('Topic Plan'!$D$5:$D$115,MATCH($C254,'Topic Plan'!$B$5:$B$115,0)),""))</f>
        <v/>
      </c>
      <c r="F254" s="28">
        <f>IF($C254="","",IFERROR(INDEX('Topic Plan'!$E$5:$E$115,MATCH($C254,'Topic Plan'!$B$5:$B$115,0)),""))</f>
        <v/>
      </c>
      <c r="G254" s="23" t="n"/>
      <c r="H254" s="27" t="n"/>
      <c r="I254" s="27" t="n"/>
      <c r="J254" s="27" t="n"/>
      <c r="K254" s="27" t="n"/>
      <c r="L254" s="27" t="n"/>
      <c r="M254" s="27" t="n"/>
      <c r="N254" s="23" t="n"/>
      <c r="O254" s="29" t="n"/>
      <c r="P254" s="29" t="n"/>
      <c r="Q254" s="29" t="n"/>
      <c r="R254" s="29" t="n"/>
      <c r="S254" s="29" t="n"/>
      <c r="T254" s="29" t="n"/>
      <c r="U254" s="29" t="n"/>
      <c r="V254" s="30">
        <f>IF(OR($A254="",$U254=""),"",IF($S254&lt;&gt;"",MAX(0,$S254-$U254),MAX(0,TODAY()-$U254)))</f>
        <v/>
      </c>
      <c r="W254" s="30">
        <f>IF($A254="","",IF(OR($N254="Live",$N254="Retired"),"",TODAY()-MAX($O254,$P254,$Q254,$R254)))</f>
        <v/>
      </c>
      <c r="X254" s="23" t="n"/>
      <c r="Y254" s="30">
        <f>IF($A254="","",COUNTIFS('Issues Log'!$C$5:$C$504,$A254,'Issues Log'!$K$5:$K$504,"Open")+COUNTIFS('Issues Log'!$C$5:$C$504,$A254,'Issues Log'!$K$5:$K$504,"In progress"))</f>
        <v/>
      </c>
      <c r="Z254" s="27" t="n"/>
    </row>
    <row r="255">
      <c r="A255" s="27" t="n"/>
      <c r="B255" s="27" t="n"/>
      <c r="C255" s="27" t="n"/>
      <c r="D255" s="28">
        <f>IF($C255="","",IFERROR(INDEX('Topic Plan'!$C$5:$C$115,MATCH($C255,'Topic Plan'!$B$5:$B$115,0)),"UNKNOWN TOPIC ID"))</f>
        <v/>
      </c>
      <c r="E255" s="28">
        <f>IF($C255="","",IFERROR(INDEX('Topic Plan'!$D$5:$D$115,MATCH($C255,'Topic Plan'!$B$5:$B$115,0)),""))</f>
        <v/>
      </c>
      <c r="F255" s="28">
        <f>IF($C255="","",IFERROR(INDEX('Topic Plan'!$E$5:$E$115,MATCH($C255,'Topic Plan'!$B$5:$B$115,0)),""))</f>
        <v/>
      </c>
      <c r="G255" s="23" t="n"/>
      <c r="H255" s="27" t="n"/>
      <c r="I255" s="27" t="n"/>
      <c r="J255" s="27" t="n"/>
      <c r="K255" s="27" t="n"/>
      <c r="L255" s="27" t="n"/>
      <c r="M255" s="27" t="n"/>
      <c r="N255" s="23" t="n"/>
      <c r="O255" s="29" t="n"/>
      <c r="P255" s="29" t="n"/>
      <c r="Q255" s="29" t="n"/>
      <c r="R255" s="29" t="n"/>
      <c r="S255" s="29" t="n"/>
      <c r="T255" s="29" t="n"/>
      <c r="U255" s="29" t="n"/>
      <c r="V255" s="30">
        <f>IF(OR($A255="",$U255=""),"",IF($S255&lt;&gt;"",MAX(0,$S255-$U255),MAX(0,TODAY()-$U255)))</f>
        <v/>
      </c>
      <c r="W255" s="30">
        <f>IF($A255="","",IF(OR($N255="Live",$N255="Retired"),"",TODAY()-MAX($O255,$P255,$Q255,$R255)))</f>
        <v/>
      </c>
      <c r="X255" s="23" t="n"/>
      <c r="Y255" s="30">
        <f>IF($A255="","",COUNTIFS('Issues Log'!$C$5:$C$504,$A255,'Issues Log'!$K$5:$K$504,"Open")+COUNTIFS('Issues Log'!$C$5:$C$504,$A255,'Issues Log'!$K$5:$K$504,"In progress"))</f>
        <v/>
      </c>
      <c r="Z255" s="27" t="n"/>
    </row>
    <row r="256">
      <c r="A256" s="27" t="n"/>
      <c r="B256" s="27" t="n"/>
      <c r="C256" s="27" t="n"/>
      <c r="D256" s="28">
        <f>IF($C256="","",IFERROR(INDEX('Topic Plan'!$C$5:$C$115,MATCH($C256,'Topic Plan'!$B$5:$B$115,0)),"UNKNOWN TOPIC ID"))</f>
        <v/>
      </c>
      <c r="E256" s="28">
        <f>IF($C256="","",IFERROR(INDEX('Topic Plan'!$D$5:$D$115,MATCH($C256,'Topic Plan'!$B$5:$B$115,0)),""))</f>
        <v/>
      </c>
      <c r="F256" s="28">
        <f>IF($C256="","",IFERROR(INDEX('Topic Plan'!$E$5:$E$115,MATCH($C256,'Topic Plan'!$B$5:$B$115,0)),""))</f>
        <v/>
      </c>
      <c r="G256" s="23" t="n"/>
      <c r="H256" s="27" t="n"/>
      <c r="I256" s="27" t="n"/>
      <c r="J256" s="27" t="n"/>
      <c r="K256" s="27" t="n"/>
      <c r="L256" s="27" t="n"/>
      <c r="M256" s="27" t="n"/>
      <c r="N256" s="23" t="n"/>
      <c r="O256" s="29" t="n"/>
      <c r="P256" s="29" t="n"/>
      <c r="Q256" s="29" t="n"/>
      <c r="R256" s="29" t="n"/>
      <c r="S256" s="29" t="n"/>
      <c r="T256" s="29" t="n"/>
      <c r="U256" s="29" t="n"/>
      <c r="V256" s="30">
        <f>IF(OR($A256="",$U256=""),"",IF($S256&lt;&gt;"",MAX(0,$S256-$U256),MAX(0,TODAY()-$U256)))</f>
        <v/>
      </c>
      <c r="W256" s="30">
        <f>IF($A256="","",IF(OR($N256="Live",$N256="Retired"),"",TODAY()-MAX($O256,$P256,$Q256,$R256)))</f>
        <v/>
      </c>
      <c r="X256" s="23" t="n"/>
      <c r="Y256" s="30">
        <f>IF($A256="","",COUNTIFS('Issues Log'!$C$5:$C$504,$A256,'Issues Log'!$K$5:$K$504,"Open")+COUNTIFS('Issues Log'!$C$5:$C$504,$A256,'Issues Log'!$K$5:$K$504,"In progress"))</f>
        <v/>
      </c>
      <c r="Z256" s="27" t="n"/>
    </row>
    <row r="257">
      <c r="A257" s="27" t="n"/>
      <c r="B257" s="27" t="n"/>
      <c r="C257" s="27" t="n"/>
      <c r="D257" s="28">
        <f>IF($C257="","",IFERROR(INDEX('Topic Plan'!$C$5:$C$115,MATCH($C257,'Topic Plan'!$B$5:$B$115,0)),"UNKNOWN TOPIC ID"))</f>
        <v/>
      </c>
      <c r="E257" s="28">
        <f>IF($C257="","",IFERROR(INDEX('Topic Plan'!$D$5:$D$115,MATCH($C257,'Topic Plan'!$B$5:$B$115,0)),""))</f>
        <v/>
      </c>
      <c r="F257" s="28">
        <f>IF($C257="","",IFERROR(INDEX('Topic Plan'!$E$5:$E$115,MATCH($C257,'Topic Plan'!$B$5:$B$115,0)),""))</f>
        <v/>
      </c>
      <c r="G257" s="23" t="n"/>
      <c r="H257" s="27" t="n"/>
      <c r="I257" s="27" t="n"/>
      <c r="J257" s="27" t="n"/>
      <c r="K257" s="27" t="n"/>
      <c r="L257" s="27" t="n"/>
      <c r="M257" s="27" t="n"/>
      <c r="N257" s="23" t="n"/>
      <c r="O257" s="29" t="n"/>
      <c r="P257" s="29" t="n"/>
      <c r="Q257" s="29" t="n"/>
      <c r="R257" s="29" t="n"/>
      <c r="S257" s="29" t="n"/>
      <c r="T257" s="29" t="n"/>
      <c r="U257" s="29" t="n"/>
      <c r="V257" s="30">
        <f>IF(OR($A257="",$U257=""),"",IF($S257&lt;&gt;"",MAX(0,$S257-$U257),MAX(0,TODAY()-$U257)))</f>
        <v/>
      </c>
      <c r="W257" s="30">
        <f>IF($A257="","",IF(OR($N257="Live",$N257="Retired"),"",TODAY()-MAX($O257,$P257,$Q257,$R257)))</f>
        <v/>
      </c>
      <c r="X257" s="23" t="n"/>
      <c r="Y257" s="30">
        <f>IF($A257="","",COUNTIFS('Issues Log'!$C$5:$C$504,$A257,'Issues Log'!$K$5:$K$504,"Open")+COUNTIFS('Issues Log'!$C$5:$C$504,$A257,'Issues Log'!$K$5:$K$504,"In progress"))</f>
        <v/>
      </c>
      <c r="Z257" s="27" t="n"/>
    </row>
    <row r="258">
      <c r="A258" s="27" t="n"/>
      <c r="B258" s="27" t="n"/>
      <c r="C258" s="27" t="n"/>
      <c r="D258" s="28">
        <f>IF($C258="","",IFERROR(INDEX('Topic Plan'!$C$5:$C$115,MATCH($C258,'Topic Plan'!$B$5:$B$115,0)),"UNKNOWN TOPIC ID"))</f>
        <v/>
      </c>
      <c r="E258" s="28">
        <f>IF($C258="","",IFERROR(INDEX('Topic Plan'!$D$5:$D$115,MATCH($C258,'Topic Plan'!$B$5:$B$115,0)),""))</f>
        <v/>
      </c>
      <c r="F258" s="28">
        <f>IF($C258="","",IFERROR(INDEX('Topic Plan'!$E$5:$E$115,MATCH($C258,'Topic Plan'!$B$5:$B$115,0)),""))</f>
        <v/>
      </c>
      <c r="G258" s="23" t="n"/>
      <c r="H258" s="27" t="n"/>
      <c r="I258" s="27" t="n"/>
      <c r="J258" s="27" t="n"/>
      <c r="K258" s="27" t="n"/>
      <c r="L258" s="27" t="n"/>
      <c r="M258" s="27" t="n"/>
      <c r="N258" s="23" t="n"/>
      <c r="O258" s="29" t="n"/>
      <c r="P258" s="29" t="n"/>
      <c r="Q258" s="29" t="n"/>
      <c r="R258" s="29" t="n"/>
      <c r="S258" s="29" t="n"/>
      <c r="T258" s="29" t="n"/>
      <c r="U258" s="29" t="n"/>
      <c r="V258" s="30">
        <f>IF(OR($A258="",$U258=""),"",IF($S258&lt;&gt;"",MAX(0,$S258-$U258),MAX(0,TODAY()-$U258)))</f>
        <v/>
      </c>
      <c r="W258" s="30">
        <f>IF($A258="","",IF(OR($N258="Live",$N258="Retired"),"",TODAY()-MAX($O258,$P258,$Q258,$R258)))</f>
        <v/>
      </c>
      <c r="X258" s="23" t="n"/>
      <c r="Y258" s="30">
        <f>IF($A258="","",COUNTIFS('Issues Log'!$C$5:$C$504,$A258,'Issues Log'!$K$5:$K$504,"Open")+COUNTIFS('Issues Log'!$C$5:$C$504,$A258,'Issues Log'!$K$5:$K$504,"In progress"))</f>
        <v/>
      </c>
      <c r="Z258" s="27" t="n"/>
    </row>
    <row r="259">
      <c r="A259" s="27" t="n"/>
      <c r="B259" s="27" t="n"/>
      <c r="C259" s="27" t="n"/>
      <c r="D259" s="28">
        <f>IF($C259="","",IFERROR(INDEX('Topic Plan'!$C$5:$C$115,MATCH($C259,'Topic Plan'!$B$5:$B$115,0)),"UNKNOWN TOPIC ID"))</f>
        <v/>
      </c>
      <c r="E259" s="28">
        <f>IF($C259="","",IFERROR(INDEX('Topic Plan'!$D$5:$D$115,MATCH($C259,'Topic Plan'!$B$5:$B$115,0)),""))</f>
        <v/>
      </c>
      <c r="F259" s="28">
        <f>IF($C259="","",IFERROR(INDEX('Topic Plan'!$E$5:$E$115,MATCH($C259,'Topic Plan'!$B$5:$B$115,0)),""))</f>
        <v/>
      </c>
      <c r="G259" s="23" t="n"/>
      <c r="H259" s="27" t="n"/>
      <c r="I259" s="27" t="n"/>
      <c r="J259" s="27" t="n"/>
      <c r="K259" s="27" t="n"/>
      <c r="L259" s="27" t="n"/>
      <c r="M259" s="27" t="n"/>
      <c r="N259" s="23" t="n"/>
      <c r="O259" s="29" t="n"/>
      <c r="P259" s="29" t="n"/>
      <c r="Q259" s="29" t="n"/>
      <c r="R259" s="29" t="n"/>
      <c r="S259" s="29" t="n"/>
      <c r="T259" s="29" t="n"/>
      <c r="U259" s="29" t="n"/>
      <c r="V259" s="30">
        <f>IF(OR($A259="",$U259=""),"",IF($S259&lt;&gt;"",MAX(0,$S259-$U259),MAX(0,TODAY()-$U259)))</f>
        <v/>
      </c>
      <c r="W259" s="30">
        <f>IF($A259="","",IF(OR($N259="Live",$N259="Retired"),"",TODAY()-MAX($O259,$P259,$Q259,$R259)))</f>
        <v/>
      </c>
      <c r="X259" s="23" t="n"/>
      <c r="Y259" s="30">
        <f>IF($A259="","",COUNTIFS('Issues Log'!$C$5:$C$504,$A259,'Issues Log'!$K$5:$K$504,"Open")+COUNTIFS('Issues Log'!$C$5:$C$504,$A259,'Issues Log'!$K$5:$K$504,"In progress"))</f>
        <v/>
      </c>
      <c r="Z259" s="27" t="n"/>
    </row>
    <row r="260">
      <c r="A260" s="27" t="n"/>
      <c r="B260" s="27" t="n"/>
      <c r="C260" s="27" t="n"/>
      <c r="D260" s="28">
        <f>IF($C260="","",IFERROR(INDEX('Topic Plan'!$C$5:$C$115,MATCH($C260,'Topic Plan'!$B$5:$B$115,0)),"UNKNOWN TOPIC ID"))</f>
        <v/>
      </c>
      <c r="E260" s="28">
        <f>IF($C260="","",IFERROR(INDEX('Topic Plan'!$D$5:$D$115,MATCH($C260,'Topic Plan'!$B$5:$B$115,0)),""))</f>
        <v/>
      </c>
      <c r="F260" s="28">
        <f>IF($C260="","",IFERROR(INDEX('Topic Plan'!$E$5:$E$115,MATCH($C260,'Topic Plan'!$B$5:$B$115,0)),""))</f>
        <v/>
      </c>
      <c r="G260" s="23" t="n"/>
      <c r="H260" s="27" t="n"/>
      <c r="I260" s="27" t="n"/>
      <c r="J260" s="27" t="n"/>
      <c r="K260" s="27" t="n"/>
      <c r="L260" s="27" t="n"/>
      <c r="M260" s="27" t="n"/>
      <c r="N260" s="23" t="n"/>
      <c r="O260" s="29" t="n"/>
      <c r="P260" s="29" t="n"/>
      <c r="Q260" s="29" t="n"/>
      <c r="R260" s="29" t="n"/>
      <c r="S260" s="29" t="n"/>
      <c r="T260" s="29" t="n"/>
      <c r="U260" s="29" t="n"/>
      <c r="V260" s="30">
        <f>IF(OR($A260="",$U260=""),"",IF($S260&lt;&gt;"",MAX(0,$S260-$U260),MAX(0,TODAY()-$U260)))</f>
        <v/>
      </c>
      <c r="W260" s="30">
        <f>IF($A260="","",IF(OR($N260="Live",$N260="Retired"),"",TODAY()-MAX($O260,$P260,$Q260,$R260)))</f>
        <v/>
      </c>
      <c r="X260" s="23" t="n"/>
      <c r="Y260" s="30">
        <f>IF($A260="","",COUNTIFS('Issues Log'!$C$5:$C$504,$A260,'Issues Log'!$K$5:$K$504,"Open")+COUNTIFS('Issues Log'!$C$5:$C$504,$A260,'Issues Log'!$K$5:$K$504,"In progress"))</f>
        <v/>
      </c>
      <c r="Z260" s="27" t="n"/>
    </row>
    <row r="261">
      <c r="A261" s="27" t="n"/>
      <c r="B261" s="27" t="n"/>
      <c r="C261" s="27" t="n"/>
      <c r="D261" s="28">
        <f>IF($C261="","",IFERROR(INDEX('Topic Plan'!$C$5:$C$115,MATCH($C261,'Topic Plan'!$B$5:$B$115,0)),"UNKNOWN TOPIC ID"))</f>
        <v/>
      </c>
      <c r="E261" s="28">
        <f>IF($C261="","",IFERROR(INDEX('Topic Plan'!$D$5:$D$115,MATCH($C261,'Topic Plan'!$B$5:$B$115,0)),""))</f>
        <v/>
      </c>
      <c r="F261" s="28">
        <f>IF($C261="","",IFERROR(INDEX('Topic Plan'!$E$5:$E$115,MATCH($C261,'Topic Plan'!$B$5:$B$115,0)),""))</f>
        <v/>
      </c>
      <c r="G261" s="23" t="n"/>
      <c r="H261" s="27" t="n"/>
      <c r="I261" s="27" t="n"/>
      <c r="J261" s="27" t="n"/>
      <c r="K261" s="27" t="n"/>
      <c r="L261" s="27" t="n"/>
      <c r="M261" s="27" t="n"/>
      <c r="N261" s="23" t="n"/>
      <c r="O261" s="29" t="n"/>
      <c r="P261" s="29" t="n"/>
      <c r="Q261" s="29" t="n"/>
      <c r="R261" s="29" t="n"/>
      <c r="S261" s="29" t="n"/>
      <c r="T261" s="29" t="n"/>
      <c r="U261" s="29" t="n"/>
      <c r="V261" s="30">
        <f>IF(OR($A261="",$U261=""),"",IF($S261&lt;&gt;"",MAX(0,$S261-$U261),MAX(0,TODAY()-$U261)))</f>
        <v/>
      </c>
      <c r="W261" s="30">
        <f>IF($A261="","",IF(OR($N261="Live",$N261="Retired"),"",TODAY()-MAX($O261,$P261,$Q261,$R261)))</f>
        <v/>
      </c>
      <c r="X261" s="23" t="n"/>
      <c r="Y261" s="30">
        <f>IF($A261="","",COUNTIFS('Issues Log'!$C$5:$C$504,$A261,'Issues Log'!$K$5:$K$504,"Open")+COUNTIFS('Issues Log'!$C$5:$C$504,$A261,'Issues Log'!$K$5:$K$504,"In progress"))</f>
        <v/>
      </c>
      <c r="Z261" s="27" t="n"/>
    </row>
    <row r="262">
      <c r="A262" s="27" t="n"/>
      <c r="B262" s="27" t="n"/>
      <c r="C262" s="27" t="n"/>
      <c r="D262" s="28">
        <f>IF($C262="","",IFERROR(INDEX('Topic Plan'!$C$5:$C$115,MATCH($C262,'Topic Plan'!$B$5:$B$115,0)),"UNKNOWN TOPIC ID"))</f>
        <v/>
      </c>
      <c r="E262" s="28">
        <f>IF($C262="","",IFERROR(INDEX('Topic Plan'!$D$5:$D$115,MATCH($C262,'Topic Plan'!$B$5:$B$115,0)),""))</f>
        <v/>
      </c>
      <c r="F262" s="28">
        <f>IF($C262="","",IFERROR(INDEX('Topic Plan'!$E$5:$E$115,MATCH($C262,'Topic Plan'!$B$5:$B$115,0)),""))</f>
        <v/>
      </c>
      <c r="G262" s="23" t="n"/>
      <c r="H262" s="27" t="n"/>
      <c r="I262" s="27" t="n"/>
      <c r="J262" s="27" t="n"/>
      <c r="K262" s="27" t="n"/>
      <c r="L262" s="27" t="n"/>
      <c r="M262" s="27" t="n"/>
      <c r="N262" s="23" t="n"/>
      <c r="O262" s="29" t="n"/>
      <c r="P262" s="29" t="n"/>
      <c r="Q262" s="29" t="n"/>
      <c r="R262" s="29" t="n"/>
      <c r="S262" s="29" t="n"/>
      <c r="T262" s="29" t="n"/>
      <c r="U262" s="29" t="n"/>
      <c r="V262" s="30">
        <f>IF(OR($A262="",$U262=""),"",IF($S262&lt;&gt;"",MAX(0,$S262-$U262),MAX(0,TODAY()-$U262)))</f>
        <v/>
      </c>
      <c r="W262" s="30">
        <f>IF($A262="","",IF(OR($N262="Live",$N262="Retired"),"",TODAY()-MAX($O262,$P262,$Q262,$R262)))</f>
        <v/>
      </c>
      <c r="X262" s="23" t="n"/>
      <c r="Y262" s="30">
        <f>IF($A262="","",COUNTIFS('Issues Log'!$C$5:$C$504,$A262,'Issues Log'!$K$5:$K$504,"Open")+COUNTIFS('Issues Log'!$C$5:$C$504,$A262,'Issues Log'!$K$5:$K$504,"In progress"))</f>
        <v/>
      </c>
      <c r="Z262" s="27" t="n"/>
    </row>
    <row r="263">
      <c r="A263" s="27" t="n"/>
      <c r="B263" s="27" t="n"/>
      <c r="C263" s="27" t="n"/>
      <c r="D263" s="28">
        <f>IF($C263="","",IFERROR(INDEX('Topic Plan'!$C$5:$C$115,MATCH($C263,'Topic Plan'!$B$5:$B$115,0)),"UNKNOWN TOPIC ID"))</f>
        <v/>
      </c>
      <c r="E263" s="28">
        <f>IF($C263="","",IFERROR(INDEX('Topic Plan'!$D$5:$D$115,MATCH($C263,'Topic Plan'!$B$5:$B$115,0)),""))</f>
        <v/>
      </c>
      <c r="F263" s="28">
        <f>IF($C263="","",IFERROR(INDEX('Topic Plan'!$E$5:$E$115,MATCH($C263,'Topic Plan'!$B$5:$B$115,0)),""))</f>
        <v/>
      </c>
      <c r="G263" s="23" t="n"/>
      <c r="H263" s="27" t="n"/>
      <c r="I263" s="27" t="n"/>
      <c r="J263" s="27" t="n"/>
      <c r="K263" s="27" t="n"/>
      <c r="L263" s="27" t="n"/>
      <c r="M263" s="27" t="n"/>
      <c r="N263" s="23" t="n"/>
      <c r="O263" s="29" t="n"/>
      <c r="P263" s="29" t="n"/>
      <c r="Q263" s="29" t="n"/>
      <c r="R263" s="29" t="n"/>
      <c r="S263" s="29" t="n"/>
      <c r="T263" s="29" t="n"/>
      <c r="U263" s="29" t="n"/>
      <c r="V263" s="30">
        <f>IF(OR($A263="",$U263=""),"",IF($S263&lt;&gt;"",MAX(0,$S263-$U263),MAX(0,TODAY()-$U263)))</f>
        <v/>
      </c>
      <c r="W263" s="30">
        <f>IF($A263="","",IF(OR($N263="Live",$N263="Retired"),"",TODAY()-MAX($O263,$P263,$Q263,$R263)))</f>
        <v/>
      </c>
      <c r="X263" s="23" t="n"/>
      <c r="Y263" s="30">
        <f>IF($A263="","",COUNTIFS('Issues Log'!$C$5:$C$504,$A263,'Issues Log'!$K$5:$K$504,"Open")+COUNTIFS('Issues Log'!$C$5:$C$504,$A263,'Issues Log'!$K$5:$K$504,"In progress"))</f>
        <v/>
      </c>
      <c r="Z263" s="27" t="n"/>
    </row>
    <row r="264">
      <c r="A264" s="27" t="n"/>
      <c r="B264" s="27" t="n"/>
      <c r="C264" s="27" t="n"/>
      <c r="D264" s="28">
        <f>IF($C264="","",IFERROR(INDEX('Topic Plan'!$C$5:$C$115,MATCH($C264,'Topic Plan'!$B$5:$B$115,0)),"UNKNOWN TOPIC ID"))</f>
        <v/>
      </c>
      <c r="E264" s="28">
        <f>IF($C264="","",IFERROR(INDEX('Topic Plan'!$D$5:$D$115,MATCH($C264,'Topic Plan'!$B$5:$B$115,0)),""))</f>
        <v/>
      </c>
      <c r="F264" s="28">
        <f>IF($C264="","",IFERROR(INDEX('Topic Plan'!$E$5:$E$115,MATCH($C264,'Topic Plan'!$B$5:$B$115,0)),""))</f>
        <v/>
      </c>
      <c r="G264" s="23" t="n"/>
      <c r="H264" s="27" t="n"/>
      <c r="I264" s="27" t="n"/>
      <c r="J264" s="27" t="n"/>
      <c r="K264" s="27" t="n"/>
      <c r="L264" s="27" t="n"/>
      <c r="M264" s="27" t="n"/>
      <c r="N264" s="23" t="n"/>
      <c r="O264" s="29" t="n"/>
      <c r="P264" s="29" t="n"/>
      <c r="Q264" s="29" t="n"/>
      <c r="R264" s="29" t="n"/>
      <c r="S264" s="29" t="n"/>
      <c r="T264" s="29" t="n"/>
      <c r="U264" s="29" t="n"/>
      <c r="V264" s="30">
        <f>IF(OR($A264="",$U264=""),"",IF($S264&lt;&gt;"",MAX(0,$S264-$U264),MAX(0,TODAY()-$U264)))</f>
        <v/>
      </c>
      <c r="W264" s="30">
        <f>IF($A264="","",IF(OR($N264="Live",$N264="Retired"),"",TODAY()-MAX($O264,$P264,$Q264,$R264)))</f>
        <v/>
      </c>
      <c r="X264" s="23" t="n"/>
      <c r="Y264" s="30">
        <f>IF($A264="","",COUNTIFS('Issues Log'!$C$5:$C$504,$A264,'Issues Log'!$K$5:$K$504,"Open")+COUNTIFS('Issues Log'!$C$5:$C$504,$A264,'Issues Log'!$K$5:$K$504,"In progress"))</f>
        <v/>
      </c>
      <c r="Z264" s="27" t="n"/>
    </row>
    <row r="265">
      <c r="A265" s="27" t="n"/>
      <c r="B265" s="27" t="n"/>
      <c r="C265" s="27" t="n"/>
      <c r="D265" s="28">
        <f>IF($C265="","",IFERROR(INDEX('Topic Plan'!$C$5:$C$115,MATCH($C265,'Topic Plan'!$B$5:$B$115,0)),"UNKNOWN TOPIC ID"))</f>
        <v/>
      </c>
      <c r="E265" s="28">
        <f>IF($C265="","",IFERROR(INDEX('Topic Plan'!$D$5:$D$115,MATCH($C265,'Topic Plan'!$B$5:$B$115,0)),""))</f>
        <v/>
      </c>
      <c r="F265" s="28">
        <f>IF($C265="","",IFERROR(INDEX('Topic Plan'!$E$5:$E$115,MATCH($C265,'Topic Plan'!$B$5:$B$115,0)),""))</f>
        <v/>
      </c>
      <c r="G265" s="23" t="n"/>
      <c r="H265" s="27" t="n"/>
      <c r="I265" s="27" t="n"/>
      <c r="J265" s="27" t="n"/>
      <c r="K265" s="27" t="n"/>
      <c r="L265" s="27" t="n"/>
      <c r="M265" s="27" t="n"/>
      <c r="N265" s="23" t="n"/>
      <c r="O265" s="29" t="n"/>
      <c r="P265" s="29" t="n"/>
      <c r="Q265" s="29" t="n"/>
      <c r="R265" s="29" t="n"/>
      <c r="S265" s="29" t="n"/>
      <c r="T265" s="29" t="n"/>
      <c r="U265" s="29" t="n"/>
      <c r="V265" s="30">
        <f>IF(OR($A265="",$U265=""),"",IF($S265&lt;&gt;"",MAX(0,$S265-$U265),MAX(0,TODAY()-$U265)))</f>
        <v/>
      </c>
      <c r="W265" s="30">
        <f>IF($A265="","",IF(OR($N265="Live",$N265="Retired"),"",TODAY()-MAX($O265,$P265,$Q265,$R265)))</f>
        <v/>
      </c>
      <c r="X265" s="23" t="n"/>
      <c r="Y265" s="30">
        <f>IF($A265="","",COUNTIFS('Issues Log'!$C$5:$C$504,$A265,'Issues Log'!$K$5:$K$504,"Open")+COUNTIFS('Issues Log'!$C$5:$C$504,$A265,'Issues Log'!$K$5:$K$504,"In progress"))</f>
        <v/>
      </c>
      <c r="Z265" s="27" t="n"/>
    </row>
    <row r="266">
      <c r="A266" s="27" t="n"/>
      <c r="B266" s="27" t="n"/>
      <c r="C266" s="27" t="n"/>
      <c r="D266" s="28">
        <f>IF($C266="","",IFERROR(INDEX('Topic Plan'!$C$5:$C$115,MATCH($C266,'Topic Plan'!$B$5:$B$115,0)),"UNKNOWN TOPIC ID"))</f>
        <v/>
      </c>
      <c r="E266" s="28">
        <f>IF($C266="","",IFERROR(INDEX('Topic Plan'!$D$5:$D$115,MATCH($C266,'Topic Plan'!$B$5:$B$115,0)),""))</f>
        <v/>
      </c>
      <c r="F266" s="28">
        <f>IF($C266="","",IFERROR(INDEX('Topic Plan'!$E$5:$E$115,MATCH($C266,'Topic Plan'!$B$5:$B$115,0)),""))</f>
        <v/>
      </c>
      <c r="G266" s="23" t="n"/>
      <c r="H266" s="27" t="n"/>
      <c r="I266" s="27" t="n"/>
      <c r="J266" s="27" t="n"/>
      <c r="K266" s="27" t="n"/>
      <c r="L266" s="27" t="n"/>
      <c r="M266" s="27" t="n"/>
      <c r="N266" s="23" t="n"/>
      <c r="O266" s="29" t="n"/>
      <c r="P266" s="29" t="n"/>
      <c r="Q266" s="29" t="n"/>
      <c r="R266" s="29" t="n"/>
      <c r="S266" s="29" t="n"/>
      <c r="T266" s="29" t="n"/>
      <c r="U266" s="29" t="n"/>
      <c r="V266" s="30">
        <f>IF(OR($A266="",$U266=""),"",IF($S266&lt;&gt;"",MAX(0,$S266-$U266),MAX(0,TODAY()-$U266)))</f>
        <v/>
      </c>
      <c r="W266" s="30">
        <f>IF($A266="","",IF(OR($N266="Live",$N266="Retired"),"",TODAY()-MAX($O266,$P266,$Q266,$R266)))</f>
        <v/>
      </c>
      <c r="X266" s="23" t="n"/>
      <c r="Y266" s="30">
        <f>IF($A266="","",COUNTIFS('Issues Log'!$C$5:$C$504,$A266,'Issues Log'!$K$5:$K$504,"Open")+COUNTIFS('Issues Log'!$C$5:$C$504,$A266,'Issues Log'!$K$5:$K$504,"In progress"))</f>
        <v/>
      </c>
      <c r="Z266" s="27" t="n"/>
    </row>
    <row r="267">
      <c r="A267" s="27" t="n"/>
      <c r="B267" s="27" t="n"/>
      <c r="C267" s="27" t="n"/>
      <c r="D267" s="28">
        <f>IF($C267="","",IFERROR(INDEX('Topic Plan'!$C$5:$C$115,MATCH($C267,'Topic Plan'!$B$5:$B$115,0)),"UNKNOWN TOPIC ID"))</f>
        <v/>
      </c>
      <c r="E267" s="28">
        <f>IF($C267="","",IFERROR(INDEX('Topic Plan'!$D$5:$D$115,MATCH($C267,'Topic Plan'!$B$5:$B$115,0)),""))</f>
        <v/>
      </c>
      <c r="F267" s="28">
        <f>IF($C267="","",IFERROR(INDEX('Topic Plan'!$E$5:$E$115,MATCH($C267,'Topic Plan'!$B$5:$B$115,0)),""))</f>
        <v/>
      </c>
      <c r="G267" s="23" t="n"/>
      <c r="H267" s="27" t="n"/>
      <c r="I267" s="27" t="n"/>
      <c r="J267" s="27" t="n"/>
      <c r="K267" s="27" t="n"/>
      <c r="L267" s="27" t="n"/>
      <c r="M267" s="27" t="n"/>
      <c r="N267" s="23" t="n"/>
      <c r="O267" s="29" t="n"/>
      <c r="P267" s="29" t="n"/>
      <c r="Q267" s="29" t="n"/>
      <c r="R267" s="29" t="n"/>
      <c r="S267" s="29" t="n"/>
      <c r="T267" s="29" t="n"/>
      <c r="U267" s="29" t="n"/>
      <c r="V267" s="30">
        <f>IF(OR($A267="",$U267=""),"",IF($S267&lt;&gt;"",MAX(0,$S267-$U267),MAX(0,TODAY()-$U267)))</f>
        <v/>
      </c>
      <c r="W267" s="30">
        <f>IF($A267="","",IF(OR($N267="Live",$N267="Retired"),"",TODAY()-MAX($O267,$P267,$Q267,$R267)))</f>
        <v/>
      </c>
      <c r="X267" s="23" t="n"/>
      <c r="Y267" s="30">
        <f>IF($A267="","",COUNTIFS('Issues Log'!$C$5:$C$504,$A267,'Issues Log'!$K$5:$K$504,"Open")+COUNTIFS('Issues Log'!$C$5:$C$504,$A267,'Issues Log'!$K$5:$K$504,"In progress"))</f>
        <v/>
      </c>
      <c r="Z267" s="27" t="n"/>
    </row>
    <row r="268">
      <c r="A268" s="27" t="n"/>
      <c r="B268" s="27" t="n"/>
      <c r="C268" s="27" t="n"/>
      <c r="D268" s="28">
        <f>IF($C268="","",IFERROR(INDEX('Topic Plan'!$C$5:$C$115,MATCH($C268,'Topic Plan'!$B$5:$B$115,0)),"UNKNOWN TOPIC ID"))</f>
        <v/>
      </c>
      <c r="E268" s="28">
        <f>IF($C268="","",IFERROR(INDEX('Topic Plan'!$D$5:$D$115,MATCH($C268,'Topic Plan'!$B$5:$B$115,0)),""))</f>
        <v/>
      </c>
      <c r="F268" s="28">
        <f>IF($C268="","",IFERROR(INDEX('Topic Plan'!$E$5:$E$115,MATCH($C268,'Topic Plan'!$B$5:$B$115,0)),""))</f>
        <v/>
      </c>
      <c r="G268" s="23" t="n"/>
      <c r="H268" s="27" t="n"/>
      <c r="I268" s="27" t="n"/>
      <c r="J268" s="27" t="n"/>
      <c r="K268" s="27" t="n"/>
      <c r="L268" s="27" t="n"/>
      <c r="M268" s="27" t="n"/>
      <c r="N268" s="23" t="n"/>
      <c r="O268" s="29" t="n"/>
      <c r="P268" s="29" t="n"/>
      <c r="Q268" s="29" t="n"/>
      <c r="R268" s="29" t="n"/>
      <c r="S268" s="29" t="n"/>
      <c r="T268" s="29" t="n"/>
      <c r="U268" s="29" t="n"/>
      <c r="V268" s="30">
        <f>IF(OR($A268="",$U268=""),"",IF($S268&lt;&gt;"",MAX(0,$S268-$U268),MAX(0,TODAY()-$U268)))</f>
        <v/>
      </c>
      <c r="W268" s="30">
        <f>IF($A268="","",IF(OR($N268="Live",$N268="Retired"),"",TODAY()-MAX($O268,$P268,$Q268,$R268)))</f>
        <v/>
      </c>
      <c r="X268" s="23" t="n"/>
      <c r="Y268" s="30">
        <f>IF($A268="","",COUNTIFS('Issues Log'!$C$5:$C$504,$A268,'Issues Log'!$K$5:$K$504,"Open")+COUNTIFS('Issues Log'!$C$5:$C$504,$A268,'Issues Log'!$K$5:$K$504,"In progress"))</f>
        <v/>
      </c>
      <c r="Z268" s="27" t="n"/>
    </row>
    <row r="269">
      <c r="A269" s="27" t="n"/>
      <c r="B269" s="27" t="n"/>
      <c r="C269" s="27" t="n"/>
      <c r="D269" s="28">
        <f>IF($C269="","",IFERROR(INDEX('Topic Plan'!$C$5:$C$115,MATCH($C269,'Topic Plan'!$B$5:$B$115,0)),"UNKNOWN TOPIC ID"))</f>
        <v/>
      </c>
      <c r="E269" s="28">
        <f>IF($C269="","",IFERROR(INDEX('Topic Plan'!$D$5:$D$115,MATCH($C269,'Topic Plan'!$B$5:$B$115,0)),""))</f>
        <v/>
      </c>
      <c r="F269" s="28">
        <f>IF($C269="","",IFERROR(INDEX('Topic Plan'!$E$5:$E$115,MATCH($C269,'Topic Plan'!$B$5:$B$115,0)),""))</f>
        <v/>
      </c>
      <c r="G269" s="23" t="n"/>
      <c r="H269" s="27" t="n"/>
      <c r="I269" s="27" t="n"/>
      <c r="J269" s="27" t="n"/>
      <c r="K269" s="27" t="n"/>
      <c r="L269" s="27" t="n"/>
      <c r="M269" s="27" t="n"/>
      <c r="N269" s="23" t="n"/>
      <c r="O269" s="29" t="n"/>
      <c r="P269" s="29" t="n"/>
      <c r="Q269" s="29" t="n"/>
      <c r="R269" s="29" t="n"/>
      <c r="S269" s="29" t="n"/>
      <c r="T269" s="29" t="n"/>
      <c r="U269" s="29" t="n"/>
      <c r="V269" s="30">
        <f>IF(OR($A269="",$U269=""),"",IF($S269&lt;&gt;"",MAX(0,$S269-$U269),MAX(0,TODAY()-$U269)))</f>
        <v/>
      </c>
      <c r="W269" s="30">
        <f>IF($A269="","",IF(OR($N269="Live",$N269="Retired"),"",TODAY()-MAX($O269,$P269,$Q269,$R269)))</f>
        <v/>
      </c>
      <c r="X269" s="23" t="n"/>
      <c r="Y269" s="30">
        <f>IF($A269="","",COUNTIFS('Issues Log'!$C$5:$C$504,$A269,'Issues Log'!$K$5:$K$504,"Open")+COUNTIFS('Issues Log'!$C$5:$C$504,$A269,'Issues Log'!$K$5:$K$504,"In progress"))</f>
        <v/>
      </c>
      <c r="Z269" s="27" t="n"/>
    </row>
    <row r="270">
      <c r="A270" s="27" t="n"/>
      <c r="B270" s="27" t="n"/>
      <c r="C270" s="27" t="n"/>
      <c r="D270" s="28">
        <f>IF($C270="","",IFERROR(INDEX('Topic Plan'!$C$5:$C$115,MATCH($C270,'Topic Plan'!$B$5:$B$115,0)),"UNKNOWN TOPIC ID"))</f>
        <v/>
      </c>
      <c r="E270" s="28">
        <f>IF($C270="","",IFERROR(INDEX('Topic Plan'!$D$5:$D$115,MATCH($C270,'Topic Plan'!$B$5:$B$115,0)),""))</f>
        <v/>
      </c>
      <c r="F270" s="28">
        <f>IF($C270="","",IFERROR(INDEX('Topic Plan'!$E$5:$E$115,MATCH($C270,'Topic Plan'!$B$5:$B$115,0)),""))</f>
        <v/>
      </c>
      <c r="G270" s="23" t="n"/>
      <c r="H270" s="27" t="n"/>
      <c r="I270" s="27" t="n"/>
      <c r="J270" s="27" t="n"/>
      <c r="K270" s="27" t="n"/>
      <c r="L270" s="27" t="n"/>
      <c r="M270" s="27" t="n"/>
      <c r="N270" s="23" t="n"/>
      <c r="O270" s="29" t="n"/>
      <c r="P270" s="29" t="n"/>
      <c r="Q270" s="29" t="n"/>
      <c r="R270" s="29" t="n"/>
      <c r="S270" s="29" t="n"/>
      <c r="T270" s="29" t="n"/>
      <c r="U270" s="29" t="n"/>
      <c r="V270" s="30">
        <f>IF(OR($A270="",$U270=""),"",IF($S270&lt;&gt;"",MAX(0,$S270-$U270),MAX(0,TODAY()-$U270)))</f>
        <v/>
      </c>
      <c r="W270" s="30">
        <f>IF($A270="","",IF(OR($N270="Live",$N270="Retired"),"",TODAY()-MAX($O270,$P270,$Q270,$R270)))</f>
        <v/>
      </c>
      <c r="X270" s="23" t="n"/>
      <c r="Y270" s="30">
        <f>IF($A270="","",COUNTIFS('Issues Log'!$C$5:$C$504,$A270,'Issues Log'!$K$5:$K$504,"Open")+COUNTIFS('Issues Log'!$C$5:$C$504,$A270,'Issues Log'!$K$5:$K$504,"In progress"))</f>
        <v/>
      </c>
      <c r="Z270" s="27" t="n"/>
    </row>
    <row r="271">
      <c r="A271" s="27" t="n"/>
      <c r="B271" s="27" t="n"/>
      <c r="C271" s="27" t="n"/>
      <c r="D271" s="28">
        <f>IF($C271="","",IFERROR(INDEX('Topic Plan'!$C$5:$C$115,MATCH($C271,'Topic Plan'!$B$5:$B$115,0)),"UNKNOWN TOPIC ID"))</f>
        <v/>
      </c>
      <c r="E271" s="28">
        <f>IF($C271="","",IFERROR(INDEX('Topic Plan'!$D$5:$D$115,MATCH($C271,'Topic Plan'!$B$5:$B$115,0)),""))</f>
        <v/>
      </c>
      <c r="F271" s="28">
        <f>IF($C271="","",IFERROR(INDEX('Topic Plan'!$E$5:$E$115,MATCH($C271,'Topic Plan'!$B$5:$B$115,0)),""))</f>
        <v/>
      </c>
      <c r="G271" s="23" t="n"/>
      <c r="H271" s="27" t="n"/>
      <c r="I271" s="27" t="n"/>
      <c r="J271" s="27" t="n"/>
      <c r="K271" s="27" t="n"/>
      <c r="L271" s="27" t="n"/>
      <c r="M271" s="27" t="n"/>
      <c r="N271" s="23" t="n"/>
      <c r="O271" s="29" t="n"/>
      <c r="P271" s="29" t="n"/>
      <c r="Q271" s="29" t="n"/>
      <c r="R271" s="29" t="n"/>
      <c r="S271" s="29" t="n"/>
      <c r="T271" s="29" t="n"/>
      <c r="U271" s="29" t="n"/>
      <c r="V271" s="30">
        <f>IF(OR($A271="",$U271=""),"",IF($S271&lt;&gt;"",MAX(0,$S271-$U271),MAX(0,TODAY()-$U271)))</f>
        <v/>
      </c>
      <c r="W271" s="30">
        <f>IF($A271="","",IF(OR($N271="Live",$N271="Retired"),"",TODAY()-MAX($O271,$P271,$Q271,$R271)))</f>
        <v/>
      </c>
      <c r="X271" s="23" t="n"/>
      <c r="Y271" s="30">
        <f>IF($A271="","",COUNTIFS('Issues Log'!$C$5:$C$504,$A271,'Issues Log'!$K$5:$K$504,"Open")+COUNTIFS('Issues Log'!$C$5:$C$504,$A271,'Issues Log'!$K$5:$K$504,"In progress"))</f>
        <v/>
      </c>
      <c r="Z271" s="27" t="n"/>
    </row>
    <row r="272">
      <c r="A272" s="27" t="n"/>
      <c r="B272" s="27" t="n"/>
      <c r="C272" s="27" t="n"/>
      <c r="D272" s="28">
        <f>IF($C272="","",IFERROR(INDEX('Topic Plan'!$C$5:$C$115,MATCH($C272,'Topic Plan'!$B$5:$B$115,0)),"UNKNOWN TOPIC ID"))</f>
        <v/>
      </c>
      <c r="E272" s="28">
        <f>IF($C272="","",IFERROR(INDEX('Topic Plan'!$D$5:$D$115,MATCH($C272,'Topic Plan'!$B$5:$B$115,0)),""))</f>
        <v/>
      </c>
      <c r="F272" s="28">
        <f>IF($C272="","",IFERROR(INDEX('Topic Plan'!$E$5:$E$115,MATCH($C272,'Topic Plan'!$B$5:$B$115,0)),""))</f>
        <v/>
      </c>
      <c r="G272" s="23" t="n"/>
      <c r="H272" s="27" t="n"/>
      <c r="I272" s="27" t="n"/>
      <c r="J272" s="27" t="n"/>
      <c r="K272" s="27" t="n"/>
      <c r="L272" s="27" t="n"/>
      <c r="M272" s="27" t="n"/>
      <c r="N272" s="23" t="n"/>
      <c r="O272" s="29" t="n"/>
      <c r="P272" s="29" t="n"/>
      <c r="Q272" s="29" t="n"/>
      <c r="R272" s="29" t="n"/>
      <c r="S272" s="29" t="n"/>
      <c r="T272" s="29" t="n"/>
      <c r="U272" s="29" t="n"/>
      <c r="V272" s="30">
        <f>IF(OR($A272="",$U272=""),"",IF($S272&lt;&gt;"",MAX(0,$S272-$U272),MAX(0,TODAY()-$U272)))</f>
        <v/>
      </c>
      <c r="W272" s="30">
        <f>IF($A272="","",IF(OR($N272="Live",$N272="Retired"),"",TODAY()-MAX($O272,$P272,$Q272,$R272)))</f>
        <v/>
      </c>
      <c r="X272" s="23" t="n"/>
      <c r="Y272" s="30">
        <f>IF($A272="","",COUNTIFS('Issues Log'!$C$5:$C$504,$A272,'Issues Log'!$K$5:$K$504,"Open")+COUNTIFS('Issues Log'!$C$5:$C$504,$A272,'Issues Log'!$K$5:$K$504,"In progress"))</f>
        <v/>
      </c>
      <c r="Z272" s="27" t="n"/>
    </row>
    <row r="273">
      <c r="A273" s="27" t="n"/>
      <c r="B273" s="27" t="n"/>
      <c r="C273" s="27" t="n"/>
      <c r="D273" s="28">
        <f>IF($C273="","",IFERROR(INDEX('Topic Plan'!$C$5:$C$115,MATCH($C273,'Topic Plan'!$B$5:$B$115,0)),"UNKNOWN TOPIC ID"))</f>
        <v/>
      </c>
      <c r="E273" s="28">
        <f>IF($C273="","",IFERROR(INDEX('Topic Plan'!$D$5:$D$115,MATCH($C273,'Topic Plan'!$B$5:$B$115,0)),""))</f>
        <v/>
      </c>
      <c r="F273" s="28">
        <f>IF($C273="","",IFERROR(INDEX('Topic Plan'!$E$5:$E$115,MATCH($C273,'Topic Plan'!$B$5:$B$115,0)),""))</f>
        <v/>
      </c>
      <c r="G273" s="23" t="n"/>
      <c r="H273" s="27" t="n"/>
      <c r="I273" s="27" t="n"/>
      <c r="J273" s="27" t="n"/>
      <c r="K273" s="27" t="n"/>
      <c r="L273" s="27" t="n"/>
      <c r="M273" s="27" t="n"/>
      <c r="N273" s="23" t="n"/>
      <c r="O273" s="29" t="n"/>
      <c r="P273" s="29" t="n"/>
      <c r="Q273" s="29" t="n"/>
      <c r="R273" s="29" t="n"/>
      <c r="S273" s="29" t="n"/>
      <c r="T273" s="29" t="n"/>
      <c r="U273" s="29" t="n"/>
      <c r="V273" s="30">
        <f>IF(OR($A273="",$U273=""),"",IF($S273&lt;&gt;"",MAX(0,$S273-$U273),MAX(0,TODAY()-$U273)))</f>
        <v/>
      </c>
      <c r="W273" s="30">
        <f>IF($A273="","",IF(OR($N273="Live",$N273="Retired"),"",TODAY()-MAX($O273,$P273,$Q273,$R273)))</f>
        <v/>
      </c>
      <c r="X273" s="23" t="n"/>
      <c r="Y273" s="30">
        <f>IF($A273="","",COUNTIFS('Issues Log'!$C$5:$C$504,$A273,'Issues Log'!$K$5:$K$504,"Open")+COUNTIFS('Issues Log'!$C$5:$C$504,$A273,'Issues Log'!$K$5:$K$504,"In progress"))</f>
        <v/>
      </c>
      <c r="Z273" s="27" t="n"/>
    </row>
    <row r="274">
      <c r="A274" s="27" t="n"/>
      <c r="B274" s="27" t="n"/>
      <c r="C274" s="27" t="n"/>
      <c r="D274" s="28">
        <f>IF($C274="","",IFERROR(INDEX('Topic Plan'!$C$5:$C$115,MATCH($C274,'Topic Plan'!$B$5:$B$115,0)),"UNKNOWN TOPIC ID"))</f>
        <v/>
      </c>
      <c r="E274" s="28">
        <f>IF($C274="","",IFERROR(INDEX('Topic Plan'!$D$5:$D$115,MATCH($C274,'Topic Plan'!$B$5:$B$115,0)),""))</f>
        <v/>
      </c>
      <c r="F274" s="28">
        <f>IF($C274="","",IFERROR(INDEX('Topic Plan'!$E$5:$E$115,MATCH($C274,'Topic Plan'!$B$5:$B$115,0)),""))</f>
        <v/>
      </c>
      <c r="G274" s="23" t="n"/>
      <c r="H274" s="27" t="n"/>
      <c r="I274" s="27" t="n"/>
      <c r="J274" s="27" t="n"/>
      <c r="K274" s="27" t="n"/>
      <c r="L274" s="27" t="n"/>
      <c r="M274" s="27" t="n"/>
      <c r="N274" s="23" t="n"/>
      <c r="O274" s="29" t="n"/>
      <c r="P274" s="29" t="n"/>
      <c r="Q274" s="29" t="n"/>
      <c r="R274" s="29" t="n"/>
      <c r="S274" s="29" t="n"/>
      <c r="T274" s="29" t="n"/>
      <c r="U274" s="29" t="n"/>
      <c r="V274" s="30">
        <f>IF(OR($A274="",$U274=""),"",IF($S274&lt;&gt;"",MAX(0,$S274-$U274),MAX(0,TODAY()-$U274)))</f>
        <v/>
      </c>
      <c r="W274" s="30">
        <f>IF($A274="","",IF(OR($N274="Live",$N274="Retired"),"",TODAY()-MAX($O274,$P274,$Q274,$R274)))</f>
        <v/>
      </c>
      <c r="X274" s="23" t="n"/>
      <c r="Y274" s="30">
        <f>IF($A274="","",COUNTIFS('Issues Log'!$C$5:$C$504,$A274,'Issues Log'!$K$5:$K$504,"Open")+COUNTIFS('Issues Log'!$C$5:$C$504,$A274,'Issues Log'!$K$5:$K$504,"In progress"))</f>
        <v/>
      </c>
      <c r="Z274" s="27" t="n"/>
    </row>
    <row r="275">
      <c r="A275" s="27" t="n"/>
      <c r="B275" s="27" t="n"/>
      <c r="C275" s="27" t="n"/>
      <c r="D275" s="28">
        <f>IF($C275="","",IFERROR(INDEX('Topic Plan'!$C$5:$C$115,MATCH($C275,'Topic Plan'!$B$5:$B$115,0)),"UNKNOWN TOPIC ID"))</f>
        <v/>
      </c>
      <c r="E275" s="28">
        <f>IF($C275="","",IFERROR(INDEX('Topic Plan'!$D$5:$D$115,MATCH($C275,'Topic Plan'!$B$5:$B$115,0)),""))</f>
        <v/>
      </c>
      <c r="F275" s="28">
        <f>IF($C275="","",IFERROR(INDEX('Topic Plan'!$E$5:$E$115,MATCH($C275,'Topic Plan'!$B$5:$B$115,0)),""))</f>
        <v/>
      </c>
      <c r="G275" s="23" t="n"/>
      <c r="H275" s="27" t="n"/>
      <c r="I275" s="27" t="n"/>
      <c r="J275" s="27" t="n"/>
      <c r="K275" s="27" t="n"/>
      <c r="L275" s="27" t="n"/>
      <c r="M275" s="27" t="n"/>
      <c r="N275" s="23" t="n"/>
      <c r="O275" s="29" t="n"/>
      <c r="P275" s="29" t="n"/>
      <c r="Q275" s="29" t="n"/>
      <c r="R275" s="29" t="n"/>
      <c r="S275" s="29" t="n"/>
      <c r="T275" s="29" t="n"/>
      <c r="U275" s="29" t="n"/>
      <c r="V275" s="30">
        <f>IF(OR($A275="",$U275=""),"",IF($S275&lt;&gt;"",MAX(0,$S275-$U275),MAX(0,TODAY()-$U275)))</f>
        <v/>
      </c>
      <c r="W275" s="30">
        <f>IF($A275="","",IF(OR($N275="Live",$N275="Retired"),"",TODAY()-MAX($O275,$P275,$Q275,$R275)))</f>
        <v/>
      </c>
      <c r="X275" s="23" t="n"/>
      <c r="Y275" s="30">
        <f>IF($A275="","",COUNTIFS('Issues Log'!$C$5:$C$504,$A275,'Issues Log'!$K$5:$K$504,"Open")+COUNTIFS('Issues Log'!$C$5:$C$504,$A275,'Issues Log'!$K$5:$K$504,"In progress"))</f>
        <v/>
      </c>
      <c r="Z275" s="27" t="n"/>
    </row>
    <row r="276">
      <c r="A276" s="27" t="n"/>
      <c r="B276" s="27" t="n"/>
      <c r="C276" s="27" t="n"/>
      <c r="D276" s="28">
        <f>IF($C276="","",IFERROR(INDEX('Topic Plan'!$C$5:$C$115,MATCH($C276,'Topic Plan'!$B$5:$B$115,0)),"UNKNOWN TOPIC ID"))</f>
        <v/>
      </c>
      <c r="E276" s="28">
        <f>IF($C276="","",IFERROR(INDEX('Topic Plan'!$D$5:$D$115,MATCH($C276,'Topic Plan'!$B$5:$B$115,0)),""))</f>
        <v/>
      </c>
      <c r="F276" s="28">
        <f>IF($C276="","",IFERROR(INDEX('Topic Plan'!$E$5:$E$115,MATCH($C276,'Topic Plan'!$B$5:$B$115,0)),""))</f>
        <v/>
      </c>
      <c r="G276" s="23" t="n"/>
      <c r="H276" s="27" t="n"/>
      <c r="I276" s="27" t="n"/>
      <c r="J276" s="27" t="n"/>
      <c r="K276" s="27" t="n"/>
      <c r="L276" s="27" t="n"/>
      <c r="M276" s="27" t="n"/>
      <c r="N276" s="23" t="n"/>
      <c r="O276" s="29" t="n"/>
      <c r="P276" s="29" t="n"/>
      <c r="Q276" s="29" t="n"/>
      <c r="R276" s="29" t="n"/>
      <c r="S276" s="29" t="n"/>
      <c r="T276" s="29" t="n"/>
      <c r="U276" s="29" t="n"/>
      <c r="V276" s="30">
        <f>IF(OR($A276="",$U276=""),"",IF($S276&lt;&gt;"",MAX(0,$S276-$U276),MAX(0,TODAY()-$U276)))</f>
        <v/>
      </c>
      <c r="W276" s="30">
        <f>IF($A276="","",IF(OR($N276="Live",$N276="Retired"),"",TODAY()-MAX($O276,$P276,$Q276,$R276)))</f>
        <v/>
      </c>
      <c r="X276" s="23" t="n"/>
      <c r="Y276" s="30">
        <f>IF($A276="","",COUNTIFS('Issues Log'!$C$5:$C$504,$A276,'Issues Log'!$K$5:$K$504,"Open")+COUNTIFS('Issues Log'!$C$5:$C$504,$A276,'Issues Log'!$K$5:$K$504,"In progress"))</f>
        <v/>
      </c>
      <c r="Z276" s="27" t="n"/>
    </row>
    <row r="277">
      <c r="A277" s="27" t="n"/>
      <c r="B277" s="27" t="n"/>
      <c r="C277" s="27" t="n"/>
      <c r="D277" s="28">
        <f>IF($C277="","",IFERROR(INDEX('Topic Plan'!$C$5:$C$115,MATCH($C277,'Topic Plan'!$B$5:$B$115,0)),"UNKNOWN TOPIC ID"))</f>
        <v/>
      </c>
      <c r="E277" s="28">
        <f>IF($C277="","",IFERROR(INDEX('Topic Plan'!$D$5:$D$115,MATCH($C277,'Topic Plan'!$B$5:$B$115,0)),""))</f>
        <v/>
      </c>
      <c r="F277" s="28">
        <f>IF($C277="","",IFERROR(INDEX('Topic Plan'!$E$5:$E$115,MATCH($C277,'Topic Plan'!$B$5:$B$115,0)),""))</f>
        <v/>
      </c>
      <c r="G277" s="23" t="n"/>
      <c r="H277" s="27" t="n"/>
      <c r="I277" s="27" t="n"/>
      <c r="J277" s="27" t="n"/>
      <c r="K277" s="27" t="n"/>
      <c r="L277" s="27" t="n"/>
      <c r="M277" s="27" t="n"/>
      <c r="N277" s="23" t="n"/>
      <c r="O277" s="29" t="n"/>
      <c r="P277" s="29" t="n"/>
      <c r="Q277" s="29" t="n"/>
      <c r="R277" s="29" t="n"/>
      <c r="S277" s="29" t="n"/>
      <c r="T277" s="29" t="n"/>
      <c r="U277" s="29" t="n"/>
      <c r="V277" s="30">
        <f>IF(OR($A277="",$U277=""),"",IF($S277&lt;&gt;"",MAX(0,$S277-$U277),MAX(0,TODAY()-$U277)))</f>
        <v/>
      </c>
      <c r="W277" s="30">
        <f>IF($A277="","",IF(OR($N277="Live",$N277="Retired"),"",TODAY()-MAX($O277,$P277,$Q277,$R277)))</f>
        <v/>
      </c>
      <c r="X277" s="23" t="n"/>
      <c r="Y277" s="30">
        <f>IF($A277="","",COUNTIFS('Issues Log'!$C$5:$C$504,$A277,'Issues Log'!$K$5:$K$504,"Open")+COUNTIFS('Issues Log'!$C$5:$C$504,$A277,'Issues Log'!$K$5:$K$504,"In progress"))</f>
        <v/>
      </c>
      <c r="Z277" s="27" t="n"/>
    </row>
    <row r="278">
      <c r="A278" s="27" t="n"/>
      <c r="B278" s="27" t="n"/>
      <c r="C278" s="27" t="n"/>
      <c r="D278" s="28">
        <f>IF($C278="","",IFERROR(INDEX('Topic Plan'!$C$5:$C$115,MATCH($C278,'Topic Plan'!$B$5:$B$115,0)),"UNKNOWN TOPIC ID"))</f>
        <v/>
      </c>
      <c r="E278" s="28">
        <f>IF($C278="","",IFERROR(INDEX('Topic Plan'!$D$5:$D$115,MATCH($C278,'Topic Plan'!$B$5:$B$115,0)),""))</f>
        <v/>
      </c>
      <c r="F278" s="28">
        <f>IF($C278="","",IFERROR(INDEX('Topic Plan'!$E$5:$E$115,MATCH($C278,'Topic Plan'!$B$5:$B$115,0)),""))</f>
        <v/>
      </c>
      <c r="G278" s="23" t="n"/>
      <c r="H278" s="27" t="n"/>
      <c r="I278" s="27" t="n"/>
      <c r="J278" s="27" t="n"/>
      <c r="K278" s="27" t="n"/>
      <c r="L278" s="27" t="n"/>
      <c r="M278" s="27" t="n"/>
      <c r="N278" s="23" t="n"/>
      <c r="O278" s="29" t="n"/>
      <c r="P278" s="29" t="n"/>
      <c r="Q278" s="29" t="n"/>
      <c r="R278" s="29" t="n"/>
      <c r="S278" s="29" t="n"/>
      <c r="T278" s="29" t="n"/>
      <c r="U278" s="29" t="n"/>
      <c r="V278" s="30">
        <f>IF(OR($A278="",$U278=""),"",IF($S278&lt;&gt;"",MAX(0,$S278-$U278),MAX(0,TODAY()-$U278)))</f>
        <v/>
      </c>
      <c r="W278" s="30">
        <f>IF($A278="","",IF(OR($N278="Live",$N278="Retired"),"",TODAY()-MAX($O278,$P278,$Q278,$R278)))</f>
        <v/>
      </c>
      <c r="X278" s="23" t="n"/>
      <c r="Y278" s="30">
        <f>IF($A278="","",COUNTIFS('Issues Log'!$C$5:$C$504,$A278,'Issues Log'!$K$5:$K$504,"Open")+COUNTIFS('Issues Log'!$C$5:$C$504,$A278,'Issues Log'!$K$5:$K$504,"In progress"))</f>
        <v/>
      </c>
      <c r="Z278" s="27" t="n"/>
    </row>
    <row r="279">
      <c r="A279" s="27" t="n"/>
      <c r="B279" s="27" t="n"/>
      <c r="C279" s="27" t="n"/>
      <c r="D279" s="28">
        <f>IF($C279="","",IFERROR(INDEX('Topic Plan'!$C$5:$C$115,MATCH($C279,'Topic Plan'!$B$5:$B$115,0)),"UNKNOWN TOPIC ID"))</f>
        <v/>
      </c>
      <c r="E279" s="28">
        <f>IF($C279="","",IFERROR(INDEX('Topic Plan'!$D$5:$D$115,MATCH($C279,'Topic Plan'!$B$5:$B$115,0)),""))</f>
        <v/>
      </c>
      <c r="F279" s="28">
        <f>IF($C279="","",IFERROR(INDEX('Topic Plan'!$E$5:$E$115,MATCH($C279,'Topic Plan'!$B$5:$B$115,0)),""))</f>
        <v/>
      </c>
      <c r="G279" s="23" t="n"/>
      <c r="H279" s="27" t="n"/>
      <c r="I279" s="27" t="n"/>
      <c r="J279" s="27" t="n"/>
      <c r="K279" s="27" t="n"/>
      <c r="L279" s="27" t="n"/>
      <c r="M279" s="27" t="n"/>
      <c r="N279" s="23" t="n"/>
      <c r="O279" s="29" t="n"/>
      <c r="P279" s="29" t="n"/>
      <c r="Q279" s="29" t="n"/>
      <c r="R279" s="29" t="n"/>
      <c r="S279" s="29" t="n"/>
      <c r="T279" s="29" t="n"/>
      <c r="U279" s="29" t="n"/>
      <c r="V279" s="30">
        <f>IF(OR($A279="",$U279=""),"",IF($S279&lt;&gt;"",MAX(0,$S279-$U279),MAX(0,TODAY()-$U279)))</f>
        <v/>
      </c>
      <c r="W279" s="30">
        <f>IF($A279="","",IF(OR($N279="Live",$N279="Retired"),"",TODAY()-MAX($O279,$P279,$Q279,$R279)))</f>
        <v/>
      </c>
      <c r="X279" s="23" t="n"/>
      <c r="Y279" s="30">
        <f>IF($A279="","",COUNTIFS('Issues Log'!$C$5:$C$504,$A279,'Issues Log'!$K$5:$K$504,"Open")+COUNTIFS('Issues Log'!$C$5:$C$504,$A279,'Issues Log'!$K$5:$K$504,"In progress"))</f>
        <v/>
      </c>
      <c r="Z279" s="27" t="n"/>
    </row>
    <row r="280">
      <c r="A280" s="27" t="n"/>
      <c r="B280" s="27" t="n"/>
      <c r="C280" s="27" t="n"/>
      <c r="D280" s="28">
        <f>IF($C280="","",IFERROR(INDEX('Topic Plan'!$C$5:$C$115,MATCH($C280,'Topic Plan'!$B$5:$B$115,0)),"UNKNOWN TOPIC ID"))</f>
        <v/>
      </c>
      <c r="E280" s="28">
        <f>IF($C280="","",IFERROR(INDEX('Topic Plan'!$D$5:$D$115,MATCH($C280,'Topic Plan'!$B$5:$B$115,0)),""))</f>
        <v/>
      </c>
      <c r="F280" s="28">
        <f>IF($C280="","",IFERROR(INDEX('Topic Plan'!$E$5:$E$115,MATCH($C280,'Topic Plan'!$B$5:$B$115,0)),""))</f>
        <v/>
      </c>
      <c r="G280" s="23" t="n"/>
      <c r="H280" s="27" t="n"/>
      <c r="I280" s="27" t="n"/>
      <c r="J280" s="27" t="n"/>
      <c r="K280" s="27" t="n"/>
      <c r="L280" s="27" t="n"/>
      <c r="M280" s="27" t="n"/>
      <c r="N280" s="23" t="n"/>
      <c r="O280" s="29" t="n"/>
      <c r="P280" s="29" t="n"/>
      <c r="Q280" s="29" t="n"/>
      <c r="R280" s="29" t="n"/>
      <c r="S280" s="29" t="n"/>
      <c r="T280" s="29" t="n"/>
      <c r="U280" s="29" t="n"/>
      <c r="V280" s="30">
        <f>IF(OR($A280="",$U280=""),"",IF($S280&lt;&gt;"",MAX(0,$S280-$U280),MAX(0,TODAY()-$U280)))</f>
        <v/>
      </c>
      <c r="W280" s="30">
        <f>IF($A280="","",IF(OR($N280="Live",$N280="Retired"),"",TODAY()-MAX($O280,$P280,$Q280,$R280)))</f>
        <v/>
      </c>
      <c r="X280" s="23" t="n"/>
      <c r="Y280" s="30">
        <f>IF($A280="","",COUNTIFS('Issues Log'!$C$5:$C$504,$A280,'Issues Log'!$K$5:$K$504,"Open")+COUNTIFS('Issues Log'!$C$5:$C$504,$A280,'Issues Log'!$K$5:$K$504,"In progress"))</f>
        <v/>
      </c>
      <c r="Z280" s="27" t="n"/>
    </row>
    <row r="281">
      <c r="A281" s="27" t="n"/>
      <c r="B281" s="27" t="n"/>
      <c r="C281" s="27" t="n"/>
      <c r="D281" s="28">
        <f>IF($C281="","",IFERROR(INDEX('Topic Plan'!$C$5:$C$115,MATCH($C281,'Topic Plan'!$B$5:$B$115,0)),"UNKNOWN TOPIC ID"))</f>
        <v/>
      </c>
      <c r="E281" s="28">
        <f>IF($C281="","",IFERROR(INDEX('Topic Plan'!$D$5:$D$115,MATCH($C281,'Topic Plan'!$B$5:$B$115,0)),""))</f>
        <v/>
      </c>
      <c r="F281" s="28">
        <f>IF($C281="","",IFERROR(INDEX('Topic Plan'!$E$5:$E$115,MATCH($C281,'Topic Plan'!$B$5:$B$115,0)),""))</f>
        <v/>
      </c>
      <c r="G281" s="23" t="n"/>
      <c r="H281" s="27" t="n"/>
      <c r="I281" s="27" t="n"/>
      <c r="J281" s="27" t="n"/>
      <c r="K281" s="27" t="n"/>
      <c r="L281" s="27" t="n"/>
      <c r="M281" s="27" t="n"/>
      <c r="N281" s="23" t="n"/>
      <c r="O281" s="29" t="n"/>
      <c r="P281" s="29" t="n"/>
      <c r="Q281" s="29" t="n"/>
      <c r="R281" s="29" t="n"/>
      <c r="S281" s="29" t="n"/>
      <c r="T281" s="29" t="n"/>
      <c r="U281" s="29" t="n"/>
      <c r="V281" s="30">
        <f>IF(OR($A281="",$U281=""),"",IF($S281&lt;&gt;"",MAX(0,$S281-$U281),MAX(0,TODAY()-$U281)))</f>
        <v/>
      </c>
      <c r="W281" s="30">
        <f>IF($A281="","",IF(OR($N281="Live",$N281="Retired"),"",TODAY()-MAX($O281,$P281,$Q281,$R281)))</f>
        <v/>
      </c>
      <c r="X281" s="23" t="n"/>
      <c r="Y281" s="30">
        <f>IF($A281="","",COUNTIFS('Issues Log'!$C$5:$C$504,$A281,'Issues Log'!$K$5:$K$504,"Open")+COUNTIFS('Issues Log'!$C$5:$C$504,$A281,'Issues Log'!$K$5:$K$504,"In progress"))</f>
        <v/>
      </c>
      <c r="Z281" s="27" t="n"/>
    </row>
    <row r="282">
      <c r="A282" s="27" t="n"/>
      <c r="B282" s="27" t="n"/>
      <c r="C282" s="27" t="n"/>
      <c r="D282" s="28">
        <f>IF($C282="","",IFERROR(INDEX('Topic Plan'!$C$5:$C$115,MATCH($C282,'Topic Plan'!$B$5:$B$115,0)),"UNKNOWN TOPIC ID"))</f>
        <v/>
      </c>
      <c r="E282" s="28">
        <f>IF($C282="","",IFERROR(INDEX('Topic Plan'!$D$5:$D$115,MATCH($C282,'Topic Plan'!$B$5:$B$115,0)),""))</f>
        <v/>
      </c>
      <c r="F282" s="28">
        <f>IF($C282="","",IFERROR(INDEX('Topic Plan'!$E$5:$E$115,MATCH($C282,'Topic Plan'!$B$5:$B$115,0)),""))</f>
        <v/>
      </c>
      <c r="G282" s="23" t="n"/>
      <c r="H282" s="27" t="n"/>
      <c r="I282" s="27" t="n"/>
      <c r="J282" s="27" t="n"/>
      <c r="K282" s="27" t="n"/>
      <c r="L282" s="27" t="n"/>
      <c r="M282" s="27" t="n"/>
      <c r="N282" s="23" t="n"/>
      <c r="O282" s="29" t="n"/>
      <c r="P282" s="29" t="n"/>
      <c r="Q282" s="29" t="n"/>
      <c r="R282" s="29" t="n"/>
      <c r="S282" s="29" t="n"/>
      <c r="T282" s="29" t="n"/>
      <c r="U282" s="29" t="n"/>
      <c r="V282" s="30">
        <f>IF(OR($A282="",$U282=""),"",IF($S282&lt;&gt;"",MAX(0,$S282-$U282),MAX(0,TODAY()-$U282)))</f>
        <v/>
      </c>
      <c r="W282" s="30">
        <f>IF($A282="","",IF(OR($N282="Live",$N282="Retired"),"",TODAY()-MAX($O282,$P282,$Q282,$R282)))</f>
        <v/>
      </c>
      <c r="X282" s="23" t="n"/>
      <c r="Y282" s="30">
        <f>IF($A282="","",COUNTIFS('Issues Log'!$C$5:$C$504,$A282,'Issues Log'!$K$5:$K$504,"Open")+COUNTIFS('Issues Log'!$C$5:$C$504,$A282,'Issues Log'!$K$5:$K$504,"In progress"))</f>
        <v/>
      </c>
      <c r="Z282" s="27" t="n"/>
    </row>
    <row r="283">
      <c r="A283" s="27" t="n"/>
      <c r="B283" s="27" t="n"/>
      <c r="C283" s="27" t="n"/>
      <c r="D283" s="28">
        <f>IF($C283="","",IFERROR(INDEX('Topic Plan'!$C$5:$C$115,MATCH($C283,'Topic Plan'!$B$5:$B$115,0)),"UNKNOWN TOPIC ID"))</f>
        <v/>
      </c>
      <c r="E283" s="28">
        <f>IF($C283="","",IFERROR(INDEX('Topic Plan'!$D$5:$D$115,MATCH($C283,'Topic Plan'!$B$5:$B$115,0)),""))</f>
        <v/>
      </c>
      <c r="F283" s="28">
        <f>IF($C283="","",IFERROR(INDEX('Topic Plan'!$E$5:$E$115,MATCH($C283,'Topic Plan'!$B$5:$B$115,0)),""))</f>
        <v/>
      </c>
      <c r="G283" s="23" t="n"/>
      <c r="H283" s="27" t="n"/>
      <c r="I283" s="27" t="n"/>
      <c r="J283" s="27" t="n"/>
      <c r="K283" s="27" t="n"/>
      <c r="L283" s="27" t="n"/>
      <c r="M283" s="27" t="n"/>
      <c r="N283" s="23" t="n"/>
      <c r="O283" s="29" t="n"/>
      <c r="P283" s="29" t="n"/>
      <c r="Q283" s="29" t="n"/>
      <c r="R283" s="29" t="n"/>
      <c r="S283" s="29" t="n"/>
      <c r="T283" s="29" t="n"/>
      <c r="U283" s="29" t="n"/>
      <c r="V283" s="30">
        <f>IF(OR($A283="",$U283=""),"",IF($S283&lt;&gt;"",MAX(0,$S283-$U283),MAX(0,TODAY()-$U283)))</f>
        <v/>
      </c>
      <c r="W283" s="30">
        <f>IF($A283="","",IF(OR($N283="Live",$N283="Retired"),"",TODAY()-MAX($O283,$P283,$Q283,$R283)))</f>
        <v/>
      </c>
      <c r="X283" s="23" t="n"/>
      <c r="Y283" s="30">
        <f>IF($A283="","",COUNTIFS('Issues Log'!$C$5:$C$504,$A283,'Issues Log'!$K$5:$K$504,"Open")+COUNTIFS('Issues Log'!$C$5:$C$504,$A283,'Issues Log'!$K$5:$K$504,"In progress"))</f>
        <v/>
      </c>
      <c r="Z283" s="27" t="n"/>
    </row>
    <row r="284">
      <c r="A284" s="27" t="n"/>
      <c r="B284" s="27" t="n"/>
      <c r="C284" s="27" t="n"/>
      <c r="D284" s="28">
        <f>IF($C284="","",IFERROR(INDEX('Topic Plan'!$C$5:$C$115,MATCH($C284,'Topic Plan'!$B$5:$B$115,0)),"UNKNOWN TOPIC ID"))</f>
        <v/>
      </c>
      <c r="E284" s="28">
        <f>IF($C284="","",IFERROR(INDEX('Topic Plan'!$D$5:$D$115,MATCH($C284,'Topic Plan'!$B$5:$B$115,0)),""))</f>
        <v/>
      </c>
      <c r="F284" s="28">
        <f>IF($C284="","",IFERROR(INDEX('Topic Plan'!$E$5:$E$115,MATCH($C284,'Topic Plan'!$B$5:$B$115,0)),""))</f>
        <v/>
      </c>
      <c r="G284" s="23" t="n"/>
      <c r="H284" s="27" t="n"/>
      <c r="I284" s="27" t="n"/>
      <c r="J284" s="27" t="n"/>
      <c r="K284" s="27" t="n"/>
      <c r="L284" s="27" t="n"/>
      <c r="M284" s="27" t="n"/>
      <c r="N284" s="23" t="n"/>
      <c r="O284" s="29" t="n"/>
      <c r="P284" s="29" t="n"/>
      <c r="Q284" s="29" t="n"/>
      <c r="R284" s="29" t="n"/>
      <c r="S284" s="29" t="n"/>
      <c r="T284" s="29" t="n"/>
      <c r="U284" s="29" t="n"/>
      <c r="V284" s="30">
        <f>IF(OR($A284="",$U284=""),"",IF($S284&lt;&gt;"",MAX(0,$S284-$U284),MAX(0,TODAY()-$U284)))</f>
        <v/>
      </c>
      <c r="W284" s="30">
        <f>IF($A284="","",IF(OR($N284="Live",$N284="Retired"),"",TODAY()-MAX($O284,$P284,$Q284,$R284)))</f>
        <v/>
      </c>
      <c r="X284" s="23" t="n"/>
      <c r="Y284" s="30">
        <f>IF($A284="","",COUNTIFS('Issues Log'!$C$5:$C$504,$A284,'Issues Log'!$K$5:$K$504,"Open")+COUNTIFS('Issues Log'!$C$5:$C$504,$A284,'Issues Log'!$K$5:$K$504,"In progress"))</f>
        <v/>
      </c>
      <c r="Z284" s="27" t="n"/>
    </row>
    <row r="285">
      <c r="A285" s="27" t="n"/>
      <c r="B285" s="27" t="n"/>
      <c r="C285" s="27" t="n"/>
      <c r="D285" s="28">
        <f>IF($C285="","",IFERROR(INDEX('Topic Plan'!$C$5:$C$115,MATCH($C285,'Topic Plan'!$B$5:$B$115,0)),"UNKNOWN TOPIC ID"))</f>
        <v/>
      </c>
      <c r="E285" s="28">
        <f>IF($C285="","",IFERROR(INDEX('Topic Plan'!$D$5:$D$115,MATCH($C285,'Topic Plan'!$B$5:$B$115,0)),""))</f>
        <v/>
      </c>
      <c r="F285" s="28">
        <f>IF($C285="","",IFERROR(INDEX('Topic Plan'!$E$5:$E$115,MATCH($C285,'Topic Plan'!$B$5:$B$115,0)),""))</f>
        <v/>
      </c>
      <c r="G285" s="23" t="n"/>
      <c r="H285" s="27" t="n"/>
      <c r="I285" s="27" t="n"/>
      <c r="J285" s="27" t="n"/>
      <c r="K285" s="27" t="n"/>
      <c r="L285" s="27" t="n"/>
      <c r="M285" s="27" t="n"/>
      <c r="N285" s="23" t="n"/>
      <c r="O285" s="29" t="n"/>
      <c r="P285" s="29" t="n"/>
      <c r="Q285" s="29" t="n"/>
      <c r="R285" s="29" t="n"/>
      <c r="S285" s="29" t="n"/>
      <c r="T285" s="29" t="n"/>
      <c r="U285" s="29" t="n"/>
      <c r="V285" s="30">
        <f>IF(OR($A285="",$U285=""),"",IF($S285&lt;&gt;"",MAX(0,$S285-$U285),MAX(0,TODAY()-$U285)))</f>
        <v/>
      </c>
      <c r="W285" s="30">
        <f>IF($A285="","",IF(OR($N285="Live",$N285="Retired"),"",TODAY()-MAX($O285,$P285,$Q285,$R285)))</f>
        <v/>
      </c>
      <c r="X285" s="23" t="n"/>
      <c r="Y285" s="30">
        <f>IF($A285="","",COUNTIFS('Issues Log'!$C$5:$C$504,$A285,'Issues Log'!$K$5:$K$504,"Open")+COUNTIFS('Issues Log'!$C$5:$C$504,$A285,'Issues Log'!$K$5:$K$504,"In progress"))</f>
        <v/>
      </c>
      <c r="Z285" s="27" t="n"/>
    </row>
    <row r="286">
      <c r="A286" s="27" t="n"/>
      <c r="B286" s="27" t="n"/>
      <c r="C286" s="27" t="n"/>
      <c r="D286" s="28">
        <f>IF($C286="","",IFERROR(INDEX('Topic Plan'!$C$5:$C$115,MATCH($C286,'Topic Plan'!$B$5:$B$115,0)),"UNKNOWN TOPIC ID"))</f>
        <v/>
      </c>
      <c r="E286" s="28">
        <f>IF($C286="","",IFERROR(INDEX('Topic Plan'!$D$5:$D$115,MATCH($C286,'Topic Plan'!$B$5:$B$115,0)),""))</f>
        <v/>
      </c>
      <c r="F286" s="28">
        <f>IF($C286="","",IFERROR(INDEX('Topic Plan'!$E$5:$E$115,MATCH($C286,'Topic Plan'!$B$5:$B$115,0)),""))</f>
        <v/>
      </c>
      <c r="G286" s="23" t="n"/>
      <c r="H286" s="27" t="n"/>
      <c r="I286" s="27" t="n"/>
      <c r="J286" s="27" t="n"/>
      <c r="K286" s="27" t="n"/>
      <c r="L286" s="27" t="n"/>
      <c r="M286" s="27" t="n"/>
      <c r="N286" s="23" t="n"/>
      <c r="O286" s="29" t="n"/>
      <c r="P286" s="29" t="n"/>
      <c r="Q286" s="29" t="n"/>
      <c r="R286" s="29" t="n"/>
      <c r="S286" s="29" t="n"/>
      <c r="T286" s="29" t="n"/>
      <c r="U286" s="29" t="n"/>
      <c r="V286" s="30">
        <f>IF(OR($A286="",$U286=""),"",IF($S286&lt;&gt;"",MAX(0,$S286-$U286),MAX(0,TODAY()-$U286)))</f>
        <v/>
      </c>
      <c r="W286" s="30">
        <f>IF($A286="","",IF(OR($N286="Live",$N286="Retired"),"",TODAY()-MAX($O286,$P286,$Q286,$R286)))</f>
        <v/>
      </c>
      <c r="X286" s="23" t="n"/>
      <c r="Y286" s="30">
        <f>IF($A286="","",COUNTIFS('Issues Log'!$C$5:$C$504,$A286,'Issues Log'!$K$5:$K$504,"Open")+COUNTIFS('Issues Log'!$C$5:$C$504,$A286,'Issues Log'!$K$5:$K$504,"In progress"))</f>
        <v/>
      </c>
      <c r="Z286" s="27" t="n"/>
    </row>
    <row r="287">
      <c r="A287" s="27" t="n"/>
      <c r="B287" s="27" t="n"/>
      <c r="C287" s="27" t="n"/>
      <c r="D287" s="28">
        <f>IF($C287="","",IFERROR(INDEX('Topic Plan'!$C$5:$C$115,MATCH($C287,'Topic Plan'!$B$5:$B$115,0)),"UNKNOWN TOPIC ID"))</f>
        <v/>
      </c>
      <c r="E287" s="28">
        <f>IF($C287="","",IFERROR(INDEX('Topic Plan'!$D$5:$D$115,MATCH($C287,'Topic Plan'!$B$5:$B$115,0)),""))</f>
        <v/>
      </c>
      <c r="F287" s="28">
        <f>IF($C287="","",IFERROR(INDEX('Topic Plan'!$E$5:$E$115,MATCH($C287,'Topic Plan'!$B$5:$B$115,0)),""))</f>
        <v/>
      </c>
      <c r="G287" s="23" t="n"/>
      <c r="H287" s="27" t="n"/>
      <c r="I287" s="27" t="n"/>
      <c r="J287" s="27" t="n"/>
      <c r="K287" s="27" t="n"/>
      <c r="L287" s="27" t="n"/>
      <c r="M287" s="27" t="n"/>
      <c r="N287" s="23" t="n"/>
      <c r="O287" s="29" t="n"/>
      <c r="P287" s="29" t="n"/>
      <c r="Q287" s="29" t="n"/>
      <c r="R287" s="29" t="n"/>
      <c r="S287" s="29" t="n"/>
      <c r="T287" s="29" t="n"/>
      <c r="U287" s="29" t="n"/>
      <c r="V287" s="30">
        <f>IF(OR($A287="",$U287=""),"",IF($S287&lt;&gt;"",MAX(0,$S287-$U287),MAX(0,TODAY()-$U287)))</f>
        <v/>
      </c>
      <c r="W287" s="30">
        <f>IF($A287="","",IF(OR($N287="Live",$N287="Retired"),"",TODAY()-MAX($O287,$P287,$Q287,$R287)))</f>
        <v/>
      </c>
      <c r="X287" s="23" t="n"/>
      <c r="Y287" s="30">
        <f>IF($A287="","",COUNTIFS('Issues Log'!$C$5:$C$504,$A287,'Issues Log'!$K$5:$K$504,"Open")+COUNTIFS('Issues Log'!$C$5:$C$504,$A287,'Issues Log'!$K$5:$K$504,"In progress"))</f>
        <v/>
      </c>
      <c r="Z287" s="27" t="n"/>
    </row>
    <row r="288">
      <c r="A288" s="27" t="n"/>
      <c r="B288" s="27" t="n"/>
      <c r="C288" s="27" t="n"/>
      <c r="D288" s="28">
        <f>IF($C288="","",IFERROR(INDEX('Topic Plan'!$C$5:$C$115,MATCH($C288,'Topic Plan'!$B$5:$B$115,0)),"UNKNOWN TOPIC ID"))</f>
        <v/>
      </c>
      <c r="E288" s="28">
        <f>IF($C288="","",IFERROR(INDEX('Topic Plan'!$D$5:$D$115,MATCH($C288,'Topic Plan'!$B$5:$B$115,0)),""))</f>
        <v/>
      </c>
      <c r="F288" s="28">
        <f>IF($C288="","",IFERROR(INDEX('Topic Plan'!$E$5:$E$115,MATCH($C288,'Topic Plan'!$B$5:$B$115,0)),""))</f>
        <v/>
      </c>
      <c r="G288" s="23" t="n"/>
      <c r="H288" s="27" t="n"/>
      <c r="I288" s="27" t="n"/>
      <c r="J288" s="27" t="n"/>
      <c r="K288" s="27" t="n"/>
      <c r="L288" s="27" t="n"/>
      <c r="M288" s="27" t="n"/>
      <c r="N288" s="23" t="n"/>
      <c r="O288" s="29" t="n"/>
      <c r="P288" s="29" t="n"/>
      <c r="Q288" s="29" t="n"/>
      <c r="R288" s="29" t="n"/>
      <c r="S288" s="29" t="n"/>
      <c r="T288" s="29" t="n"/>
      <c r="U288" s="29" t="n"/>
      <c r="V288" s="30">
        <f>IF(OR($A288="",$U288=""),"",IF($S288&lt;&gt;"",MAX(0,$S288-$U288),MAX(0,TODAY()-$U288)))</f>
        <v/>
      </c>
      <c r="W288" s="30">
        <f>IF($A288="","",IF(OR($N288="Live",$N288="Retired"),"",TODAY()-MAX($O288,$P288,$Q288,$R288)))</f>
        <v/>
      </c>
      <c r="X288" s="23" t="n"/>
      <c r="Y288" s="30">
        <f>IF($A288="","",COUNTIFS('Issues Log'!$C$5:$C$504,$A288,'Issues Log'!$K$5:$K$504,"Open")+COUNTIFS('Issues Log'!$C$5:$C$504,$A288,'Issues Log'!$K$5:$K$504,"In progress"))</f>
        <v/>
      </c>
      <c r="Z288" s="27" t="n"/>
    </row>
    <row r="289">
      <c r="A289" s="27" t="n"/>
      <c r="B289" s="27" t="n"/>
      <c r="C289" s="27" t="n"/>
      <c r="D289" s="28">
        <f>IF($C289="","",IFERROR(INDEX('Topic Plan'!$C$5:$C$115,MATCH($C289,'Topic Plan'!$B$5:$B$115,0)),"UNKNOWN TOPIC ID"))</f>
        <v/>
      </c>
      <c r="E289" s="28">
        <f>IF($C289="","",IFERROR(INDEX('Topic Plan'!$D$5:$D$115,MATCH($C289,'Topic Plan'!$B$5:$B$115,0)),""))</f>
        <v/>
      </c>
      <c r="F289" s="28">
        <f>IF($C289="","",IFERROR(INDEX('Topic Plan'!$E$5:$E$115,MATCH($C289,'Topic Plan'!$B$5:$B$115,0)),""))</f>
        <v/>
      </c>
      <c r="G289" s="23" t="n"/>
      <c r="H289" s="27" t="n"/>
      <c r="I289" s="27" t="n"/>
      <c r="J289" s="27" t="n"/>
      <c r="K289" s="27" t="n"/>
      <c r="L289" s="27" t="n"/>
      <c r="M289" s="27" t="n"/>
      <c r="N289" s="23" t="n"/>
      <c r="O289" s="29" t="n"/>
      <c r="P289" s="29" t="n"/>
      <c r="Q289" s="29" t="n"/>
      <c r="R289" s="29" t="n"/>
      <c r="S289" s="29" t="n"/>
      <c r="T289" s="29" t="n"/>
      <c r="U289" s="29" t="n"/>
      <c r="V289" s="30">
        <f>IF(OR($A289="",$U289=""),"",IF($S289&lt;&gt;"",MAX(0,$S289-$U289),MAX(0,TODAY()-$U289)))</f>
        <v/>
      </c>
      <c r="W289" s="30">
        <f>IF($A289="","",IF(OR($N289="Live",$N289="Retired"),"",TODAY()-MAX($O289,$P289,$Q289,$R289)))</f>
        <v/>
      </c>
      <c r="X289" s="23" t="n"/>
      <c r="Y289" s="30">
        <f>IF($A289="","",COUNTIFS('Issues Log'!$C$5:$C$504,$A289,'Issues Log'!$K$5:$K$504,"Open")+COUNTIFS('Issues Log'!$C$5:$C$504,$A289,'Issues Log'!$K$5:$K$504,"In progress"))</f>
        <v/>
      </c>
      <c r="Z289" s="27" t="n"/>
    </row>
    <row r="290">
      <c r="A290" s="27" t="n"/>
      <c r="B290" s="27" t="n"/>
      <c r="C290" s="27" t="n"/>
      <c r="D290" s="28">
        <f>IF($C290="","",IFERROR(INDEX('Topic Plan'!$C$5:$C$115,MATCH($C290,'Topic Plan'!$B$5:$B$115,0)),"UNKNOWN TOPIC ID"))</f>
        <v/>
      </c>
      <c r="E290" s="28">
        <f>IF($C290="","",IFERROR(INDEX('Topic Plan'!$D$5:$D$115,MATCH($C290,'Topic Plan'!$B$5:$B$115,0)),""))</f>
        <v/>
      </c>
      <c r="F290" s="28">
        <f>IF($C290="","",IFERROR(INDEX('Topic Plan'!$E$5:$E$115,MATCH($C290,'Topic Plan'!$B$5:$B$115,0)),""))</f>
        <v/>
      </c>
      <c r="G290" s="23" t="n"/>
      <c r="H290" s="27" t="n"/>
      <c r="I290" s="27" t="n"/>
      <c r="J290" s="27" t="n"/>
      <c r="K290" s="27" t="n"/>
      <c r="L290" s="27" t="n"/>
      <c r="M290" s="27" t="n"/>
      <c r="N290" s="23" t="n"/>
      <c r="O290" s="29" t="n"/>
      <c r="P290" s="29" t="n"/>
      <c r="Q290" s="29" t="n"/>
      <c r="R290" s="29" t="n"/>
      <c r="S290" s="29" t="n"/>
      <c r="T290" s="29" t="n"/>
      <c r="U290" s="29" t="n"/>
      <c r="V290" s="30">
        <f>IF(OR($A290="",$U290=""),"",IF($S290&lt;&gt;"",MAX(0,$S290-$U290),MAX(0,TODAY()-$U290)))</f>
        <v/>
      </c>
      <c r="W290" s="30">
        <f>IF($A290="","",IF(OR($N290="Live",$N290="Retired"),"",TODAY()-MAX($O290,$P290,$Q290,$R290)))</f>
        <v/>
      </c>
      <c r="X290" s="23" t="n"/>
      <c r="Y290" s="30">
        <f>IF($A290="","",COUNTIFS('Issues Log'!$C$5:$C$504,$A290,'Issues Log'!$K$5:$K$504,"Open")+COUNTIFS('Issues Log'!$C$5:$C$504,$A290,'Issues Log'!$K$5:$K$504,"In progress"))</f>
        <v/>
      </c>
      <c r="Z290" s="27" t="n"/>
    </row>
    <row r="291">
      <c r="A291" s="27" t="n"/>
      <c r="B291" s="27" t="n"/>
      <c r="C291" s="27" t="n"/>
      <c r="D291" s="28">
        <f>IF($C291="","",IFERROR(INDEX('Topic Plan'!$C$5:$C$115,MATCH($C291,'Topic Plan'!$B$5:$B$115,0)),"UNKNOWN TOPIC ID"))</f>
        <v/>
      </c>
      <c r="E291" s="28">
        <f>IF($C291="","",IFERROR(INDEX('Topic Plan'!$D$5:$D$115,MATCH($C291,'Topic Plan'!$B$5:$B$115,0)),""))</f>
        <v/>
      </c>
      <c r="F291" s="28">
        <f>IF($C291="","",IFERROR(INDEX('Topic Plan'!$E$5:$E$115,MATCH($C291,'Topic Plan'!$B$5:$B$115,0)),""))</f>
        <v/>
      </c>
      <c r="G291" s="23" t="n"/>
      <c r="H291" s="27" t="n"/>
      <c r="I291" s="27" t="n"/>
      <c r="J291" s="27" t="n"/>
      <c r="K291" s="27" t="n"/>
      <c r="L291" s="27" t="n"/>
      <c r="M291" s="27" t="n"/>
      <c r="N291" s="23" t="n"/>
      <c r="O291" s="29" t="n"/>
      <c r="P291" s="29" t="n"/>
      <c r="Q291" s="29" t="n"/>
      <c r="R291" s="29" t="n"/>
      <c r="S291" s="29" t="n"/>
      <c r="T291" s="29" t="n"/>
      <c r="U291" s="29" t="n"/>
      <c r="V291" s="30">
        <f>IF(OR($A291="",$U291=""),"",IF($S291&lt;&gt;"",MAX(0,$S291-$U291),MAX(0,TODAY()-$U291)))</f>
        <v/>
      </c>
      <c r="W291" s="30">
        <f>IF($A291="","",IF(OR($N291="Live",$N291="Retired"),"",TODAY()-MAX($O291,$P291,$Q291,$R291)))</f>
        <v/>
      </c>
      <c r="X291" s="23" t="n"/>
      <c r="Y291" s="30">
        <f>IF($A291="","",COUNTIFS('Issues Log'!$C$5:$C$504,$A291,'Issues Log'!$K$5:$K$504,"Open")+COUNTIFS('Issues Log'!$C$5:$C$504,$A291,'Issues Log'!$K$5:$K$504,"In progress"))</f>
        <v/>
      </c>
      <c r="Z291" s="27" t="n"/>
    </row>
    <row r="292">
      <c r="A292" s="27" t="n"/>
      <c r="B292" s="27" t="n"/>
      <c r="C292" s="27" t="n"/>
      <c r="D292" s="28">
        <f>IF($C292="","",IFERROR(INDEX('Topic Plan'!$C$5:$C$115,MATCH($C292,'Topic Plan'!$B$5:$B$115,0)),"UNKNOWN TOPIC ID"))</f>
        <v/>
      </c>
      <c r="E292" s="28">
        <f>IF($C292="","",IFERROR(INDEX('Topic Plan'!$D$5:$D$115,MATCH($C292,'Topic Plan'!$B$5:$B$115,0)),""))</f>
        <v/>
      </c>
      <c r="F292" s="28">
        <f>IF($C292="","",IFERROR(INDEX('Topic Plan'!$E$5:$E$115,MATCH($C292,'Topic Plan'!$B$5:$B$115,0)),""))</f>
        <v/>
      </c>
      <c r="G292" s="23" t="n"/>
      <c r="H292" s="27" t="n"/>
      <c r="I292" s="27" t="n"/>
      <c r="J292" s="27" t="n"/>
      <c r="K292" s="27" t="n"/>
      <c r="L292" s="27" t="n"/>
      <c r="M292" s="27" t="n"/>
      <c r="N292" s="23" t="n"/>
      <c r="O292" s="29" t="n"/>
      <c r="P292" s="29" t="n"/>
      <c r="Q292" s="29" t="n"/>
      <c r="R292" s="29" t="n"/>
      <c r="S292" s="29" t="n"/>
      <c r="T292" s="29" t="n"/>
      <c r="U292" s="29" t="n"/>
      <c r="V292" s="30">
        <f>IF(OR($A292="",$U292=""),"",IF($S292&lt;&gt;"",MAX(0,$S292-$U292),MAX(0,TODAY()-$U292)))</f>
        <v/>
      </c>
      <c r="W292" s="30">
        <f>IF($A292="","",IF(OR($N292="Live",$N292="Retired"),"",TODAY()-MAX($O292,$P292,$Q292,$R292)))</f>
        <v/>
      </c>
      <c r="X292" s="23" t="n"/>
      <c r="Y292" s="30">
        <f>IF($A292="","",COUNTIFS('Issues Log'!$C$5:$C$504,$A292,'Issues Log'!$K$5:$K$504,"Open")+COUNTIFS('Issues Log'!$C$5:$C$504,$A292,'Issues Log'!$K$5:$K$504,"In progress"))</f>
        <v/>
      </c>
      <c r="Z292" s="27" t="n"/>
    </row>
    <row r="293">
      <c r="A293" s="27" t="n"/>
      <c r="B293" s="27" t="n"/>
      <c r="C293" s="27" t="n"/>
      <c r="D293" s="28">
        <f>IF($C293="","",IFERROR(INDEX('Topic Plan'!$C$5:$C$115,MATCH($C293,'Topic Plan'!$B$5:$B$115,0)),"UNKNOWN TOPIC ID"))</f>
        <v/>
      </c>
      <c r="E293" s="28">
        <f>IF($C293="","",IFERROR(INDEX('Topic Plan'!$D$5:$D$115,MATCH($C293,'Topic Plan'!$B$5:$B$115,0)),""))</f>
        <v/>
      </c>
      <c r="F293" s="28">
        <f>IF($C293="","",IFERROR(INDEX('Topic Plan'!$E$5:$E$115,MATCH($C293,'Topic Plan'!$B$5:$B$115,0)),""))</f>
        <v/>
      </c>
      <c r="G293" s="23" t="n"/>
      <c r="H293" s="27" t="n"/>
      <c r="I293" s="27" t="n"/>
      <c r="J293" s="27" t="n"/>
      <c r="K293" s="27" t="n"/>
      <c r="L293" s="27" t="n"/>
      <c r="M293" s="27" t="n"/>
      <c r="N293" s="23" t="n"/>
      <c r="O293" s="29" t="n"/>
      <c r="P293" s="29" t="n"/>
      <c r="Q293" s="29" t="n"/>
      <c r="R293" s="29" t="n"/>
      <c r="S293" s="29" t="n"/>
      <c r="T293" s="29" t="n"/>
      <c r="U293" s="29" t="n"/>
      <c r="V293" s="30">
        <f>IF(OR($A293="",$U293=""),"",IF($S293&lt;&gt;"",MAX(0,$S293-$U293),MAX(0,TODAY()-$U293)))</f>
        <v/>
      </c>
      <c r="W293" s="30">
        <f>IF($A293="","",IF(OR($N293="Live",$N293="Retired"),"",TODAY()-MAX($O293,$P293,$Q293,$R293)))</f>
        <v/>
      </c>
      <c r="X293" s="23" t="n"/>
      <c r="Y293" s="30">
        <f>IF($A293="","",COUNTIFS('Issues Log'!$C$5:$C$504,$A293,'Issues Log'!$K$5:$K$504,"Open")+COUNTIFS('Issues Log'!$C$5:$C$504,$A293,'Issues Log'!$K$5:$K$504,"In progress"))</f>
        <v/>
      </c>
      <c r="Z293" s="27" t="n"/>
    </row>
    <row r="294">
      <c r="A294" s="27" t="n"/>
      <c r="B294" s="27" t="n"/>
      <c r="C294" s="27" t="n"/>
      <c r="D294" s="28">
        <f>IF($C294="","",IFERROR(INDEX('Topic Plan'!$C$5:$C$115,MATCH($C294,'Topic Plan'!$B$5:$B$115,0)),"UNKNOWN TOPIC ID"))</f>
        <v/>
      </c>
      <c r="E294" s="28">
        <f>IF($C294="","",IFERROR(INDEX('Topic Plan'!$D$5:$D$115,MATCH($C294,'Topic Plan'!$B$5:$B$115,0)),""))</f>
        <v/>
      </c>
      <c r="F294" s="28">
        <f>IF($C294="","",IFERROR(INDEX('Topic Plan'!$E$5:$E$115,MATCH($C294,'Topic Plan'!$B$5:$B$115,0)),""))</f>
        <v/>
      </c>
      <c r="G294" s="23" t="n"/>
      <c r="H294" s="27" t="n"/>
      <c r="I294" s="27" t="n"/>
      <c r="J294" s="27" t="n"/>
      <c r="K294" s="27" t="n"/>
      <c r="L294" s="27" t="n"/>
      <c r="M294" s="27" t="n"/>
      <c r="N294" s="23" t="n"/>
      <c r="O294" s="29" t="n"/>
      <c r="P294" s="29" t="n"/>
      <c r="Q294" s="29" t="n"/>
      <c r="R294" s="29" t="n"/>
      <c r="S294" s="29" t="n"/>
      <c r="T294" s="29" t="n"/>
      <c r="U294" s="29" t="n"/>
      <c r="V294" s="30">
        <f>IF(OR($A294="",$U294=""),"",IF($S294&lt;&gt;"",MAX(0,$S294-$U294),MAX(0,TODAY()-$U294)))</f>
        <v/>
      </c>
      <c r="W294" s="30">
        <f>IF($A294="","",IF(OR($N294="Live",$N294="Retired"),"",TODAY()-MAX($O294,$P294,$Q294,$R294)))</f>
        <v/>
      </c>
      <c r="X294" s="23" t="n"/>
      <c r="Y294" s="30">
        <f>IF($A294="","",COUNTIFS('Issues Log'!$C$5:$C$504,$A294,'Issues Log'!$K$5:$K$504,"Open")+COUNTIFS('Issues Log'!$C$5:$C$504,$A294,'Issues Log'!$K$5:$K$504,"In progress"))</f>
        <v/>
      </c>
      <c r="Z294" s="27" t="n"/>
    </row>
    <row r="295">
      <c r="A295" s="27" t="n"/>
      <c r="B295" s="27" t="n"/>
      <c r="C295" s="27" t="n"/>
      <c r="D295" s="28">
        <f>IF($C295="","",IFERROR(INDEX('Topic Plan'!$C$5:$C$115,MATCH($C295,'Topic Plan'!$B$5:$B$115,0)),"UNKNOWN TOPIC ID"))</f>
        <v/>
      </c>
      <c r="E295" s="28">
        <f>IF($C295="","",IFERROR(INDEX('Topic Plan'!$D$5:$D$115,MATCH($C295,'Topic Plan'!$B$5:$B$115,0)),""))</f>
        <v/>
      </c>
      <c r="F295" s="28">
        <f>IF($C295="","",IFERROR(INDEX('Topic Plan'!$E$5:$E$115,MATCH($C295,'Topic Plan'!$B$5:$B$115,0)),""))</f>
        <v/>
      </c>
      <c r="G295" s="23" t="n"/>
      <c r="H295" s="27" t="n"/>
      <c r="I295" s="27" t="n"/>
      <c r="J295" s="27" t="n"/>
      <c r="K295" s="27" t="n"/>
      <c r="L295" s="27" t="n"/>
      <c r="M295" s="27" t="n"/>
      <c r="N295" s="23" t="n"/>
      <c r="O295" s="29" t="n"/>
      <c r="P295" s="29" t="n"/>
      <c r="Q295" s="29" t="n"/>
      <c r="R295" s="29" t="n"/>
      <c r="S295" s="29" t="n"/>
      <c r="T295" s="29" t="n"/>
      <c r="U295" s="29" t="n"/>
      <c r="V295" s="30">
        <f>IF(OR($A295="",$U295=""),"",IF($S295&lt;&gt;"",MAX(0,$S295-$U295),MAX(0,TODAY()-$U295)))</f>
        <v/>
      </c>
      <c r="W295" s="30">
        <f>IF($A295="","",IF(OR($N295="Live",$N295="Retired"),"",TODAY()-MAX($O295,$P295,$Q295,$R295)))</f>
        <v/>
      </c>
      <c r="X295" s="23" t="n"/>
      <c r="Y295" s="30">
        <f>IF($A295="","",COUNTIFS('Issues Log'!$C$5:$C$504,$A295,'Issues Log'!$K$5:$K$504,"Open")+COUNTIFS('Issues Log'!$C$5:$C$504,$A295,'Issues Log'!$K$5:$K$504,"In progress"))</f>
        <v/>
      </c>
      <c r="Z295" s="27" t="n"/>
    </row>
    <row r="296">
      <c r="A296" s="27" t="n"/>
      <c r="B296" s="27" t="n"/>
      <c r="C296" s="27" t="n"/>
      <c r="D296" s="28">
        <f>IF($C296="","",IFERROR(INDEX('Topic Plan'!$C$5:$C$115,MATCH($C296,'Topic Plan'!$B$5:$B$115,0)),"UNKNOWN TOPIC ID"))</f>
        <v/>
      </c>
      <c r="E296" s="28">
        <f>IF($C296="","",IFERROR(INDEX('Topic Plan'!$D$5:$D$115,MATCH($C296,'Topic Plan'!$B$5:$B$115,0)),""))</f>
        <v/>
      </c>
      <c r="F296" s="28">
        <f>IF($C296="","",IFERROR(INDEX('Topic Plan'!$E$5:$E$115,MATCH($C296,'Topic Plan'!$B$5:$B$115,0)),""))</f>
        <v/>
      </c>
      <c r="G296" s="23" t="n"/>
      <c r="H296" s="27" t="n"/>
      <c r="I296" s="27" t="n"/>
      <c r="J296" s="27" t="n"/>
      <c r="K296" s="27" t="n"/>
      <c r="L296" s="27" t="n"/>
      <c r="M296" s="27" t="n"/>
      <c r="N296" s="23" t="n"/>
      <c r="O296" s="29" t="n"/>
      <c r="P296" s="29" t="n"/>
      <c r="Q296" s="29" t="n"/>
      <c r="R296" s="29" t="n"/>
      <c r="S296" s="29" t="n"/>
      <c r="T296" s="29" t="n"/>
      <c r="U296" s="29" t="n"/>
      <c r="V296" s="30">
        <f>IF(OR($A296="",$U296=""),"",IF($S296&lt;&gt;"",MAX(0,$S296-$U296),MAX(0,TODAY()-$U296)))</f>
        <v/>
      </c>
      <c r="W296" s="30">
        <f>IF($A296="","",IF(OR($N296="Live",$N296="Retired"),"",TODAY()-MAX($O296,$P296,$Q296,$R296)))</f>
        <v/>
      </c>
      <c r="X296" s="23" t="n"/>
      <c r="Y296" s="30">
        <f>IF($A296="","",COUNTIFS('Issues Log'!$C$5:$C$504,$A296,'Issues Log'!$K$5:$K$504,"Open")+COUNTIFS('Issues Log'!$C$5:$C$504,$A296,'Issues Log'!$K$5:$K$504,"In progress"))</f>
        <v/>
      </c>
      <c r="Z296" s="27" t="n"/>
    </row>
    <row r="297">
      <c r="A297" s="27" t="n"/>
      <c r="B297" s="27" t="n"/>
      <c r="C297" s="27" t="n"/>
      <c r="D297" s="28">
        <f>IF($C297="","",IFERROR(INDEX('Topic Plan'!$C$5:$C$115,MATCH($C297,'Topic Plan'!$B$5:$B$115,0)),"UNKNOWN TOPIC ID"))</f>
        <v/>
      </c>
      <c r="E297" s="28">
        <f>IF($C297="","",IFERROR(INDEX('Topic Plan'!$D$5:$D$115,MATCH($C297,'Topic Plan'!$B$5:$B$115,0)),""))</f>
        <v/>
      </c>
      <c r="F297" s="28">
        <f>IF($C297="","",IFERROR(INDEX('Topic Plan'!$E$5:$E$115,MATCH($C297,'Topic Plan'!$B$5:$B$115,0)),""))</f>
        <v/>
      </c>
      <c r="G297" s="23" t="n"/>
      <c r="H297" s="27" t="n"/>
      <c r="I297" s="27" t="n"/>
      <c r="J297" s="27" t="n"/>
      <c r="K297" s="27" t="n"/>
      <c r="L297" s="27" t="n"/>
      <c r="M297" s="27" t="n"/>
      <c r="N297" s="23" t="n"/>
      <c r="O297" s="29" t="n"/>
      <c r="P297" s="29" t="n"/>
      <c r="Q297" s="29" t="n"/>
      <c r="R297" s="29" t="n"/>
      <c r="S297" s="29" t="n"/>
      <c r="T297" s="29" t="n"/>
      <c r="U297" s="29" t="n"/>
      <c r="V297" s="30">
        <f>IF(OR($A297="",$U297=""),"",IF($S297&lt;&gt;"",MAX(0,$S297-$U297),MAX(0,TODAY()-$U297)))</f>
        <v/>
      </c>
      <c r="W297" s="30">
        <f>IF($A297="","",IF(OR($N297="Live",$N297="Retired"),"",TODAY()-MAX($O297,$P297,$Q297,$R297)))</f>
        <v/>
      </c>
      <c r="X297" s="23" t="n"/>
      <c r="Y297" s="30">
        <f>IF($A297="","",COUNTIFS('Issues Log'!$C$5:$C$504,$A297,'Issues Log'!$K$5:$K$504,"Open")+COUNTIFS('Issues Log'!$C$5:$C$504,$A297,'Issues Log'!$K$5:$K$504,"In progress"))</f>
        <v/>
      </c>
      <c r="Z297" s="27" t="n"/>
    </row>
    <row r="298">
      <c r="A298" s="27" t="n"/>
      <c r="B298" s="27" t="n"/>
      <c r="C298" s="27" t="n"/>
      <c r="D298" s="28">
        <f>IF($C298="","",IFERROR(INDEX('Topic Plan'!$C$5:$C$115,MATCH($C298,'Topic Plan'!$B$5:$B$115,0)),"UNKNOWN TOPIC ID"))</f>
        <v/>
      </c>
      <c r="E298" s="28">
        <f>IF($C298="","",IFERROR(INDEX('Topic Plan'!$D$5:$D$115,MATCH($C298,'Topic Plan'!$B$5:$B$115,0)),""))</f>
        <v/>
      </c>
      <c r="F298" s="28">
        <f>IF($C298="","",IFERROR(INDEX('Topic Plan'!$E$5:$E$115,MATCH($C298,'Topic Plan'!$B$5:$B$115,0)),""))</f>
        <v/>
      </c>
      <c r="G298" s="23" t="n"/>
      <c r="H298" s="27" t="n"/>
      <c r="I298" s="27" t="n"/>
      <c r="J298" s="27" t="n"/>
      <c r="K298" s="27" t="n"/>
      <c r="L298" s="27" t="n"/>
      <c r="M298" s="27" t="n"/>
      <c r="N298" s="23" t="n"/>
      <c r="O298" s="29" t="n"/>
      <c r="P298" s="29" t="n"/>
      <c r="Q298" s="29" t="n"/>
      <c r="R298" s="29" t="n"/>
      <c r="S298" s="29" t="n"/>
      <c r="T298" s="29" t="n"/>
      <c r="U298" s="29" t="n"/>
      <c r="V298" s="30">
        <f>IF(OR($A298="",$U298=""),"",IF($S298&lt;&gt;"",MAX(0,$S298-$U298),MAX(0,TODAY()-$U298)))</f>
        <v/>
      </c>
      <c r="W298" s="30">
        <f>IF($A298="","",IF(OR($N298="Live",$N298="Retired"),"",TODAY()-MAX($O298,$P298,$Q298,$R298)))</f>
        <v/>
      </c>
      <c r="X298" s="23" t="n"/>
      <c r="Y298" s="30">
        <f>IF($A298="","",COUNTIFS('Issues Log'!$C$5:$C$504,$A298,'Issues Log'!$K$5:$K$504,"Open")+COUNTIFS('Issues Log'!$C$5:$C$504,$A298,'Issues Log'!$K$5:$K$504,"In progress"))</f>
        <v/>
      </c>
      <c r="Z298" s="27" t="n"/>
    </row>
    <row r="299">
      <c r="A299" s="27" t="n"/>
      <c r="B299" s="27" t="n"/>
      <c r="C299" s="27" t="n"/>
      <c r="D299" s="28">
        <f>IF($C299="","",IFERROR(INDEX('Topic Plan'!$C$5:$C$115,MATCH($C299,'Topic Plan'!$B$5:$B$115,0)),"UNKNOWN TOPIC ID"))</f>
        <v/>
      </c>
      <c r="E299" s="28">
        <f>IF($C299="","",IFERROR(INDEX('Topic Plan'!$D$5:$D$115,MATCH($C299,'Topic Plan'!$B$5:$B$115,0)),""))</f>
        <v/>
      </c>
      <c r="F299" s="28">
        <f>IF($C299="","",IFERROR(INDEX('Topic Plan'!$E$5:$E$115,MATCH($C299,'Topic Plan'!$B$5:$B$115,0)),""))</f>
        <v/>
      </c>
      <c r="G299" s="23" t="n"/>
      <c r="H299" s="27" t="n"/>
      <c r="I299" s="27" t="n"/>
      <c r="J299" s="27" t="n"/>
      <c r="K299" s="27" t="n"/>
      <c r="L299" s="27" t="n"/>
      <c r="M299" s="27" t="n"/>
      <c r="N299" s="23" t="n"/>
      <c r="O299" s="29" t="n"/>
      <c r="P299" s="29" t="n"/>
      <c r="Q299" s="29" t="n"/>
      <c r="R299" s="29" t="n"/>
      <c r="S299" s="29" t="n"/>
      <c r="T299" s="29" t="n"/>
      <c r="U299" s="29" t="n"/>
      <c r="V299" s="30">
        <f>IF(OR($A299="",$U299=""),"",IF($S299&lt;&gt;"",MAX(0,$S299-$U299),MAX(0,TODAY()-$U299)))</f>
        <v/>
      </c>
      <c r="W299" s="30">
        <f>IF($A299="","",IF(OR($N299="Live",$N299="Retired"),"",TODAY()-MAX($O299,$P299,$Q299,$R299)))</f>
        <v/>
      </c>
      <c r="X299" s="23" t="n"/>
      <c r="Y299" s="30">
        <f>IF($A299="","",COUNTIFS('Issues Log'!$C$5:$C$504,$A299,'Issues Log'!$K$5:$K$504,"Open")+COUNTIFS('Issues Log'!$C$5:$C$504,$A299,'Issues Log'!$K$5:$K$504,"In progress"))</f>
        <v/>
      </c>
      <c r="Z299" s="27" t="n"/>
    </row>
    <row r="300">
      <c r="A300" s="27" t="n"/>
      <c r="B300" s="27" t="n"/>
      <c r="C300" s="27" t="n"/>
      <c r="D300" s="28">
        <f>IF($C300="","",IFERROR(INDEX('Topic Plan'!$C$5:$C$115,MATCH($C300,'Topic Plan'!$B$5:$B$115,0)),"UNKNOWN TOPIC ID"))</f>
        <v/>
      </c>
      <c r="E300" s="28">
        <f>IF($C300="","",IFERROR(INDEX('Topic Plan'!$D$5:$D$115,MATCH($C300,'Topic Plan'!$B$5:$B$115,0)),""))</f>
        <v/>
      </c>
      <c r="F300" s="28">
        <f>IF($C300="","",IFERROR(INDEX('Topic Plan'!$E$5:$E$115,MATCH($C300,'Topic Plan'!$B$5:$B$115,0)),""))</f>
        <v/>
      </c>
      <c r="G300" s="23" t="n"/>
      <c r="H300" s="27" t="n"/>
      <c r="I300" s="27" t="n"/>
      <c r="J300" s="27" t="n"/>
      <c r="K300" s="27" t="n"/>
      <c r="L300" s="27" t="n"/>
      <c r="M300" s="27" t="n"/>
      <c r="N300" s="23" t="n"/>
      <c r="O300" s="29" t="n"/>
      <c r="P300" s="29" t="n"/>
      <c r="Q300" s="29" t="n"/>
      <c r="R300" s="29" t="n"/>
      <c r="S300" s="29" t="n"/>
      <c r="T300" s="29" t="n"/>
      <c r="U300" s="29" t="n"/>
      <c r="V300" s="30">
        <f>IF(OR($A300="",$U300=""),"",IF($S300&lt;&gt;"",MAX(0,$S300-$U300),MAX(0,TODAY()-$U300)))</f>
        <v/>
      </c>
      <c r="W300" s="30">
        <f>IF($A300="","",IF(OR($N300="Live",$N300="Retired"),"",TODAY()-MAX($O300,$P300,$Q300,$R300)))</f>
        <v/>
      </c>
      <c r="X300" s="23" t="n"/>
      <c r="Y300" s="30">
        <f>IF($A300="","",COUNTIFS('Issues Log'!$C$5:$C$504,$A300,'Issues Log'!$K$5:$K$504,"Open")+COUNTIFS('Issues Log'!$C$5:$C$504,$A300,'Issues Log'!$K$5:$K$504,"In progress"))</f>
        <v/>
      </c>
      <c r="Z300" s="27" t="n"/>
    </row>
    <row r="301">
      <c r="A301" s="27" t="n"/>
      <c r="B301" s="27" t="n"/>
      <c r="C301" s="27" t="n"/>
      <c r="D301" s="28">
        <f>IF($C301="","",IFERROR(INDEX('Topic Plan'!$C$5:$C$115,MATCH($C301,'Topic Plan'!$B$5:$B$115,0)),"UNKNOWN TOPIC ID"))</f>
        <v/>
      </c>
      <c r="E301" s="28">
        <f>IF($C301="","",IFERROR(INDEX('Topic Plan'!$D$5:$D$115,MATCH($C301,'Topic Plan'!$B$5:$B$115,0)),""))</f>
        <v/>
      </c>
      <c r="F301" s="28">
        <f>IF($C301="","",IFERROR(INDEX('Topic Plan'!$E$5:$E$115,MATCH($C301,'Topic Plan'!$B$5:$B$115,0)),""))</f>
        <v/>
      </c>
      <c r="G301" s="23" t="n"/>
      <c r="H301" s="27" t="n"/>
      <c r="I301" s="27" t="n"/>
      <c r="J301" s="27" t="n"/>
      <c r="K301" s="27" t="n"/>
      <c r="L301" s="27" t="n"/>
      <c r="M301" s="27" t="n"/>
      <c r="N301" s="23" t="n"/>
      <c r="O301" s="29" t="n"/>
      <c r="P301" s="29" t="n"/>
      <c r="Q301" s="29" t="n"/>
      <c r="R301" s="29" t="n"/>
      <c r="S301" s="29" t="n"/>
      <c r="T301" s="29" t="n"/>
      <c r="U301" s="29" t="n"/>
      <c r="V301" s="30">
        <f>IF(OR($A301="",$U301=""),"",IF($S301&lt;&gt;"",MAX(0,$S301-$U301),MAX(0,TODAY()-$U301)))</f>
        <v/>
      </c>
      <c r="W301" s="30">
        <f>IF($A301="","",IF(OR($N301="Live",$N301="Retired"),"",TODAY()-MAX($O301,$P301,$Q301,$R301)))</f>
        <v/>
      </c>
      <c r="X301" s="23" t="n"/>
      <c r="Y301" s="30">
        <f>IF($A301="","",COUNTIFS('Issues Log'!$C$5:$C$504,$A301,'Issues Log'!$K$5:$K$504,"Open")+COUNTIFS('Issues Log'!$C$5:$C$504,$A301,'Issues Log'!$K$5:$K$504,"In progress"))</f>
        <v/>
      </c>
      <c r="Z301" s="27" t="n"/>
    </row>
    <row r="302">
      <c r="A302" s="27" t="n"/>
      <c r="B302" s="27" t="n"/>
      <c r="C302" s="27" t="n"/>
      <c r="D302" s="28">
        <f>IF($C302="","",IFERROR(INDEX('Topic Plan'!$C$5:$C$115,MATCH($C302,'Topic Plan'!$B$5:$B$115,0)),"UNKNOWN TOPIC ID"))</f>
        <v/>
      </c>
      <c r="E302" s="28">
        <f>IF($C302="","",IFERROR(INDEX('Topic Plan'!$D$5:$D$115,MATCH($C302,'Topic Plan'!$B$5:$B$115,0)),""))</f>
        <v/>
      </c>
      <c r="F302" s="28">
        <f>IF($C302="","",IFERROR(INDEX('Topic Plan'!$E$5:$E$115,MATCH($C302,'Topic Plan'!$B$5:$B$115,0)),""))</f>
        <v/>
      </c>
      <c r="G302" s="23" t="n"/>
      <c r="H302" s="27" t="n"/>
      <c r="I302" s="27" t="n"/>
      <c r="J302" s="27" t="n"/>
      <c r="K302" s="27" t="n"/>
      <c r="L302" s="27" t="n"/>
      <c r="M302" s="27" t="n"/>
      <c r="N302" s="23" t="n"/>
      <c r="O302" s="29" t="n"/>
      <c r="P302" s="29" t="n"/>
      <c r="Q302" s="29" t="n"/>
      <c r="R302" s="29" t="n"/>
      <c r="S302" s="29" t="n"/>
      <c r="T302" s="29" t="n"/>
      <c r="U302" s="29" t="n"/>
      <c r="V302" s="30">
        <f>IF(OR($A302="",$U302=""),"",IF($S302&lt;&gt;"",MAX(0,$S302-$U302),MAX(0,TODAY()-$U302)))</f>
        <v/>
      </c>
      <c r="W302" s="30">
        <f>IF($A302="","",IF(OR($N302="Live",$N302="Retired"),"",TODAY()-MAX($O302,$P302,$Q302,$R302)))</f>
        <v/>
      </c>
      <c r="X302" s="23" t="n"/>
      <c r="Y302" s="30">
        <f>IF($A302="","",COUNTIFS('Issues Log'!$C$5:$C$504,$A302,'Issues Log'!$K$5:$K$504,"Open")+COUNTIFS('Issues Log'!$C$5:$C$504,$A302,'Issues Log'!$K$5:$K$504,"In progress"))</f>
        <v/>
      </c>
      <c r="Z302" s="27" t="n"/>
    </row>
    <row r="303">
      <c r="A303" s="27" t="n"/>
      <c r="B303" s="27" t="n"/>
      <c r="C303" s="27" t="n"/>
      <c r="D303" s="28">
        <f>IF($C303="","",IFERROR(INDEX('Topic Plan'!$C$5:$C$115,MATCH($C303,'Topic Plan'!$B$5:$B$115,0)),"UNKNOWN TOPIC ID"))</f>
        <v/>
      </c>
      <c r="E303" s="28">
        <f>IF($C303="","",IFERROR(INDEX('Topic Plan'!$D$5:$D$115,MATCH($C303,'Topic Plan'!$B$5:$B$115,0)),""))</f>
        <v/>
      </c>
      <c r="F303" s="28">
        <f>IF($C303="","",IFERROR(INDEX('Topic Plan'!$E$5:$E$115,MATCH($C303,'Topic Plan'!$B$5:$B$115,0)),""))</f>
        <v/>
      </c>
      <c r="G303" s="23" t="n"/>
      <c r="H303" s="27" t="n"/>
      <c r="I303" s="27" t="n"/>
      <c r="J303" s="27" t="n"/>
      <c r="K303" s="27" t="n"/>
      <c r="L303" s="27" t="n"/>
      <c r="M303" s="27" t="n"/>
      <c r="N303" s="23" t="n"/>
      <c r="O303" s="29" t="n"/>
      <c r="P303" s="29" t="n"/>
      <c r="Q303" s="29" t="n"/>
      <c r="R303" s="29" t="n"/>
      <c r="S303" s="29" t="n"/>
      <c r="T303" s="29" t="n"/>
      <c r="U303" s="29" t="n"/>
      <c r="V303" s="30">
        <f>IF(OR($A303="",$U303=""),"",IF($S303&lt;&gt;"",MAX(0,$S303-$U303),MAX(0,TODAY()-$U303)))</f>
        <v/>
      </c>
      <c r="W303" s="30">
        <f>IF($A303="","",IF(OR($N303="Live",$N303="Retired"),"",TODAY()-MAX($O303,$P303,$Q303,$R303)))</f>
        <v/>
      </c>
      <c r="X303" s="23" t="n"/>
      <c r="Y303" s="30">
        <f>IF($A303="","",COUNTIFS('Issues Log'!$C$5:$C$504,$A303,'Issues Log'!$K$5:$K$504,"Open")+COUNTIFS('Issues Log'!$C$5:$C$504,$A303,'Issues Log'!$K$5:$K$504,"In progress"))</f>
        <v/>
      </c>
      <c r="Z303" s="27" t="n"/>
    </row>
    <row r="304">
      <c r="A304" s="27" t="n"/>
      <c r="B304" s="27" t="n"/>
      <c r="C304" s="27" t="n"/>
      <c r="D304" s="28">
        <f>IF($C304="","",IFERROR(INDEX('Topic Plan'!$C$5:$C$115,MATCH($C304,'Topic Plan'!$B$5:$B$115,0)),"UNKNOWN TOPIC ID"))</f>
        <v/>
      </c>
      <c r="E304" s="28">
        <f>IF($C304="","",IFERROR(INDEX('Topic Plan'!$D$5:$D$115,MATCH($C304,'Topic Plan'!$B$5:$B$115,0)),""))</f>
        <v/>
      </c>
      <c r="F304" s="28">
        <f>IF($C304="","",IFERROR(INDEX('Topic Plan'!$E$5:$E$115,MATCH($C304,'Topic Plan'!$B$5:$B$115,0)),""))</f>
        <v/>
      </c>
      <c r="G304" s="23" t="n"/>
      <c r="H304" s="27" t="n"/>
      <c r="I304" s="27" t="n"/>
      <c r="J304" s="27" t="n"/>
      <c r="K304" s="27" t="n"/>
      <c r="L304" s="27" t="n"/>
      <c r="M304" s="27" t="n"/>
      <c r="N304" s="23" t="n"/>
      <c r="O304" s="29" t="n"/>
      <c r="P304" s="29" t="n"/>
      <c r="Q304" s="29" t="n"/>
      <c r="R304" s="29" t="n"/>
      <c r="S304" s="29" t="n"/>
      <c r="T304" s="29" t="n"/>
      <c r="U304" s="29" t="n"/>
      <c r="V304" s="30">
        <f>IF(OR($A304="",$U304=""),"",IF($S304&lt;&gt;"",MAX(0,$S304-$U304),MAX(0,TODAY()-$U304)))</f>
        <v/>
      </c>
      <c r="W304" s="30">
        <f>IF($A304="","",IF(OR($N304="Live",$N304="Retired"),"",TODAY()-MAX($O304,$P304,$Q304,$R304)))</f>
        <v/>
      </c>
      <c r="X304" s="23" t="n"/>
      <c r="Y304" s="30">
        <f>IF($A304="","",COUNTIFS('Issues Log'!$C$5:$C$504,$A304,'Issues Log'!$K$5:$K$504,"Open")+COUNTIFS('Issues Log'!$C$5:$C$504,$A304,'Issues Log'!$K$5:$K$504,"In progress"))</f>
        <v/>
      </c>
      <c r="Z304" s="27" t="n"/>
    </row>
    <row r="305">
      <c r="A305" s="27" t="n"/>
      <c r="B305" s="27" t="n"/>
      <c r="C305" s="27" t="n"/>
      <c r="D305" s="28">
        <f>IF($C305="","",IFERROR(INDEX('Topic Plan'!$C$5:$C$115,MATCH($C305,'Topic Plan'!$B$5:$B$115,0)),"UNKNOWN TOPIC ID"))</f>
        <v/>
      </c>
      <c r="E305" s="28">
        <f>IF($C305="","",IFERROR(INDEX('Topic Plan'!$D$5:$D$115,MATCH($C305,'Topic Plan'!$B$5:$B$115,0)),""))</f>
        <v/>
      </c>
      <c r="F305" s="28">
        <f>IF($C305="","",IFERROR(INDEX('Topic Plan'!$E$5:$E$115,MATCH($C305,'Topic Plan'!$B$5:$B$115,0)),""))</f>
        <v/>
      </c>
      <c r="G305" s="23" t="n"/>
      <c r="H305" s="27" t="n"/>
      <c r="I305" s="27" t="n"/>
      <c r="J305" s="27" t="n"/>
      <c r="K305" s="27" t="n"/>
      <c r="L305" s="27" t="n"/>
      <c r="M305" s="27" t="n"/>
      <c r="N305" s="23" t="n"/>
      <c r="O305" s="29" t="n"/>
      <c r="P305" s="29" t="n"/>
      <c r="Q305" s="29" t="n"/>
      <c r="R305" s="29" t="n"/>
      <c r="S305" s="29" t="n"/>
      <c r="T305" s="29" t="n"/>
      <c r="U305" s="29" t="n"/>
      <c r="V305" s="30">
        <f>IF(OR($A305="",$U305=""),"",IF($S305&lt;&gt;"",MAX(0,$S305-$U305),MAX(0,TODAY()-$U305)))</f>
        <v/>
      </c>
      <c r="W305" s="30">
        <f>IF($A305="","",IF(OR($N305="Live",$N305="Retired"),"",TODAY()-MAX($O305,$P305,$Q305,$R305)))</f>
        <v/>
      </c>
      <c r="X305" s="23" t="n"/>
      <c r="Y305" s="30">
        <f>IF($A305="","",COUNTIFS('Issues Log'!$C$5:$C$504,$A305,'Issues Log'!$K$5:$K$504,"Open")+COUNTIFS('Issues Log'!$C$5:$C$504,$A305,'Issues Log'!$K$5:$K$504,"In progress"))</f>
        <v/>
      </c>
      <c r="Z305" s="27" t="n"/>
    </row>
    <row r="306">
      <c r="A306" s="27" t="n"/>
      <c r="B306" s="27" t="n"/>
      <c r="C306" s="27" t="n"/>
      <c r="D306" s="28">
        <f>IF($C306="","",IFERROR(INDEX('Topic Plan'!$C$5:$C$115,MATCH($C306,'Topic Plan'!$B$5:$B$115,0)),"UNKNOWN TOPIC ID"))</f>
        <v/>
      </c>
      <c r="E306" s="28">
        <f>IF($C306="","",IFERROR(INDEX('Topic Plan'!$D$5:$D$115,MATCH($C306,'Topic Plan'!$B$5:$B$115,0)),""))</f>
        <v/>
      </c>
      <c r="F306" s="28">
        <f>IF($C306="","",IFERROR(INDEX('Topic Plan'!$E$5:$E$115,MATCH($C306,'Topic Plan'!$B$5:$B$115,0)),""))</f>
        <v/>
      </c>
      <c r="G306" s="23" t="n"/>
      <c r="H306" s="27" t="n"/>
      <c r="I306" s="27" t="n"/>
      <c r="J306" s="27" t="n"/>
      <c r="K306" s="27" t="n"/>
      <c r="L306" s="27" t="n"/>
      <c r="M306" s="27" t="n"/>
      <c r="N306" s="23" t="n"/>
      <c r="O306" s="29" t="n"/>
      <c r="P306" s="29" t="n"/>
      <c r="Q306" s="29" t="n"/>
      <c r="R306" s="29" t="n"/>
      <c r="S306" s="29" t="n"/>
      <c r="T306" s="29" t="n"/>
      <c r="U306" s="29" t="n"/>
      <c r="V306" s="30">
        <f>IF(OR($A306="",$U306=""),"",IF($S306&lt;&gt;"",MAX(0,$S306-$U306),MAX(0,TODAY()-$U306)))</f>
        <v/>
      </c>
      <c r="W306" s="30">
        <f>IF($A306="","",IF(OR($N306="Live",$N306="Retired"),"",TODAY()-MAX($O306,$P306,$Q306,$R306)))</f>
        <v/>
      </c>
      <c r="X306" s="23" t="n"/>
      <c r="Y306" s="30">
        <f>IF($A306="","",COUNTIFS('Issues Log'!$C$5:$C$504,$A306,'Issues Log'!$K$5:$K$504,"Open")+COUNTIFS('Issues Log'!$C$5:$C$504,$A306,'Issues Log'!$K$5:$K$504,"In progress"))</f>
        <v/>
      </c>
      <c r="Z306" s="27" t="n"/>
    </row>
    <row r="307">
      <c r="A307" s="27" t="n"/>
      <c r="B307" s="27" t="n"/>
      <c r="C307" s="27" t="n"/>
      <c r="D307" s="28">
        <f>IF($C307="","",IFERROR(INDEX('Topic Plan'!$C$5:$C$115,MATCH($C307,'Topic Plan'!$B$5:$B$115,0)),"UNKNOWN TOPIC ID"))</f>
        <v/>
      </c>
      <c r="E307" s="28">
        <f>IF($C307="","",IFERROR(INDEX('Topic Plan'!$D$5:$D$115,MATCH($C307,'Topic Plan'!$B$5:$B$115,0)),""))</f>
        <v/>
      </c>
      <c r="F307" s="28">
        <f>IF($C307="","",IFERROR(INDEX('Topic Plan'!$E$5:$E$115,MATCH($C307,'Topic Plan'!$B$5:$B$115,0)),""))</f>
        <v/>
      </c>
      <c r="G307" s="23" t="n"/>
      <c r="H307" s="27" t="n"/>
      <c r="I307" s="27" t="n"/>
      <c r="J307" s="27" t="n"/>
      <c r="K307" s="27" t="n"/>
      <c r="L307" s="27" t="n"/>
      <c r="M307" s="27" t="n"/>
      <c r="N307" s="23" t="n"/>
      <c r="O307" s="29" t="n"/>
      <c r="P307" s="29" t="n"/>
      <c r="Q307" s="29" t="n"/>
      <c r="R307" s="29" t="n"/>
      <c r="S307" s="29" t="n"/>
      <c r="T307" s="29" t="n"/>
      <c r="U307" s="29" t="n"/>
      <c r="V307" s="30">
        <f>IF(OR($A307="",$U307=""),"",IF($S307&lt;&gt;"",MAX(0,$S307-$U307),MAX(0,TODAY()-$U307)))</f>
        <v/>
      </c>
      <c r="W307" s="30">
        <f>IF($A307="","",IF(OR($N307="Live",$N307="Retired"),"",TODAY()-MAX($O307,$P307,$Q307,$R307)))</f>
        <v/>
      </c>
      <c r="X307" s="23" t="n"/>
      <c r="Y307" s="30">
        <f>IF($A307="","",COUNTIFS('Issues Log'!$C$5:$C$504,$A307,'Issues Log'!$K$5:$K$504,"Open")+COUNTIFS('Issues Log'!$C$5:$C$504,$A307,'Issues Log'!$K$5:$K$504,"In progress"))</f>
        <v/>
      </c>
      <c r="Z307" s="27" t="n"/>
    </row>
    <row r="308">
      <c r="A308" s="27" t="n"/>
      <c r="B308" s="27" t="n"/>
      <c r="C308" s="27" t="n"/>
      <c r="D308" s="28">
        <f>IF($C308="","",IFERROR(INDEX('Topic Plan'!$C$5:$C$115,MATCH($C308,'Topic Plan'!$B$5:$B$115,0)),"UNKNOWN TOPIC ID"))</f>
        <v/>
      </c>
      <c r="E308" s="28">
        <f>IF($C308="","",IFERROR(INDEX('Topic Plan'!$D$5:$D$115,MATCH($C308,'Topic Plan'!$B$5:$B$115,0)),""))</f>
        <v/>
      </c>
      <c r="F308" s="28">
        <f>IF($C308="","",IFERROR(INDEX('Topic Plan'!$E$5:$E$115,MATCH($C308,'Topic Plan'!$B$5:$B$115,0)),""))</f>
        <v/>
      </c>
      <c r="G308" s="23" t="n"/>
      <c r="H308" s="27" t="n"/>
      <c r="I308" s="27" t="n"/>
      <c r="J308" s="27" t="n"/>
      <c r="K308" s="27" t="n"/>
      <c r="L308" s="27" t="n"/>
      <c r="M308" s="27" t="n"/>
      <c r="N308" s="23" t="n"/>
      <c r="O308" s="29" t="n"/>
      <c r="P308" s="29" t="n"/>
      <c r="Q308" s="29" t="n"/>
      <c r="R308" s="29" t="n"/>
      <c r="S308" s="29" t="n"/>
      <c r="T308" s="29" t="n"/>
      <c r="U308" s="29" t="n"/>
      <c r="V308" s="30">
        <f>IF(OR($A308="",$U308=""),"",IF($S308&lt;&gt;"",MAX(0,$S308-$U308),MAX(0,TODAY()-$U308)))</f>
        <v/>
      </c>
      <c r="W308" s="30">
        <f>IF($A308="","",IF(OR($N308="Live",$N308="Retired"),"",TODAY()-MAX($O308,$P308,$Q308,$R308)))</f>
        <v/>
      </c>
      <c r="X308" s="23" t="n"/>
      <c r="Y308" s="30">
        <f>IF($A308="","",COUNTIFS('Issues Log'!$C$5:$C$504,$A308,'Issues Log'!$K$5:$K$504,"Open")+COUNTIFS('Issues Log'!$C$5:$C$504,$A308,'Issues Log'!$K$5:$K$504,"In progress"))</f>
        <v/>
      </c>
      <c r="Z308" s="27" t="n"/>
    </row>
    <row r="309">
      <c r="A309" s="27" t="n"/>
      <c r="B309" s="27" t="n"/>
      <c r="C309" s="27" t="n"/>
      <c r="D309" s="28">
        <f>IF($C309="","",IFERROR(INDEX('Topic Plan'!$C$5:$C$115,MATCH($C309,'Topic Plan'!$B$5:$B$115,0)),"UNKNOWN TOPIC ID"))</f>
        <v/>
      </c>
      <c r="E309" s="28">
        <f>IF($C309="","",IFERROR(INDEX('Topic Plan'!$D$5:$D$115,MATCH($C309,'Topic Plan'!$B$5:$B$115,0)),""))</f>
        <v/>
      </c>
      <c r="F309" s="28">
        <f>IF($C309="","",IFERROR(INDEX('Topic Plan'!$E$5:$E$115,MATCH($C309,'Topic Plan'!$B$5:$B$115,0)),""))</f>
        <v/>
      </c>
      <c r="G309" s="23" t="n"/>
      <c r="H309" s="27" t="n"/>
      <c r="I309" s="27" t="n"/>
      <c r="J309" s="27" t="n"/>
      <c r="K309" s="27" t="n"/>
      <c r="L309" s="27" t="n"/>
      <c r="M309" s="27" t="n"/>
      <c r="N309" s="23" t="n"/>
      <c r="O309" s="29" t="n"/>
      <c r="P309" s="29" t="n"/>
      <c r="Q309" s="29" t="n"/>
      <c r="R309" s="29" t="n"/>
      <c r="S309" s="29" t="n"/>
      <c r="T309" s="29" t="n"/>
      <c r="U309" s="29" t="n"/>
      <c r="V309" s="30">
        <f>IF(OR($A309="",$U309=""),"",IF($S309&lt;&gt;"",MAX(0,$S309-$U309),MAX(0,TODAY()-$U309)))</f>
        <v/>
      </c>
      <c r="W309" s="30">
        <f>IF($A309="","",IF(OR($N309="Live",$N309="Retired"),"",TODAY()-MAX($O309,$P309,$Q309,$R309)))</f>
        <v/>
      </c>
      <c r="X309" s="23" t="n"/>
      <c r="Y309" s="30">
        <f>IF($A309="","",COUNTIFS('Issues Log'!$C$5:$C$504,$A309,'Issues Log'!$K$5:$K$504,"Open")+COUNTIFS('Issues Log'!$C$5:$C$504,$A309,'Issues Log'!$K$5:$K$504,"In progress"))</f>
        <v/>
      </c>
      <c r="Z309" s="27" t="n"/>
    </row>
    <row r="310">
      <c r="A310" s="27" t="n"/>
      <c r="B310" s="27" t="n"/>
      <c r="C310" s="27" t="n"/>
      <c r="D310" s="28">
        <f>IF($C310="","",IFERROR(INDEX('Topic Plan'!$C$5:$C$115,MATCH($C310,'Topic Plan'!$B$5:$B$115,0)),"UNKNOWN TOPIC ID"))</f>
        <v/>
      </c>
      <c r="E310" s="28">
        <f>IF($C310="","",IFERROR(INDEX('Topic Plan'!$D$5:$D$115,MATCH($C310,'Topic Plan'!$B$5:$B$115,0)),""))</f>
        <v/>
      </c>
      <c r="F310" s="28">
        <f>IF($C310="","",IFERROR(INDEX('Topic Plan'!$E$5:$E$115,MATCH($C310,'Topic Plan'!$B$5:$B$115,0)),""))</f>
        <v/>
      </c>
      <c r="G310" s="23" t="n"/>
      <c r="H310" s="27" t="n"/>
      <c r="I310" s="27" t="n"/>
      <c r="J310" s="27" t="n"/>
      <c r="K310" s="27" t="n"/>
      <c r="L310" s="27" t="n"/>
      <c r="M310" s="27" t="n"/>
      <c r="N310" s="23" t="n"/>
      <c r="O310" s="29" t="n"/>
      <c r="P310" s="29" t="n"/>
      <c r="Q310" s="29" t="n"/>
      <c r="R310" s="29" t="n"/>
      <c r="S310" s="29" t="n"/>
      <c r="T310" s="29" t="n"/>
      <c r="U310" s="29" t="n"/>
      <c r="V310" s="30">
        <f>IF(OR($A310="",$U310=""),"",IF($S310&lt;&gt;"",MAX(0,$S310-$U310),MAX(0,TODAY()-$U310)))</f>
        <v/>
      </c>
      <c r="W310" s="30">
        <f>IF($A310="","",IF(OR($N310="Live",$N310="Retired"),"",TODAY()-MAX($O310,$P310,$Q310,$R310)))</f>
        <v/>
      </c>
      <c r="X310" s="23" t="n"/>
      <c r="Y310" s="30">
        <f>IF($A310="","",COUNTIFS('Issues Log'!$C$5:$C$504,$A310,'Issues Log'!$K$5:$K$504,"Open")+COUNTIFS('Issues Log'!$C$5:$C$504,$A310,'Issues Log'!$K$5:$K$504,"In progress"))</f>
        <v/>
      </c>
      <c r="Z310" s="27" t="n"/>
    </row>
    <row r="311">
      <c r="A311" s="27" t="n"/>
      <c r="B311" s="27" t="n"/>
      <c r="C311" s="27" t="n"/>
      <c r="D311" s="28">
        <f>IF($C311="","",IFERROR(INDEX('Topic Plan'!$C$5:$C$115,MATCH($C311,'Topic Plan'!$B$5:$B$115,0)),"UNKNOWN TOPIC ID"))</f>
        <v/>
      </c>
      <c r="E311" s="28">
        <f>IF($C311="","",IFERROR(INDEX('Topic Plan'!$D$5:$D$115,MATCH($C311,'Topic Plan'!$B$5:$B$115,0)),""))</f>
        <v/>
      </c>
      <c r="F311" s="28">
        <f>IF($C311="","",IFERROR(INDEX('Topic Plan'!$E$5:$E$115,MATCH($C311,'Topic Plan'!$B$5:$B$115,0)),""))</f>
        <v/>
      </c>
      <c r="G311" s="23" t="n"/>
      <c r="H311" s="27" t="n"/>
      <c r="I311" s="27" t="n"/>
      <c r="J311" s="27" t="n"/>
      <c r="K311" s="27" t="n"/>
      <c r="L311" s="27" t="n"/>
      <c r="M311" s="27" t="n"/>
      <c r="N311" s="23" t="n"/>
      <c r="O311" s="29" t="n"/>
      <c r="P311" s="29" t="n"/>
      <c r="Q311" s="29" t="n"/>
      <c r="R311" s="29" t="n"/>
      <c r="S311" s="29" t="n"/>
      <c r="T311" s="29" t="n"/>
      <c r="U311" s="29" t="n"/>
      <c r="V311" s="30">
        <f>IF(OR($A311="",$U311=""),"",IF($S311&lt;&gt;"",MAX(0,$S311-$U311),MAX(0,TODAY()-$U311)))</f>
        <v/>
      </c>
      <c r="W311" s="30">
        <f>IF($A311="","",IF(OR($N311="Live",$N311="Retired"),"",TODAY()-MAX($O311,$P311,$Q311,$R311)))</f>
        <v/>
      </c>
      <c r="X311" s="23" t="n"/>
      <c r="Y311" s="30">
        <f>IF($A311="","",COUNTIFS('Issues Log'!$C$5:$C$504,$A311,'Issues Log'!$K$5:$K$504,"Open")+COUNTIFS('Issues Log'!$C$5:$C$504,$A311,'Issues Log'!$K$5:$K$504,"In progress"))</f>
        <v/>
      </c>
      <c r="Z311" s="27" t="n"/>
    </row>
    <row r="312">
      <c r="A312" s="27" t="n"/>
      <c r="B312" s="27" t="n"/>
      <c r="C312" s="27" t="n"/>
      <c r="D312" s="28">
        <f>IF($C312="","",IFERROR(INDEX('Topic Plan'!$C$5:$C$115,MATCH($C312,'Topic Plan'!$B$5:$B$115,0)),"UNKNOWN TOPIC ID"))</f>
        <v/>
      </c>
      <c r="E312" s="28">
        <f>IF($C312="","",IFERROR(INDEX('Topic Plan'!$D$5:$D$115,MATCH($C312,'Topic Plan'!$B$5:$B$115,0)),""))</f>
        <v/>
      </c>
      <c r="F312" s="28">
        <f>IF($C312="","",IFERROR(INDEX('Topic Plan'!$E$5:$E$115,MATCH($C312,'Topic Plan'!$B$5:$B$115,0)),""))</f>
        <v/>
      </c>
      <c r="G312" s="23" t="n"/>
      <c r="H312" s="27" t="n"/>
      <c r="I312" s="27" t="n"/>
      <c r="J312" s="27" t="n"/>
      <c r="K312" s="27" t="n"/>
      <c r="L312" s="27" t="n"/>
      <c r="M312" s="27" t="n"/>
      <c r="N312" s="23" t="n"/>
      <c r="O312" s="29" t="n"/>
      <c r="P312" s="29" t="n"/>
      <c r="Q312" s="29" t="n"/>
      <c r="R312" s="29" t="n"/>
      <c r="S312" s="29" t="n"/>
      <c r="T312" s="29" t="n"/>
      <c r="U312" s="29" t="n"/>
      <c r="V312" s="30">
        <f>IF(OR($A312="",$U312=""),"",IF($S312&lt;&gt;"",MAX(0,$S312-$U312),MAX(0,TODAY()-$U312)))</f>
        <v/>
      </c>
      <c r="W312" s="30">
        <f>IF($A312="","",IF(OR($N312="Live",$N312="Retired"),"",TODAY()-MAX($O312,$P312,$Q312,$R312)))</f>
        <v/>
      </c>
      <c r="X312" s="23" t="n"/>
      <c r="Y312" s="30">
        <f>IF($A312="","",COUNTIFS('Issues Log'!$C$5:$C$504,$A312,'Issues Log'!$K$5:$K$504,"Open")+COUNTIFS('Issues Log'!$C$5:$C$504,$A312,'Issues Log'!$K$5:$K$504,"In progress"))</f>
        <v/>
      </c>
      <c r="Z312" s="27" t="n"/>
    </row>
    <row r="313">
      <c r="A313" s="27" t="n"/>
      <c r="B313" s="27" t="n"/>
      <c r="C313" s="27" t="n"/>
      <c r="D313" s="28">
        <f>IF($C313="","",IFERROR(INDEX('Topic Plan'!$C$5:$C$115,MATCH($C313,'Topic Plan'!$B$5:$B$115,0)),"UNKNOWN TOPIC ID"))</f>
        <v/>
      </c>
      <c r="E313" s="28">
        <f>IF($C313="","",IFERROR(INDEX('Topic Plan'!$D$5:$D$115,MATCH($C313,'Topic Plan'!$B$5:$B$115,0)),""))</f>
        <v/>
      </c>
      <c r="F313" s="28">
        <f>IF($C313="","",IFERROR(INDEX('Topic Plan'!$E$5:$E$115,MATCH($C313,'Topic Plan'!$B$5:$B$115,0)),""))</f>
        <v/>
      </c>
      <c r="G313" s="23" t="n"/>
      <c r="H313" s="27" t="n"/>
      <c r="I313" s="27" t="n"/>
      <c r="J313" s="27" t="n"/>
      <c r="K313" s="27" t="n"/>
      <c r="L313" s="27" t="n"/>
      <c r="M313" s="27" t="n"/>
      <c r="N313" s="23" t="n"/>
      <c r="O313" s="29" t="n"/>
      <c r="P313" s="29" t="n"/>
      <c r="Q313" s="29" t="n"/>
      <c r="R313" s="29" t="n"/>
      <c r="S313" s="29" t="n"/>
      <c r="T313" s="29" t="n"/>
      <c r="U313" s="29" t="n"/>
      <c r="V313" s="30">
        <f>IF(OR($A313="",$U313=""),"",IF($S313&lt;&gt;"",MAX(0,$S313-$U313),MAX(0,TODAY()-$U313)))</f>
        <v/>
      </c>
      <c r="W313" s="30">
        <f>IF($A313="","",IF(OR($N313="Live",$N313="Retired"),"",TODAY()-MAX($O313,$P313,$Q313,$R313)))</f>
        <v/>
      </c>
      <c r="X313" s="23" t="n"/>
      <c r="Y313" s="30">
        <f>IF($A313="","",COUNTIFS('Issues Log'!$C$5:$C$504,$A313,'Issues Log'!$K$5:$K$504,"Open")+COUNTIFS('Issues Log'!$C$5:$C$504,$A313,'Issues Log'!$K$5:$K$504,"In progress"))</f>
        <v/>
      </c>
      <c r="Z313" s="27" t="n"/>
    </row>
    <row r="314">
      <c r="A314" s="27" t="n"/>
      <c r="B314" s="27" t="n"/>
      <c r="C314" s="27" t="n"/>
      <c r="D314" s="28">
        <f>IF($C314="","",IFERROR(INDEX('Topic Plan'!$C$5:$C$115,MATCH($C314,'Topic Plan'!$B$5:$B$115,0)),"UNKNOWN TOPIC ID"))</f>
        <v/>
      </c>
      <c r="E314" s="28">
        <f>IF($C314="","",IFERROR(INDEX('Topic Plan'!$D$5:$D$115,MATCH($C314,'Topic Plan'!$B$5:$B$115,0)),""))</f>
        <v/>
      </c>
      <c r="F314" s="28">
        <f>IF($C314="","",IFERROR(INDEX('Topic Plan'!$E$5:$E$115,MATCH($C314,'Topic Plan'!$B$5:$B$115,0)),""))</f>
        <v/>
      </c>
      <c r="G314" s="23" t="n"/>
      <c r="H314" s="27" t="n"/>
      <c r="I314" s="27" t="n"/>
      <c r="J314" s="27" t="n"/>
      <c r="K314" s="27" t="n"/>
      <c r="L314" s="27" t="n"/>
      <c r="M314" s="27" t="n"/>
      <c r="N314" s="23" t="n"/>
      <c r="O314" s="29" t="n"/>
      <c r="P314" s="29" t="n"/>
      <c r="Q314" s="29" t="n"/>
      <c r="R314" s="29" t="n"/>
      <c r="S314" s="29" t="n"/>
      <c r="T314" s="29" t="n"/>
      <c r="U314" s="29" t="n"/>
      <c r="V314" s="30">
        <f>IF(OR($A314="",$U314=""),"",IF($S314&lt;&gt;"",MAX(0,$S314-$U314),MAX(0,TODAY()-$U314)))</f>
        <v/>
      </c>
      <c r="W314" s="30">
        <f>IF($A314="","",IF(OR($N314="Live",$N314="Retired"),"",TODAY()-MAX($O314,$P314,$Q314,$R314)))</f>
        <v/>
      </c>
      <c r="X314" s="23" t="n"/>
      <c r="Y314" s="30">
        <f>IF($A314="","",COUNTIFS('Issues Log'!$C$5:$C$504,$A314,'Issues Log'!$K$5:$K$504,"Open")+COUNTIFS('Issues Log'!$C$5:$C$504,$A314,'Issues Log'!$K$5:$K$504,"In progress"))</f>
        <v/>
      </c>
      <c r="Z314" s="27" t="n"/>
    </row>
    <row r="315">
      <c r="A315" s="27" t="n"/>
      <c r="B315" s="27" t="n"/>
      <c r="C315" s="27" t="n"/>
      <c r="D315" s="28">
        <f>IF($C315="","",IFERROR(INDEX('Topic Plan'!$C$5:$C$115,MATCH($C315,'Topic Plan'!$B$5:$B$115,0)),"UNKNOWN TOPIC ID"))</f>
        <v/>
      </c>
      <c r="E315" s="28">
        <f>IF($C315="","",IFERROR(INDEX('Topic Plan'!$D$5:$D$115,MATCH($C315,'Topic Plan'!$B$5:$B$115,0)),""))</f>
        <v/>
      </c>
      <c r="F315" s="28">
        <f>IF($C315="","",IFERROR(INDEX('Topic Plan'!$E$5:$E$115,MATCH($C315,'Topic Plan'!$B$5:$B$115,0)),""))</f>
        <v/>
      </c>
      <c r="G315" s="23" t="n"/>
      <c r="H315" s="27" t="n"/>
      <c r="I315" s="27" t="n"/>
      <c r="J315" s="27" t="n"/>
      <c r="K315" s="27" t="n"/>
      <c r="L315" s="27" t="n"/>
      <c r="M315" s="27" t="n"/>
      <c r="N315" s="23" t="n"/>
      <c r="O315" s="29" t="n"/>
      <c r="P315" s="29" t="n"/>
      <c r="Q315" s="29" t="n"/>
      <c r="R315" s="29" t="n"/>
      <c r="S315" s="29" t="n"/>
      <c r="T315" s="29" t="n"/>
      <c r="U315" s="29" t="n"/>
      <c r="V315" s="30">
        <f>IF(OR($A315="",$U315=""),"",IF($S315&lt;&gt;"",MAX(0,$S315-$U315),MAX(0,TODAY()-$U315)))</f>
        <v/>
      </c>
      <c r="W315" s="30">
        <f>IF($A315="","",IF(OR($N315="Live",$N315="Retired"),"",TODAY()-MAX($O315,$P315,$Q315,$R315)))</f>
        <v/>
      </c>
      <c r="X315" s="23" t="n"/>
      <c r="Y315" s="30">
        <f>IF($A315="","",COUNTIFS('Issues Log'!$C$5:$C$504,$A315,'Issues Log'!$K$5:$K$504,"Open")+COUNTIFS('Issues Log'!$C$5:$C$504,$A315,'Issues Log'!$K$5:$K$504,"In progress"))</f>
        <v/>
      </c>
      <c r="Z315" s="27" t="n"/>
    </row>
    <row r="316">
      <c r="A316" s="27" t="n"/>
      <c r="B316" s="27" t="n"/>
      <c r="C316" s="27" t="n"/>
      <c r="D316" s="28">
        <f>IF($C316="","",IFERROR(INDEX('Topic Plan'!$C$5:$C$115,MATCH($C316,'Topic Plan'!$B$5:$B$115,0)),"UNKNOWN TOPIC ID"))</f>
        <v/>
      </c>
      <c r="E316" s="28">
        <f>IF($C316="","",IFERROR(INDEX('Topic Plan'!$D$5:$D$115,MATCH($C316,'Topic Plan'!$B$5:$B$115,0)),""))</f>
        <v/>
      </c>
      <c r="F316" s="28">
        <f>IF($C316="","",IFERROR(INDEX('Topic Plan'!$E$5:$E$115,MATCH($C316,'Topic Plan'!$B$5:$B$115,0)),""))</f>
        <v/>
      </c>
      <c r="G316" s="23" t="n"/>
      <c r="H316" s="27" t="n"/>
      <c r="I316" s="27" t="n"/>
      <c r="J316" s="27" t="n"/>
      <c r="K316" s="27" t="n"/>
      <c r="L316" s="27" t="n"/>
      <c r="M316" s="27" t="n"/>
      <c r="N316" s="23" t="n"/>
      <c r="O316" s="29" t="n"/>
      <c r="P316" s="29" t="n"/>
      <c r="Q316" s="29" t="n"/>
      <c r="R316" s="29" t="n"/>
      <c r="S316" s="29" t="n"/>
      <c r="T316" s="29" t="n"/>
      <c r="U316" s="29" t="n"/>
      <c r="V316" s="30">
        <f>IF(OR($A316="",$U316=""),"",IF($S316&lt;&gt;"",MAX(0,$S316-$U316),MAX(0,TODAY()-$U316)))</f>
        <v/>
      </c>
      <c r="W316" s="30">
        <f>IF($A316="","",IF(OR($N316="Live",$N316="Retired"),"",TODAY()-MAX($O316,$P316,$Q316,$R316)))</f>
        <v/>
      </c>
      <c r="X316" s="23" t="n"/>
      <c r="Y316" s="30">
        <f>IF($A316="","",COUNTIFS('Issues Log'!$C$5:$C$504,$A316,'Issues Log'!$K$5:$K$504,"Open")+COUNTIFS('Issues Log'!$C$5:$C$504,$A316,'Issues Log'!$K$5:$K$504,"In progress"))</f>
        <v/>
      </c>
      <c r="Z316" s="27" t="n"/>
    </row>
    <row r="317">
      <c r="A317" s="27" t="n"/>
      <c r="B317" s="27" t="n"/>
      <c r="C317" s="27" t="n"/>
      <c r="D317" s="28">
        <f>IF($C317="","",IFERROR(INDEX('Topic Plan'!$C$5:$C$115,MATCH($C317,'Topic Plan'!$B$5:$B$115,0)),"UNKNOWN TOPIC ID"))</f>
        <v/>
      </c>
      <c r="E317" s="28">
        <f>IF($C317="","",IFERROR(INDEX('Topic Plan'!$D$5:$D$115,MATCH($C317,'Topic Plan'!$B$5:$B$115,0)),""))</f>
        <v/>
      </c>
      <c r="F317" s="28">
        <f>IF($C317="","",IFERROR(INDEX('Topic Plan'!$E$5:$E$115,MATCH($C317,'Topic Plan'!$B$5:$B$115,0)),""))</f>
        <v/>
      </c>
      <c r="G317" s="23" t="n"/>
      <c r="H317" s="27" t="n"/>
      <c r="I317" s="27" t="n"/>
      <c r="J317" s="27" t="n"/>
      <c r="K317" s="27" t="n"/>
      <c r="L317" s="27" t="n"/>
      <c r="M317" s="27" t="n"/>
      <c r="N317" s="23" t="n"/>
      <c r="O317" s="29" t="n"/>
      <c r="P317" s="29" t="n"/>
      <c r="Q317" s="29" t="n"/>
      <c r="R317" s="29" t="n"/>
      <c r="S317" s="29" t="n"/>
      <c r="T317" s="29" t="n"/>
      <c r="U317" s="29" t="n"/>
      <c r="V317" s="30">
        <f>IF(OR($A317="",$U317=""),"",IF($S317&lt;&gt;"",MAX(0,$S317-$U317),MAX(0,TODAY()-$U317)))</f>
        <v/>
      </c>
      <c r="W317" s="30">
        <f>IF($A317="","",IF(OR($N317="Live",$N317="Retired"),"",TODAY()-MAX($O317,$P317,$Q317,$R317)))</f>
        <v/>
      </c>
      <c r="X317" s="23" t="n"/>
      <c r="Y317" s="30">
        <f>IF($A317="","",COUNTIFS('Issues Log'!$C$5:$C$504,$A317,'Issues Log'!$K$5:$K$504,"Open")+COUNTIFS('Issues Log'!$C$5:$C$504,$A317,'Issues Log'!$K$5:$K$504,"In progress"))</f>
        <v/>
      </c>
      <c r="Z317" s="27" t="n"/>
    </row>
    <row r="318">
      <c r="A318" s="27" t="n"/>
      <c r="B318" s="27" t="n"/>
      <c r="C318" s="27" t="n"/>
      <c r="D318" s="28">
        <f>IF($C318="","",IFERROR(INDEX('Topic Plan'!$C$5:$C$115,MATCH($C318,'Topic Plan'!$B$5:$B$115,0)),"UNKNOWN TOPIC ID"))</f>
        <v/>
      </c>
      <c r="E318" s="28">
        <f>IF($C318="","",IFERROR(INDEX('Topic Plan'!$D$5:$D$115,MATCH($C318,'Topic Plan'!$B$5:$B$115,0)),""))</f>
        <v/>
      </c>
      <c r="F318" s="28">
        <f>IF($C318="","",IFERROR(INDEX('Topic Plan'!$E$5:$E$115,MATCH($C318,'Topic Plan'!$B$5:$B$115,0)),""))</f>
        <v/>
      </c>
      <c r="G318" s="23" t="n"/>
      <c r="H318" s="27" t="n"/>
      <c r="I318" s="27" t="n"/>
      <c r="J318" s="27" t="n"/>
      <c r="K318" s="27" t="n"/>
      <c r="L318" s="27" t="n"/>
      <c r="M318" s="27" t="n"/>
      <c r="N318" s="23" t="n"/>
      <c r="O318" s="29" t="n"/>
      <c r="P318" s="29" t="n"/>
      <c r="Q318" s="29" t="n"/>
      <c r="R318" s="29" t="n"/>
      <c r="S318" s="29" t="n"/>
      <c r="T318" s="29" t="n"/>
      <c r="U318" s="29" t="n"/>
      <c r="V318" s="30">
        <f>IF(OR($A318="",$U318=""),"",IF($S318&lt;&gt;"",MAX(0,$S318-$U318),MAX(0,TODAY()-$U318)))</f>
        <v/>
      </c>
      <c r="W318" s="30">
        <f>IF($A318="","",IF(OR($N318="Live",$N318="Retired"),"",TODAY()-MAX($O318,$P318,$Q318,$R318)))</f>
        <v/>
      </c>
      <c r="X318" s="23" t="n"/>
      <c r="Y318" s="30">
        <f>IF($A318="","",COUNTIFS('Issues Log'!$C$5:$C$504,$A318,'Issues Log'!$K$5:$K$504,"Open")+COUNTIFS('Issues Log'!$C$5:$C$504,$A318,'Issues Log'!$K$5:$K$504,"In progress"))</f>
        <v/>
      </c>
      <c r="Z318" s="27" t="n"/>
    </row>
    <row r="319">
      <c r="A319" s="27" t="n"/>
      <c r="B319" s="27" t="n"/>
      <c r="C319" s="27" t="n"/>
      <c r="D319" s="28">
        <f>IF($C319="","",IFERROR(INDEX('Topic Plan'!$C$5:$C$115,MATCH($C319,'Topic Plan'!$B$5:$B$115,0)),"UNKNOWN TOPIC ID"))</f>
        <v/>
      </c>
      <c r="E319" s="28">
        <f>IF($C319="","",IFERROR(INDEX('Topic Plan'!$D$5:$D$115,MATCH($C319,'Topic Plan'!$B$5:$B$115,0)),""))</f>
        <v/>
      </c>
      <c r="F319" s="28">
        <f>IF($C319="","",IFERROR(INDEX('Topic Plan'!$E$5:$E$115,MATCH($C319,'Topic Plan'!$B$5:$B$115,0)),""))</f>
        <v/>
      </c>
      <c r="G319" s="23" t="n"/>
      <c r="H319" s="27" t="n"/>
      <c r="I319" s="27" t="n"/>
      <c r="J319" s="27" t="n"/>
      <c r="K319" s="27" t="n"/>
      <c r="L319" s="27" t="n"/>
      <c r="M319" s="27" t="n"/>
      <c r="N319" s="23" t="n"/>
      <c r="O319" s="29" t="n"/>
      <c r="P319" s="29" t="n"/>
      <c r="Q319" s="29" t="n"/>
      <c r="R319" s="29" t="n"/>
      <c r="S319" s="29" t="n"/>
      <c r="T319" s="29" t="n"/>
      <c r="U319" s="29" t="n"/>
      <c r="V319" s="30">
        <f>IF(OR($A319="",$U319=""),"",IF($S319&lt;&gt;"",MAX(0,$S319-$U319),MAX(0,TODAY()-$U319)))</f>
        <v/>
      </c>
      <c r="W319" s="30">
        <f>IF($A319="","",IF(OR($N319="Live",$N319="Retired"),"",TODAY()-MAX($O319,$P319,$Q319,$R319)))</f>
        <v/>
      </c>
      <c r="X319" s="23" t="n"/>
      <c r="Y319" s="30">
        <f>IF($A319="","",COUNTIFS('Issues Log'!$C$5:$C$504,$A319,'Issues Log'!$K$5:$K$504,"Open")+COUNTIFS('Issues Log'!$C$5:$C$504,$A319,'Issues Log'!$K$5:$K$504,"In progress"))</f>
        <v/>
      </c>
      <c r="Z319" s="27" t="n"/>
    </row>
    <row r="320">
      <c r="A320" s="27" t="n"/>
      <c r="B320" s="27" t="n"/>
      <c r="C320" s="27" t="n"/>
      <c r="D320" s="28">
        <f>IF($C320="","",IFERROR(INDEX('Topic Plan'!$C$5:$C$115,MATCH($C320,'Topic Plan'!$B$5:$B$115,0)),"UNKNOWN TOPIC ID"))</f>
        <v/>
      </c>
      <c r="E320" s="28">
        <f>IF($C320="","",IFERROR(INDEX('Topic Plan'!$D$5:$D$115,MATCH($C320,'Topic Plan'!$B$5:$B$115,0)),""))</f>
        <v/>
      </c>
      <c r="F320" s="28">
        <f>IF($C320="","",IFERROR(INDEX('Topic Plan'!$E$5:$E$115,MATCH($C320,'Topic Plan'!$B$5:$B$115,0)),""))</f>
        <v/>
      </c>
      <c r="G320" s="23" t="n"/>
      <c r="H320" s="27" t="n"/>
      <c r="I320" s="27" t="n"/>
      <c r="J320" s="27" t="n"/>
      <c r="K320" s="27" t="n"/>
      <c r="L320" s="27" t="n"/>
      <c r="M320" s="27" t="n"/>
      <c r="N320" s="23" t="n"/>
      <c r="O320" s="29" t="n"/>
      <c r="P320" s="29" t="n"/>
      <c r="Q320" s="29" t="n"/>
      <c r="R320" s="29" t="n"/>
      <c r="S320" s="29" t="n"/>
      <c r="T320" s="29" t="n"/>
      <c r="U320" s="29" t="n"/>
      <c r="V320" s="30">
        <f>IF(OR($A320="",$U320=""),"",IF($S320&lt;&gt;"",MAX(0,$S320-$U320),MAX(0,TODAY()-$U320)))</f>
        <v/>
      </c>
      <c r="W320" s="30">
        <f>IF($A320="","",IF(OR($N320="Live",$N320="Retired"),"",TODAY()-MAX($O320,$P320,$Q320,$R320)))</f>
        <v/>
      </c>
      <c r="X320" s="23" t="n"/>
      <c r="Y320" s="30">
        <f>IF($A320="","",COUNTIFS('Issues Log'!$C$5:$C$504,$A320,'Issues Log'!$K$5:$K$504,"Open")+COUNTIFS('Issues Log'!$C$5:$C$504,$A320,'Issues Log'!$K$5:$K$504,"In progress"))</f>
        <v/>
      </c>
      <c r="Z320" s="27" t="n"/>
    </row>
    <row r="321">
      <c r="A321" s="27" t="n"/>
      <c r="B321" s="27" t="n"/>
      <c r="C321" s="27" t="n"/>
      <c r="D321" s="28">
        <f>IF($C321="","",IFERROR(INDEX('Topic Plan'!$C$5:$C$115,MATCH($C321,'Topic Plan'!$B$5:$B$115,0)),"UNKNOWN TOPIC ID"))</f>
        <v/>
      </c>
      <c r="E321" s="28">
        <f>IF($C321="","",IFERROR(INDEX('Topic Plan'!$D$5:$D$115,MATCH($C321,'Topic Plan'!$B$5:$B$115,0)),""))</f>
        <v/>
      </c>
      <c r="F321" s="28">
        <f>IF($C321="","",IFERROR(INDEX('Topic Plan'!$E$5:$E$115,MATCH($C321,'Topic Plan'!$B$5:$B$115,0)),""))</f>
        <v/>
      </c>
      <c r="G321" s="23" t="n"/>
      <c r="H321" s="27" t="n"/>
      <c r="I321" s="27" t="n"/>
      <c r="J321" s="27" t="n"/>
      <c r="K321" s="27" t="n"/>
      <c r="L321" s="27" t="n"/>
      <c r="M321" s="27" t="n"/>
      <c r="N321" s="23" t="n"/>
      <c r="O321" s="29" t="n"/>
      <c r="P321" s="29" t="n"/>
      <c r="Q321" s="29" t="n"/>
      <c r="R321" s="29" t="n"/>
      <c r="S321" s="29" t="n"/>
      <c r="T321" s="29" t="n"/>
      <c r="U321" s="29" t="n"/>
      <c r="V321" s="30">
        <f>IF(OR($A321="",$U321=""),"",IF($S321&lt;&gt;"",MAX(0,$S321-$U321),MAX(0,TODAY()-$U321)))</f>
        <v/>
      </c>
      <c r="W321" s="30">
        <f>IF($A321="","",IF(OR($N321="Live",$N321="Retired"),"",TODAY()-MAX($O321,$P321,$Q321,$R321)))</f>
        <v/>
      </c>
      <c r="X321" s="23" t="n"/>
      <c r="Y321" s="30">
        <f>IF($A321="","",COUNTIFS('Issues Log'!$C$5:$C$504,$A321,'Issues Log'!$K$5:$K$504,"Open")+COUNTIFS('Issues Log'!$C$5:$C$504,$A321,'Issues Log'!$K$5:$K$504,"In progress"))</f>
        <v/>
      </c>
      <c r="Z321" s="27" t="n"/>
    </row>
    <row r="322">
      <c r="A322" s="27" t="n"/>
      <c r="B322" s="27" t="n"/>
      <c r="C322" s="27" t="n"/>
      <c r="D322" s="28">
        <f>IF($C322="","",IFERROR(INDEX('Topic Plan'!$C$5:$C$115,MATCH($C322,'Topic Plan'!$B$5:$B$115,0)),"UNKNOWN TOPIC ID"))</f>
        <v/>
      </c>
      <c r="E322" s="28">
        <f>IF($C322="","",IFERROR(INDEX('Topic Plan'!$D$5:$D$115,MATCH($C322,'Topic Plan'!$B$5:$B$115,0)),""))</f>
        <v/>
      </c>
      <c r="F322" s="28">
        <f>IF($C322="","",IFERROR(INDEX('Topic Plan'!$E$5:$E$115,MATCH($C322,'Topic Plan'!$B$5:$B$115,0)),""))</f>
        <v/>
      </c>
      <c r="G322" s="23" t="n"/>
      <c r="H322" s="27" t="n"/>
      <c r="I322" s="27" t="n"/>
      <c r="J322" s="27" t="n"/>
      <c r="K322" s="27" t="n"/>
      <c r="L322" s="27" t="n"/>
      <c r="M322" s="27" t="n"/>
      <c r="N322" s="23" t="n"/>
      <c r="O322" s="29" t="n"/>
      <c r="P322" s="29" t="n"/>
      <c r="Q322" s="29" t="n"/>
      <c r="R322" s="29" t="n"/>
      <c r="S322" s="29" t="n"/>
      <c r="T322" s="29" t="n"/>
      <c r="U322" s="29" t="n"/>
      <c r="V322" s="30">
        <f>IF(OR($A322="",$U322=""),"",IF($S322&lt;&gt;"",MAX(0,$S322-$U322),MAX(0,TODAY()-$U322)))</f>
        <v/>
      </c>
      <c r="W322" s="30">
        <f>IF($A322="","",IF(OR($N322="Live",$N322="Retired"),"",TODAY()-MAX($O322,$P322,$Q322,$R322)))</f>
        <v/>
      </c>
      <c r="X322" s="23" t="n"/>
      <c r="Y322" s="30">
        <f>IF($A322="","",COUNTIFS('Issues Log'!$C$5:$C$504,$A322,'Issues Log'!$K$5:$K$504,"Open")+COUNTIFS('Issues Log'!$C$5:$C$504,$A322,'Issues Log'!$K$5:$K$504,"In progress"))</f>
        <v/>
      </c>
      <c r="Z322" s="27" t="n"/>
    </row>
    <row r="323">
      <c r="A323" s="27" t="n"/>
      <c r="B323" s="27" t="n"/>
      <c r="C323" s="27" t="n"/>
      <c r="D323" s="28">
        <f>IF($C323="","",IFERROR(INDEX('Topic Plan'!$C$5:$C$115,MATCH($C323,'Topic Plan'!$B$5:$B$115,0)),"UNKNOWN TOPIC ID"))</f>
        <v/>
      </c>
      <c r="E323" s="28">
        <f>IF($C323="","",IFERROR(INDEX('Topic Plan'!$D$5:$D$115,MATCH($C323,'Topic Plan'!$B$5:$B$115,0)),""))</f>
        <v/>
      </c>
      <c r="F323" s="28">
        <f>IF($C323="","",IFERROR(INDEX('Topic Plan'!$E$5:$E$115,MATCH($C323,'Topic Plan'!$B$5:$B$115,0)),""))</f>
        <v/>
      </c>
      <c r="G323" s="23" t="n"/>
      <c r="H323" s="27" t="n"/>
      <c r="I323" s="27" t="n"/>
      <c r="J323" s="27" t="n"/>
      <c r="K323" s="27" t="n"/>
      <c r="L323" s="27" t="n"/>
      <c r="M323" s="27" t="n"/>
      <c r="N323" s="23" t="n"/>
      <c r="O323" s="29" t="n"/>
      <c r="P323" s="29" t="n"/>
      <c r="Q323" s="29" t="n"/>
      <c r="R323" s="29" t="n"/>
      <c r="S323" s="29" t="n"/>
      <c r="T323" s="29" t="n"/>
      <c r="U323" s="29" t="n"/>
      <c r="V323" s="30">
        <f>IF(OR($A323="",$U323=""),"",IF($S323&lt;&gt;"",MAX(0,$S323-$U323),MAX(0,TODAY()-$U323)))</f>
        <v/>
      </c>
      <c r="W323" s="30">
        <f>IF($A323="","",IF(OR($N323="Live",$N323="Retired"),"",TODAY()-MAX($O323,$P323,$Q323,$R323)))</f>
        <v/>
      </c>
      <c r="X323" s="23" t="n"/>
      <c r="Y323" s="30">
        <f>IF($A323="","",COUNTIFS('Issues Log'!$C$5:$C$504,$A323,'Issues Log'!$K$5:$K$504,"Open")+COUNTIFS('Issues Log'!$C$5:$C$504,$A323,'Issues Log'!$K$5:$K$504,"In progress"))</f>
        <v/>
      </c>
      <c r="Z323" s="27" t="n"/>
    </row>
    <row r="324">
      <c r="A324" s="27" t="n"/>
      <c r="B324" s="27" t="n"/>
      <c r="C324" s="27" t="n"/>
      <c r="D324" s="28">
        <f>IF($C324="","",IFERROR(INDEX('Topic Plan'!$C$5:$C$115,MATCH($C324,'Topic Plan'!$B$5:$B$115,0)),"UNKNOWN TOPIC ID"))</f>
        <v/>
      </c>
      <c r="E324" s="28">
        <f>IF($C324="","",IFERROR(INDEX('Topic Plan'!$D$5:$D$115,MATCH($C324,'Topic Plan'!$B$5:$B$115,0)),""))</f>
        <v/>
      </c>
      <c r="F324" s="28">
        <f>IF($C324="","",IFERROR(INDEX('Topic Plan'!$E$5:$E$115,MATCH($C324,'Topic Plan'!$B$5:$B$115,0)),""))</f>
        <v/>
      </c>
      <c r="G324" s="23" t="n"/>
      <c r="H324" s="27" t="n"/>
      <c r="I324" s="27" t="n"/>
      <c r="J324" s="27" t="n"/>
      <c r="K324" s="27" t="n"/>
      <c r="L324" s="27" t="n"/>
      <c r="M324" s="27" t="n"/>
      <c r="N324" s="23" t="n"/>
      <c r="O324" s="29" t="n"/>
      <c r="P324" s="29" t="n"/>
      <c r="Q324" s="29" t="n"/>
      <c r="R324" s="29" t="n"/>
      <c r="S324" s="29" t="n"/>
      <c r="T324" s="29" t="n"/>
      <c r="U324" s="29" t="n"/>
      <c r="V324" s="30">
        <f>IF(OR($A324="",$U324=""),"",IF($S324&lt;&gt;"",MAX(0,$S324-$U324),MAX(0,TODAY()-$U324)))</f>
        <v/>
      </c>
      <c r="W324" s="30">
        <f>IF($A324="","",IF(OR($N324="Live",$N324="Retired"),"",TODAY()-MAX($O324,$P324,$Q324,$R324)))</f>
        <v/>
      </c>
      <c r="X324" s="23" t="n"/>
      <c r="Y324" s="30">
        <f>IF($A324="","",COUNTIFS('Issues Log'!$C$5:$C$504,$A324,'Issues Log'!$K$5:$K$504,"Open")+COUNTIFS('Issues Log'!$C$5:$C$504,$A324,'Issues Log'!$K$5:$K$504,"In progress"))</f>
        <v/>
      </c>
      <c r="Z324" s="27" t="n"/>
    </row>
    <row r="325">
      <c r="A325" s="27" t="n"/>
      <c r="B325" s="27" t="n"/>
      <c r="C325" s="27" t="n"/>
      <c r="D325" s="28">
        <f>IF($C325="","",IFERROR(INDEX('Topic Plan'!$C$5:$C$115,MATCH($C325,'Topic Plan'!$B$5:$B$115,0)),"UNKNOWN TOPIC ID"))</f>
        <v/>
      </c>
      <c r="E325" s="28">
        <f>IF($C325="","",IFERROR(INDEX('Topic Plan'!$D$5:$D$115,MATCH($C325,'Topic Plan'!$B$5:$B$115,0)),""))</f>
        <v/>
      </c>
      <c r="F325" s="28">
        <f>IF($C325="","",IFERROR(INDEX('Topic Plan'!$E$5:$E$115,MATCH($C325,'Topic Plan'!$B$5:$B$115,0)),""))</f>
        <v/>
      </c>
      <c r="G325" s="23" t="n"/>
      <c r="H325" s="27" t="n"/>
      <c r="I325" s="27" t="n"/>
      <c r="J325" s="27" t="n"/>
      <c r="K325" s="27" t="n"/>
      <c r="L325" s="27" t="n"/>
      <c r="M325" s="27" t="n"/>
      <c r="N325" s="23" t="n"/>
      <c r="O325" s="29" t="n"/>
      <c r="P325" s="29" t="n"/>
      <c r="Q325" s="29" t="n"/>
      <c r="R325" s="29" t="n"/>
      <c r="S325" s="29" t="n"/>
      <c r="T325" s="29" t="n"/>
      <c r="U325" s="29" t="n"/>
      <c r="V325" s="30">
        <f>IF(OR($A325="",$U325=""),"",IF($S325&lt;&gt;"",MAX(0,$S325-$U325),MAX(0,TODAY()-$U325)))</f>
        <v/>
      </c>
      <c r="W325" s="30">
        <f>IF($A325="","",IF(OR($N325="Live",$N325="Retired"),"",TODAY()-MAX($O325,$P325,$Q325,$R325)))</f>
        <v/>
      </c>
      <c r="X325" s="23" t="n"/>
      <c r="Y325" s="30">
        <f>IF($A325="","",COUNTIFS('Issues Log'!$C$5:$C$504,$A325,'Issues Log'!$K$5:$K$504,"Open")+COUNTIFS('Issues Log'!$C$5:$C$504,$A325,'Issues Log'!$K$5:$K$504,"In progress"))</f>
        <v/>
      </c>
      <c r="Z325" s="27" t="n"/>
    </row>
    <row r="326">
      <c r="A326" s="27" t="n"/>
      <c r="B326" s="27" t="n"/>
      <c r="C326" s="27" t="n"/>
      <c r="D326" s="28">
        <f>IF($C326="","",IFERROR(INDEX('Topic Plan'!$C$5:$C$115,MATCH($C326,'Topic Plan'!$B$5:$B$115,0)),"UNKNOWN TOPIC ID"))</f>
        <v/>
      </c>
      <c r="E326" s="28">
        <f>IF($C326="","",IFERROR(INDEX('Topic Plan'!$D$5:$D$115,MATCH($C326,'Topic Plan'!$B$5:$B$115,0)),""))</f>
        <v/>
      </c>
      <c r="F326" s="28">
        <f>IF($C326="","",IFERROR(INDEX('Topic Plan'!$E$5:$E$115,MATCH($C326,'Topic Plan'!$B$5:$B$115,0)),""))</f>
        <v/>
      </c>
      <c r="G326" s="23" t="n"/>
      <c r="H326" s="27" t="n"/>
      <c r="I326" s="27" t="n"/>
      <c r="J326" s="27" t="n"/>
      <c r="K326" s="27" t="n"/>
      <c r="L326" s="27" t="n"/>
      <c r="M326" s="27" t="n"/>
      <c r="N326" s="23" t="n"/>
      <c r="O326" s="29" t="n"/>
      <c r="P326" s="29" t="n"/>
      <c r="Q326" s="29" t="n"/>
      <c r="R326" s="29" t="n"/>
      <c r="S326" s="29" t="n"/>
      <c r="T326" s="29" t="n"/>
      <c r="U326" s="29" t="n"/>
      <c r="V326" s="30">
        <f>IF(OR($A326="",$U326=""),"",IF($S326&lt;&gt;"",MAX(0,$S326-$U326),MAX(0,TODAY()-$U326)))</f>
        <v/>
      </c>
      <c r="W326" s="30">
        <f>IF($A326="","",IF(OR($N326="Live",$N326="Retired"),"",TODAY()-MAX($O326,$P326,$Q326,$R326)))</f>
        <v/>
      </c>
      <c r="X326" s="23" t="n"/>
      <c r="Y326" s="30">
        <f>IF($A326="","",COUNTIFS('Issues Log'!$C$5:$C$504,$A326,'Issues Log'!$K$5:$K$504,"Open")+COUNTIFS('Issues Log'!$C$5:$C$504,$A326,'Issues Log'!$K$5:$K$504,"In progress"))</f>
        <v/>
      </c>
      <c r="Z326" s="27" t="n"/>
    </row>
    <row r="327">
      <c r="A327" s="27" t="n"/>
      <c r="B327" s="27" t="n"/>
      <c r="C327" s="27" t="n"/>
      <c r="D327" s="28">
        <f>IF($C327="","",IFERROR(INDEX('Topic Plan'!$C$5:$C$115,MATCH($C327,'Topic Plan'!$B$5:$B$115,0)),"UNKNOWN TOPIC ID"))</f>
        <v/>
      </c>
      <c r="E327" s="28">
        <f>IF($C327="","",IFERROR(INDEX('Topic Plan'!$D$5:$D$115,MATCH($C327,'Topic Plan'!$B$5:$B$115,0)),""))</f>
        <v/>
      </c>
      <c r="F327" s="28">
        <f>IF($C327="","",IFERROR(INDEX('Topic Plan'!$E$5:$E$115,MATCH($C327,'Topic Plan'!$B$5:$B$115,0)),""))</f>
        <v/>
      </c>
      <c r="G327" s="23" t="n"/>
      <c r="H327" s="27" t="n"/>
      <c r="I327" s="27" t="n"/>
      <c r="J327" s="27" t="n"/>
      <c r="K327" s="27" t="n"/>
      <c r="L327" s="27" t="n"/>
      <c r="M327" s="27" t="n"/>
      <c r="N327" s="23" t="n"/>
      <c r="O327" s="29" t="n"/>
      <c r="P327" s="29" t="n"/>
      <c r="Q327" s="29" t="n"/>
      <c r="R327" s="29" t="n"/>
      <c r="S327" s="29" t="n"/>
      <c r="T327" s="29" t="n"/>
      <c r="U327" s="29" t="n"/>
      <c r="V327" s="30">
        <f>IF(OR($A327="",$U327=""),"",IF($S327&lt;&gt;"",MAX(0,$S327-$U327),MAX(0,TODAY()-$U327)))</f>
        <v/>
      </c>
      <c r="W327" s="30">
        <f>IF($A327="","",IF(OR($N327="Live",$N327="Retired"),"",TODAY()-MAX($O327,$P327,$Q327,$R327)))</f>
        <v/>
      </c>
      <c r="X327" s="23" t="n"/>
      <c r="Y327" s="30">
        <f>IF($A327="","",COUNTIFS('Issues Log'!$C$5:$C$504,$A327,'Issues Log'!$K$5:$K$504,"Open")+COUNTIFS('Issues Log'!$C$5:$C$504,$A327,'Issues Log'!$K$5:$K$504,"In progress"))</f>
        <v/>
      </c>
      <c r="Z327" s="27" t="n"/>
    </row>
    <row r="328">
      <c r="A328" s="27" t="n"/>
      <c r="B328" s="27" t="n"/>
      <c r="C328" s="27" t="n"/>
      <c r="D328" s="28">
        <f>IF($C328="","",IFERROR(INDEX('Topic Plan'!$C$5:$C$115,MATCH($C328,'Topic Plan'!$B$5:$B$115,0)),"UNKNOWN TOPIC ID"))</f>
        <v/>
      </c>
      <c r="E328" s="28">
        <f>IF($C328="","",IFERROR(INDEX('Topic Plan'!$D$5:$D$115,MATCH($C328,'Topic Plan'!$B$5:$B$115,0)),""))</f>
        <v/>
      </c>
      <c r="F328" s="28">
        <f>IF($C328="","",IFERROR(INDEX('Topic Plan'!$E$5:$E$115,MATCH($C328,'Topic Plan'!$B$5:$B$115,0)),""))</f>
        <v/>
      </c>
      <c r="G328" s="23" t="n"/>
      <c r="H328" s="27" t="n"/>
      <c r="I328" s="27" t="n"/>
      <c r="J328" s="27" t="n"/>
      <c r="K328" s="27" t="n"/>
      <c r="L328" s="27" t="n"/>
      <c r="M328" s="27" t="n"/>
      <c r="N328" s="23" t="n"/>
      <c r="O328" s="29" t="n"/>
      <c r="P328" s="29" t="n"/>
      <c r="Q328" s="29" t="n"/>
      <c r="R328" s="29" t="n"/>
      <c r="S328" s="29" t="n"/>
      <c r="T328" s="29" t="n"/>
      <c r="U328" s="29" t="n"/>
      <c r="V328" s="30">
        <f>IF(OR($A328="",$U328=""),"",IF($S328&lt;&gt;"",MAX(0,$S328-$U328),MAX(0,TODAY()-$U328)))</f>
        <v/>
      </c>
      <c r="W328" s="30">
        <f>IF($A328="","",IF(OR($N328="Live",$N328="Retired"),"",TODAY()-MAX($O328,$P328,$Q328,$R328)))</f>
        <v/>
      </c>
      <c r="X328" s="23" t="n"/>
      <c r="Y328" s="30">
        <f>IF($A328="","",COUNTIFS('Issues Log'!$C$5:$C$504,$A328,'Issues Log'!$K$5:$K$504,"Open")+COUNTIFS('Issues Log'!$C$5:$C$504,$A328,'Issues Log'!$K$5:$K$504,"In progress"))</f>
        <v/>
      </c>
      <c r="Z328" s="27" t="n"/>
    </row>
    <row r="329">
      <c r="A329" s="27" t="n"/>
      <c r="B329" s="27" t="n"/>
      <c r="C329" s="27" t="n"/>
      <c r="D329" s="28">
        <f>IF($C329="","",IFERROR(INDEX('Topic Plan'!$C$5:$C$115,MATCH($C329,'Topic Plan'!$B$5:$B$115,0)),"UNKNOWN TOPIC ID"))</f>
        <v/>
      </c>
      <c r="E329" s="28">
        <f>IF($C329="","",IFERROR(INDEX('Topic Plan'!$D$5:$D$115,MATCH($C329,'Topic Plan'!$B$5:$B$115,0)),""))</f>
        <v/>
      </c>
      <c r="F329" s="28">
        <f>IF($C329="","",IFERROR(INDEX('Topic Plan'!$E$5:$E$115,MATCH($C329,'Topic Plan'!$B$5:$B$115,0)),""))</f>
        <v/>
      </c>
      <c r="G329" s="23" t="n"/>
      <c r="H329" s="27" t="n"/>
      <c r="I329" s="27" t="n"/>
      <c r="J329" s="27" t="n"/>
      <c r="K329" s="27" t="n"/>
      <c r="L329" s="27" t="n"/>
      <c r="M329" s="27" t="n"/>
      <c r="N329" s="23" t="n"/>
      <c r="O329" s="29" t="n"/>
      <c r="P329" s="29" t="n"/>
      <c r="Q329" s="29" t="n"/>
      <c r="R329" s="29" t="n"/>
      <c r="S329" s="29" t="n"/>
      <c r="T329" s="29" t="n"/>
      <c r="U329" s="29" t="n"/>
      <c r="V329" s="30">
        <f>IF(OR($A329="",$U329=""),"",IF($S329&lt;&gt;"",MAX(0,$S329-$U329),MAX(0,TODAY()-$U329)))</f>
        <v/>
      </c>
      <c r="W329" s="30">
        <f>IF($A329="","",IF(OR($N329="Live",$N329="Retired"),"",TODAY()-MAX($O329,$P329,$Q329,$R329)))</f>
        <v/>
      </c>
      <c r="X329" s="23" t="n"/>
      <c r="Y329" s="30">
        <f>IF($A329="","",COUNTIFS('Issues Log'!$C$5:$C$504,$A329,'Issues Log'!$K$5:$K$504,"Open")+COUNTIFS('Issues Log'!$C$5:$C$504,$A329,'Issues Log'!$K$5:$K$504,"In progress"))</f>
        <v/>
      </c>
      <c r="Z329" s="27" t="n"/>
    </row>
    <row r="330">
      <c r="A330" s="27" t="n"/>
      <c r="B330" s="27" t="n"/>
      <c r="C330" s="27" t="n"/>
      <c r="D330" s="28">
        <f>IF($C330="","",IFERROR(INDEX('Topic Plan'!$C$5:$C$115,MATCH($C330,'Topic Plan'!$B$5:$B$115,0)),"UNKNOWN TOPIC ID"))</f>
        <v/>
      </c>
      <c r="E330" s="28">
        <f>IF($C330="","",IFERROR(INDEX('Topic Plan'!$D$5:$D$115,MATCH($C330,'Topic Plan'!$B$5:$B$115,0)),""))</f>
        <v/>
      </c>
      <c r="F330" s="28">
        <f>IF($C330="","",IFERROR(INDEX('Topic Plan'!$E$5:$E$115,MATCH($C330,'Topic Plan'!$B$5:$B$115,0)),""))</f>
        <v/>
      </c>
      <c r="G330" s="23" t="n"/>
      <c r="H330" s="27" t="n"/>
      <c r="I330" s="27" t="n"/>
      <c r="J330" s="27" t="n"/>
      <c r="K330" s="27" t="n"/>
      <c r="L330" s="27" t="n"/>
      <c r="M330" s="27" t="n"/>
      <c r="N330" s="23" t="n"/>
      <c r="O330" s="29" t="n"/>
      <c r="P330" s="29" t="n"/>
      <c r="Q330" s="29" t="n"/>
      <c r="R330" s="29" t="n"/>
      <c r="S330" s="29" t="n"/>
      <c r="T330" s="29" t="n"/>
      <c r="U330" s="29" t="n"/>
      <c r="V330" s="30">
        <f>IF(OR($A330="",$U330=""),"",IF($S330&lt;&gt;"",MAX(0,$S330-$U330),MAX(0,TODAY()-$U330)))</f>
        <v/>
      </c>
      <c r="W330" s="30">
        <f>IF($A330="","",IF(OR($N330="Live",$N330="Retired"),"",TODAY()-MAX($O330,$P330,$Q330,$R330)))</f>
        <v/>
      </c>
      <c r="X330" s="23" t="n"/>
      <c r="Y330" s="30">
        <f>IF($A330="","",COUNTIFS('Issues Log'!$C$5:$C$504,$A330,'Issues Log'!$K$5:$K$504,"Open")+COUNTIFS('Issues Log'!$C$5:$C$504,$A330,'Issues Log'!$K$5:$K$504,"In progress"))</f>
        <v/>
      </c>
      <c r="Z330" s="27" t="n"/>
    </row>
    <row r="331">
      <c r="A331" s="27" t="n"/>
      <c r="B331" s="27" t="n"/>
      <c r="C331" s="27" t="n"/>
      <c r="D331" s="28">
        <f>IF($C331="","",IFERROR(INDEX('Topic Plan'!$C$5:$C$115,MATCH($C331,'Topic Plan'!$B$5:$B$115,0)),"UNKNOWN TOPIC ID"))</f>
        <v/>
      </c>
      <c r="E331" s="28">
        <f>IF($C331="","",IFERROR(INDEX('Topic Plan'!$D$5:$D$115,MATCH($C331,'Topic Plan'!$B$5:$B$115,0)),""))</f>
        <v/>
      </c>
      <c r="F331" s="28">
        <f>IF($C331="","",IFERROR(INDEX('Topic Plan'!$E$5:$E$115,MATCH($C331,'Topic Plan'!$B$5:$B$115,0)),""))</f>
        <v/>
      </c>
      <c r="G331" s="23" t="n"/>
      <c r="H331" s="27" t="n"/>
      <c r="I331" s="27" t="n"/>
      <c r="J331" s="27" t="n"/>
      <c r="K331" s="27" t="n"/>
      <c r="L331" s="27" t="n"/>
      <c r="M331" s="27" t="n"/>
      <c r="N331" s="23" t="n"/>
      <c r="O331" s="29" t="n"/>
      <c r="P331" s="29" t="n"/>
      <c r="Q331" s="29" t="n"/>
      <c r="R331" s="29" t="n"/>
      <c r="S331" s="29" t="n"/>
      <c r="T331" s="29" t="n"/>
      <c r="U331" s="29" t="n"/>
      <c r="V331" s="30">
        <f>IF(OR($A331="",$U331=""),"",IF($S331&lt;&gt;"",MAX(0,$S331-$U331),MAX(0,TODAY()-$U331)))</f>
        <v/>
      </c>
      <c r="W331" s="30">
        <f>IF($A331="","",IF(OR($N331="Live",$N331="Retired"),"",TODAY()-MAX($O331,$P331,$Q331,$R331)))</f>
        <v/>
      </c>
      <c r="X331" s="23" t="n"/>
      <c r="Y331" s="30">
        <f>IF($A331="","",COUNTIFS('Issues Log'!$C$5:$C$504,$A331,'Issues Log'!$K$5:$K$504,"Open")+COUNTIFS('Issues Log'!$C$5:$C$504,$A331,'Issues Log'!$K$5:$K$504,"In progress"))</f>
        <v/>
      </c>
      <c r="Z331" s="27" t="n"/>
    </row>
    <row r="332">
      <c r="A332" s="27" t="n"/>
      <c r="B332" s="27" t="n"/>
      <c r="C332" s="27" t="n"/>
      <c r="D332" s="28">
        <f>IF($C332="","",IFERROR(INDEX('Topic Plan'!$C$5:$C$115,MATCH($C332,'Topic Plan'!$B$5:$B$115,0)),"UNKNOWN TOPIC ID"))</f>
        <v/>
      </c>
      <c r="E332" s="28">
        <f>IF($C332="","",IFERROR(INDEX('Topic Plan'!$D$5:$D$115,MATCH($C332,'Topic Plan'!$B$5:$B$115,0)),""))</f>
        <v/>
      </c>
      <c r="F332" s="28">
        <f>IF($C332="","",IFERROR(INDEX('Topic Plan'!$E$5:$E$115,MATCH($C332,'Topic Plan'!$B$5:$B$115,0)),""))</f>
        <v/>
      </c>
      <c r="G332" s="23" t="n"/>
      <c r="H332" s="27" t="n"/>
      <c r="I332" s="27" t="n"/>
      <c r="J332" s="27" t="n"/>
      <c r="K332" s="27" t="n"/>
      <c r="L332" s="27" t="n"/>
      <c r="M332" s="27" t="n"/>
      <c r="N332" s="23" t="n"/>
      <c r="O332" s="29" t="n"/>
      <c r="P332" s="29" t="n"/>
      <c r="Q332" s="29" t="n"/>
      <c r="R332" s="29" t="n"/>
      <c r="S332" s="29" t="n"/>
      <c r="T332" s="29" t="n"/>
      <c r="U332" s="29" t="n"/>
      <c r="V332" s="30">
        <f>IF(OR($A332="",$U332=""),"",IF($S332&lt;&gt;"",MAX(0,$S332-$U332),MAX(0,TODAY()-$U332)))</f>
        <v/>
      </c>
      <c r="W332" s="30">
        <f>IF($A332="","",IF(OR($N332="Live",$N332="Retired"),"",TODAY()-MAX($O332,$P332,$Q332,$R332)))</f>
        <v/>
      </c>
      <c r="X332" s="23" t="n"/>
      <c r="Y332" s="30">
        <f>IF($A332="","",COUNTIFS('Issues Log'!$C$5:$C$504,$A332,'Issues Log'!$K$5:$K$504,"Open")+COUNTIFS('Issues Log'!$C$5:$C$504,$A332,'Issues Log'!$K$5:$K$504,"In progress"))</f>
        <v/>
      </c>
      <c r="Z332" s="27" t="n"/>
    </row>
    <row r="333">
      <c r="A333" s="27" t="n"/>
      <c r="B333" s="27" t="n"/>
      <c r="C333" s="27" t="n"/>
      <c r="D333" s="28">
        <f>IF($C333="","",IFERROR(INDEX('Topic Plan'!$C$5:$C$115,MATCH($C333,'Topic Plan'!$B$5:$B$115,0)),"UNKNOWN TOPIC ID"))</f>
        <v/>
      </c>
      <c r="E333" s="28">
        <f>IF($C333="","",IFERROR(INDEX('Topic Plan'!$D$5:$D$115,MATCH($C333,'Topic Plan'!$B$5:$B$115,0)),""))</f>
        <v/>
      </c>
      <c r="F333" s="28">
        <f>IF($C333="","",IFERROR(INDEX('Topic Plan'!$E$5:$E$115,MATCH($C333,'Topic Plan'!$B$5:$B$115,0)),""))</f>
        <v/>
      </c>
      <c r="G333" s="23" t="n"/>
      <c r="H333" s="27" t="n"/>
      <c r="I333" s="27" t="n"/>
      <c r="J333" s="27" t="n"/>
      <c r="K333" s="27" t="n"/>
      <c r="L333" s="27" t="n"/>
      <c r="M333" s="27" t="n"/>
      <c r="N333" s="23" t="n"/>
      <c r="O333" s="29" t="n"/>
      <c r="P333" s="29" t="n"/>
      <c r="Q333" s="29" t="n"/>
      <c r="R333" s="29" t="n"/>
      <c r="S333" s="29" t="n"/>
      <c r="T333" s="29" t="n"/>
      <c r="U333" s="29" t="n"/>
      <c r="V333" s="30">
        <f>IF(OR($A333="",$U333=""),"",IF($S333&lt;&gt;"",MAX(0,$S333-$U333),MAX(0,TODAY()-$U333)))</f>
        <v/>
      </c>
      <c r="W333" s="30">
        <f>IF($A333="","",IF(OR($N333="Live",$N333="Retired"),"",TODAY()-MAX($O333,$P333,$Q333,$R333)))</f>
        <v/>
      </c>
      <c r="X333" s="23" t="n"/>
      <c r="Y333" s="30">
        <f>IF($A333="","",COUNTIFS('Issues Log'!$C$5:$C$504,$A333,'Issues Log'!$K$5:$K$504,"Open")+COUNTIFS('Issues Log'!$C$5:$C$504,$A333,'Issues Log'!$K$5:$K$504,"In progress"))</f>
        <v/>
      </c>
      <c r="Z333" s="27" t="n"/>
    </row>
    <row r="334">
      <c r="A334" s="27" t="n"/>
      <c r="B334" s="27" t="n"/>
      <c r="C334" s="27" t="n"/>
      <c r="D334" s="28">
        <f>IF($C334="","",IFERROR(INDEX('Topic Plan'!$C$5:$C$115,MATCH($C334,'Topic Plan'!$B$5:$B$115,0)),"UNKNOWN TOPIC ID"))</f>
        <v/>
      </c>
      <c r="E334" s="28">
        <f>IF($C334="","",IFERROR(INDEX('Topic Plan'!$D$5:$D$115,MATCH($C334,'Topic Plan'!$B$5:$B$115,0)),""))</f>
        <v/>
      </c>
      <c r="F334" s="28">
        <f>IF($C334="","",IFERROR(INDEX('Topic Plan'!$E$5:$E$115,MATCH($C334,'Topic Plan'!$B$5:$B$115,0)),""))</f>
        <v/>
      </c>
      <c r="G334" s="23" t="n"/>
      <c r="H334" s="27" t="n"/>
      <c r="I334" s="27" t="n"/>
      <c r="J334" s="27" t="n"/>
      <c r="K334" s="27" t="n"/>
      <c r="L334" s="27" t="n"/>
      <c r="M334" s="27" t="n"/>
      <c r="N334" s="23" t="n"/>
      <c r="O334" s="29" t="n"/>
      <c r="P334" s="29" t="n"/>
      <c r="Q334" s="29" t="n"/>
      <c r="R334" s="29" t="n"/>
      <c r="S334" s="29" t="n"/>
      <c r="T334" s="29" t="n"/>
      <c r="U334" s="29" t="n"/>
      <c r="V334" s="30">
        <f>IF(OR($A334="",$U334=""),"",IF($S334&lt;&gt;"",MAX(0,$S334-$U334),MAX(0,TODAY()-$U334)))</f>
        <v/>
      </c>
      <c r="W334" s="30">
        <f>IF($A334="","",IF(OR($N334="Live",$N334="Retired"),"",TODAY()-MAX($O334,$P334,$Q334,$R334)))</f>
        <v/>
      </c>
      <c r="X334" s="23" t="n"/>
      <c r="Y334" s="30">
        <f>IF($A334="","",COUNTIFS('Issues Log'!$C$5:$C$504,$A334,'Issues Log'!$K$5:$K$504,"Open")+COUNTIFS('Issues Log'!$C$5:$C$504,$A334,'Issues Log'!$K$5:$K$504,"In progress"))</f>
        <v/>
      </c>
      <c r="Z334" s="27" t="n"/>
    </row>
    <row r="335">
      <c r="A335" s="27" t="n"/>
      <c r="B335" s="27" t="n"/>
      <c r="C335" s="27" t="n"/>
      <c r="D335" s="28">
        <f>IF($C335="","",IFERROR(INDEX('Topic Plan'!$C$5:$C$115,MATCH($C335,'Topic Plan'!$B$5:$B$115,0)),"UNKNOWN TOPIC ID"))</f>
        <v/>
      </c>
      <c r="E335" s="28">
        <f>IF($C335="","",IFERROR(INDEX('Topic Plan'!$D$5:$D$115,MATCH($C335,'Topic Plan'!$B$5:$B$115,0)),""))</f>
        <v/>
      </c>
      <c r="F335" s="28">
        <f>IF($C335="","",IFERROR(INDEX('Topic Plan'!$E$5:$E$115,MATCH($C335,'Topic Plan'!$B$5:$B$115,0)),""))</f>
        <v/>
      </c>
      <c r="G335" s="23" t="n"/>
      <c r="H335" s="27" t="n"/>
      <c r="I335" s="27" t="n"/>
      <c r="J335" s="27" t="n"/>
      <c r="K335" s="27" t="n"/>
      <c r="L335" s="27" t="n"/>
      <c r="M335" s="27" t="n"/>
      <c r="N335" s="23" t="n"/>
      <c r="O335" s="29" t="n"/>
      <c r="P335" s="29" t="n"/>
      <c r="Q335" s="29" t="n"/>
      <c r="R335" s="29" t="n"/>
      <c r="S335" s="29" t="n"/>
      <c r="T335" s="29" t="n"/>
      <c r="U335" s="29" t="n"/>
      <c r="V335" s="30">
        <f>IF(OR($A335="",$U335=""),"",IF($S335&lt;&gt;"",MAX(0,$S335-$U335),MAX(0,TODAY()-$U335)))</f>
        <v/>
      </c>
      <c r="W335" s="30">
        <f>IF($A335="","",IF(OR($N335="Live",$N335="Retired"),"",TODAY()-MAX($O335,$P335,$Q335,$R335)))</f>
        <v/>
      </c>
      <c r="X335" s="23" t="n"/>
      <c r="Y335" s="30">
        <f>IF($A335="","",COUNTIFS('Issues Log'!$C$5:$C$504,$A335,'Issues Log'!$K$5:$K$504,"Open")+COUNTIFS('Issues Log'!$C$5:$C$504,$A335,'Issues Log'!$K$5:$K$504,"In progress"))</f>
        <v/>
      </c>
      <c r="Z335" s="27" t="n"/>
    </row>
    <row r="336">
      <c r="A336" s="27" t="n"/>
      <c r="B336" s="27" t="n"/>
      <c r="C336" s="27" t="n"/>
      <c r="D336" s="28">
        <f>IF($C336="","",IFERROR(INDEX('Topic Plan'!$C$5:$C$115,MATCH($C336,'Topic Plan'!$B$5:$B$115,0)),"UNKNOWN TOPIC ID"))</f>
        <v/>
      </c>
      <c r="E336" s="28">
        <f>IF($C336="","",IFERROR(INDEX('Topic Plan'!$D$5:$D$115,MATCH($C336,'Topic Plan'!$B$5:$B$115,0)),""))</f>
        <v/>
      </c>
      <c r="F336" s="28">
        <f>IF($C336="","",IFERROR(INDEX('Topic Plan'!$E$5:$E$115,MATCH($C336,'Topic Plan'!$B$5:$B$115,0)),""))</f>
        <v/>
      </c>
      <c r="G336" s="23" t="n"/>
      <c r="H336" s="27" t="n"/>
      <c r="I336" s="27" t="n"/>
      <c r="J336" s="27" t="n"/>
      <c r="K336" s="27" t="n"/>
      <c r="L336" s="27" t="n"/>
      <c r="M336" s="27" t="n"/>
      <c r="N336" s="23" t="n"/>
      <c r="O336" s="29" t="n"/>
      <c r="P336" s="29" t="n"/>
      <c r="Q336" s="29" t="n"/>
      <c r="R336" s="29" t="n"/>
      <c r="S336" s="29" t="n"/>
      <c r="T336" s="29" t="n"/>
      <c r="U336" s="29" t="n"/>
      <c r="V336" s="30">
        <f>IF(OR($A336="",$U336=""),"",IF($S336&lt;&gt;"",MAX(0,$S336-$U336),MAX(0,TODAY()-$U336)))</f>
        <v/>
      </c>
      <c r="W336" s="30">
        <f>IF($A336="","",IF(OR($N336="Live",$N336="Retired"),"",TODAY()-MAX($O336,$P336,$Q336,$R336)))</f>
        <v/>
      </c>
      <c r="X336" s="23" t="n"/>
      <c r="Y336" s="30">
        <f>IF($A336="","",COUNTIFS('Issues Log'!$C$5:$C$504,$A336,'Issues Log'!$K$5:$K$504,"Open")+COUNTIFS('Issues Log'!$C$5:$C$504,$A336,'Issues Log'!$K$5:$K$504,"In progress"))</f>
        <v/>
      </c>
      <c r="Z336" s="27" t="n"/>
    </row>
    <row r="337">
      <c r="A337" s="27" t="n"/>
      <c r="B337" s="27" t="n"/>
      <c r="C337" s="27" t="n"/>
      <c r="D337" s="28">
        <f>IF($C337="","",IFERROR(INDEX('Topic Plan'!$C$5:$C$115,MATCH($C337,'Topic Plan'!$B$5:$B$115,0)),"UNKNOWN TOPIC ID"))</f>
        <v/>
      </c>
      <c r="E337" s="28">
        <f>IF($C337="","",IFERROR(INDEX('Topic Plan'!$D$5:$D$115,MATCH($C337,'Topic Plan'!$B$5:$B$115,0)),""))</f>
        <v/>
      </c>
      <c r="F337" s="28">
        <f>IF($C337="","",IFERROR(INDEX('Topic Plan'!$E$5:$E$115,MATCH($C337,'Topic Plan'!$B$5:$B$115,0)),""))</f>
        <v/>
      </c>
      <c r="G337" s="23" t="n"/>
      <c r="H337" s="27" t="n"/>
      <c r="I337" s="27" t="n"/>
      <c r="J337" s="27" t="n"/>
      <c r="K337" s="27" t="n"/>
      <c r="L337" s="27" t="n"/>
      <c r="M337" s="27" t="n"/>
      <c r="N337" s="23" t="n"/>
      <c r="O337" s="29" t="n"/>
      <c r="P337" s="29" t="n"/>
      <c r="Q337" s="29" t="n"/>
      <c r="R337" s="29" t="n"/>
      <c r="S337" s="29" t="n"/>
      <c r="T337" s="29" t="n"/>
      <c r="U337" s="29" t="n"/>
      <c r="V337" s="30">
        <f>IF(OR($A337="",$U337=""),"",IF($S337&lt;&gt;"",MAX(0,$S337-$U337),MAX(0,TODAY()-$U337)))</f>
        <v/>
      </c>
      <c r="W337" s="30">
        <f>IF($A337="","",IF(OR($N337="Live",$N337="Retired"),"",TODAY()-MAX($O337,$P337,$Q337,$R337)))</f>
        <v/>
      </c>
      <c r="X337" s="23" t="n"/>
      <c r="Y337" s="30">
        <f>IF($A337="","",COUNTIFS('Issues Log'!$C$5:$C$504,$A337,'Issues Log'!$K$5:$K$504,"Open")+COUNTIFS('Issues Log'!$C$5:$C$504,$A337,'Issues Log'!$K$5:$K$504,"In progress"))</f>
        <v/>
      </c>
      <c r="Z337" s="27" t="n"/>
    </row>
    <row r="338">
      <c r="A338" s="27" t="n"/>
      <c r="B338" s="27" t="n"/>
      <c r="C338" s="27" t="n"/>
      <c r="D338" s="28">
        <f>IF($C338="","",IFERROR(INDEX('Topic Plan'!$C$5:$C$115,MATCH($C338,'Topic Plan'!$B$5:$B$115,0)),"UNKNOWN TOPIC ID"))</f>
        <v/>
      </c>
      <c r="E338" s="28">
        <f>IF($C338="","",IFERROR(INDEX('Topic Plan'!$D$5:$D$115,MATCH($C338,'Topic Plan'!$B$5:$B$115,0)),""))</f>
        <v/>
      </c>
      <c r="F338" s="28">
        <f>IF($C338="","",IFERROR(INDEX('Topic Plan'!$E$5:$E$115,MATCH($C338,'Topic Plan'!$B$5:$B$115,0)),""))</f>
        <v/>
      </c>
      <c r="G338" s="23" t="n"/>
      <c r="H338" s="27" t="n"/>
      <c r="I338" s="27" t="n"/>
      <c r="J338" s="27" t="n"/>
      <c r="K338" s="27" t="n"/>
      <c r="L338" s="27" t="n"/>
      <c r="M338" s="27" t="n"/>
      <c r="N338" s="23" t="n"/>
      <c r="O338" s="29" t="n"/>
      <c r="P338" s="29" t="n"/>
      <c r="Q338" s="29" t="n"/>
      <c r="R338" s="29" t="n"/>
      <c r="S338" s="29" t="n"/>
      <c r="T338" s="29" t="n"/>
      <c r="U338" s="29" t="n"/>
      <c r="V338" s="30">
        <f>IF(OR($A338="",$U338=""),"",IF($S338&lt;&gt;"",MAX(0,$S338-$U338),MAX(0,TODAY()-$U338)))</f>
        <v/>
      </c>
      <c r="W338" s="30">
        <f>IF($A338="","",IF(OR($N338="Live",$N338="Retired"),"",TODAY()-MAX($O338,$P338,$Q338,$R338)))</f>
        <v/>
      </c>
      <c r="X338" s="23" t="n"/>
      <c r="Y338" s="30">
        <f>IF($A338="","",COUNTIFS('Issues Log'!$C$5:$C$504,$A338,'Issues Log'!$K$5:$K$504,"Open")+COUNTIFS('Issues Log'!$C$5:$C$504,$A338,'Issues Log'!$K$5:$K$504,"In progress"))</f>
        <v/>
      </c>
      <c r="Z338" s="27" t="n"/>
    </row>
    <row r="339">
      <c r="A339" s="27" t="n"/>
      <c r="B339" s="27" t="n"/>
      <c r="C339" s="27" t="n"/>
      <c r="D339" s="28">
        <f>IF($C339="","",IFERROR(INDEX('Topic Plan'!$C$5:$C$115,MATCH($C339,'Topic Plan'!$B$5:$B$115,0)),"UNKNOWN TOPIC ID"))</f>
        <v/>
      </c>
      <c r="E339" s="28">
        <f>IF($C339="","",IFERROR(INDEX('Topic Plan'!$D$5:$D$115,MATCH($C339,'Topic Plan'!$B$5:$B$115,0)),""))</f>
        <v/>
      </c>
      <c r="F339" s="28">
        <f>IF($C339="","",IFERROR(INDEX('Topic Plan'!$E$5:$E$115,MATCH($C339,'Topic Plan'!$B$5:$B$115,0)),""))</f>
        <v/>
      </c>
      <c r="G339" s="23" t="n"/>
      <c r="H339" s="27" t="n"/>
      <c r="I339" s="27" t="n"/>
      <c r="J339" s="27" t="n"/>
      <c r="K339" s="27" t="n"/>
      <c r="L339" s="27" t="n"/>
      <c r="M339" s="27" t="n"/>
      <c r="N339" s="23" t="n"/>
      <c r="O339" s="29" t="n"/>
      <c r="P339" s="29" t="n"/>
      <c r="Q339" s="29" t="n"/>
      <c r="R339" s="29" t="n"/>
      <c r="S339" s="29" t="n"/>
      <c r="T339" s="29" t="n"/>
      <c r="U339" s="29" t="n"/>
      <c r="V339" s="30">
        <f>IF(OR($A339="",$U339=""),"",IF($S339&lt;&gt;"",MAX(0,$S339-$U339),MAX(0,TODAY()-$U339)))</f>
        <v/>
      </c>
      <c r="W339" s="30">
        <f>IF($A339="","",IF(OR($N339="Live",$N339="Retired"),"",TODAY()-MAX($O339,$P339,$Q339,$R339)))</f>
        <v/>
      </c>
      <c r="X339" s="23" t="n"/>
      <c r="Y339" s="30">
        <f>IF($A339="","",COUNTIFS('Issues Log'!$C$5:$C$504,$A339,'Issues Log'!$K$5:$K$504,"Open")+COUNTIFS('Issues Log'!$C$5:$C$504,$A339,'Issues Log'!$K$5:$K$504,"In progress"))</f>
        <v/>
      </c>
      <c r="Z339" s="27" t="n"/>
    </row>
    <row r="340">
      <c r="A340" s="27" t="n"/>
      <c r="B340" s="27" t="n"/>
      <c r="C340" s="27" t="n"/>
      <c r="D340" s="28">
        <f>IF($C340="","",IFERROR(INDEX('Topic Plan'!$C$5:$C$115,MATCH($C340,'Topic Plan'!$B$5:$B$115,0)),"UNKNOWN TOPIC ID"))</f>
        <v/>
      </c>
      <c r="E340" s="28">
        <f>IF($C340="","",IFERROR(INDEX('Topic Plan'!$D$5:$D$115,MATCH($C340,'Topic Plan'!$B$5:$B$115,0)),""))</f>
        <v/>
      </c>
      <c r="F340" s="28">
        <f>IF($C340="","",IFERROR(INDEX('Topic Plan'!$E$5:$E$115,MATCH($C340,'Topic Plan'!$B$5:$B$115,0)),""))</f>
        <v/>
      </c>
      <c r="G340" s="23" t="n"/>
      <c r="H340" s="27" t="n"/>
      <c r="I340" s="27" t="n"/>
      <c r="J340" s="27" t="n"/>
      <c r="K340" s="27" t="n"/>
      <c r="L340" s="27" t="n"/>
      <c r="M340" s="27" t="n"/>
      <c r="N340" s="23" t="n"/>
      <c r="O340" s="29" t="n"/>
      <c r="P340" s="29" t="n"/>
      <c r="Q340" s="29" t="n"/>
      <c r="R340" s="29" t="n"/>
      <c r="S340" s="29" t="n"/>
      <c r="T340" s="29" t="n"/>
      <c r="U340" s="29" t="n"/>
      <c r="V340" s="30">
        <f>IF(OR($A340="",$U340=""),"",IF($S340&lt;&gt;"",MAX(0,$S340-$U340),MAX(0,TODAY()-$U340)))</f>
        <v/>
      </c>
      <c r="W340" s="30">
        <f>IF($A340="","",IF(OR($N340="Live",$N340="Retired"),"",TODAY()-MAX($O340,$P340,$Q340,$R340)))</f>
        <v/>
      </c>
      <c r="X340" s="23" t="n"/>
      <c r="Y340" s="30">
        <f>IF($A340="","",COUNTIFS('Issues Log'!$C$5:$C$504,$A340,'Issues Log'!$K$5:$K$504,"Open")+COUNTIFS('Issues Log'!$C$5:$C$504,$A340,'Issues Log'!$K$5:$K$504,"In progress"))</f>
        <v/>
      </c>
      <c r="Z340" s="27" t="n"/>
    </row>
    <row r="341">
      <c r="A341" s="27" t="n"/>
      <c r="B341" s="27" t="n"/>
      <c r="C341" s="27" t="n"/>
      <c r="D341" s="28">
        <f>IF($C341="","",IFERROR(INDEX('Topic Plan'!$C$5:$C$115,MATCH($C341,'Topic Plan'!$B$5:$B$115,0)),"UNKNOWN TOPIC ID"))</f>
        <v/>
      </c>
      <c r="E341" s="28">
        <f>IF($C341="","",IFERROR(INDEX('Topic Plan'!$D$5:$D$115,MATCH($C341,'Topic Plan'!$B$5:$B$115,0)),""))</f>
        <v/>
      </c>
      <c r="F341" s="28">
        <f>IF($C341="","",IFERROR(INDEX('Topic Plan'!$E$5:$E$115,MATCH($C341,'Topic Plan'!$B$5:$B$115,0)),""))</f>
        <v/>
      </c>
      <c r="G341" s="23" t="n"/>
      <c r="H341" s="27" t="n"/>
      <c r="I341" s="27" t="n"/>
      <c r="J341" s="27" t="n"/>
      <c r="K341" s="27" t="n"/>
      <c r="L341" s="27" t="n"/>
      <c r="M341" s="27" t="n"/>
      <c r="N341" s="23" t="n"/>
      <c r="O341" s="29" t="n"/>
      <c r="P341" s="29" t="n"/>
      <c r="Q341" s="29" t="n"/>
      <c r="R341" s="29" t="n"/>
      <c r="S341" s="29" t="n"/>
      <c r="T341" s="29" t="n"/>
      <c r="U341" s="29" t="n"/>
      <c r="V341" s="30">
        <f>IF(OR($A341="",$U341=""),"",IF($S341&lt;&gt;"",MAX(0,$S341-$U341),MAX(0,TODAY()-$U341)))</f>
        <v/>
      </c>
      <c r="W341" s="30">
        <f>IF($A341="","",IF(OR($N341="Live",$N341="Retired"),"",TODAY()-MAX($O341,$P341,$Q341,$R341)))</f>
        <v/>
      </c>
      <c r="X341" s="23" t="n"/>
      <c r="Y341" s="30">
        <f>IF($A341="","",COUNTIFS('Issues Log'!$C$5:$C$504,$A341,'Issues Log'!$K$5:$K$504,"Open")+COUNTIFS('Issues Log'!$C$5:$C$504,$A341,'Issues Log'!$K$5:$K$504,"In progress"))</f>
        <v/>
      </c>
      <c r="Z341" s="27" t="n"/>
    </row>
    <row r="342">
      <c r="A342" s="27" t="n"/>
      <c r="B342" s="27" t="n"/>
      <c r="C342" s="27" t="n"/>
      <c r="D342" s="28">
        <f>IF($C342="","",IFERROR(INDEX('Topic Plan'!$C$5:$C$115,MATCH($C342,'Topic Plan'!$B$5:$B$115,0)),"UNKNOWN TOPIC ID"))</f>
        <v/>
      </c>
      <c r="E342" s="28">
        <f>IF($C342="","",IFERROR(INDEX('Topic Plan'!$D$5:$D$115,MATCH($C342,'Topic Plan'!$B$5:$B$115,0)),""))</f>
        <v/>
      </c>
      <c r="F342" s="28">
        <f>IF($C342="","",IFERROR(INDEX('Topic Plan'!$E$5:$E$115,MATCH($C342,'Topic Plan'!$B$5:$B$115,0)),""))</f>
        <v/>
      </c>
      <c r="G342" s="23" t="n"/>
      <c r="H342" s="27" t="n"/>
      <c r="I342" s="27" t="n"/>
      <c r="J342" s="27" t="n"/>
      <c r="K342" s="27" t="n"/>
      <c r="L342" s="27" t="n"/>
      <c r="M342" s="27" t="n"/>
      <c r="N342" s="23" t="n"/>
      <c r="O342" s="29" t="n"/>
      <c r="P342" s="29" t="n"/>
      <c r="Q342" s="29" t="n"/>
      <c r="R342" s="29" t="n"/>
      <c r="S342" s="29" t="n"/>
      <c r="T342" s="29" t="n"/>
      <c r="U342" s="29" t="n"/>
      <c r="V342" s="30">
        <f>IF(OR($A342="",$U342=""),"",IF($S342&lt;&gt;"",MAX(0,$S342-$U342),MAX(0,TODAY()-$U342)))</f>
        <v/>
      </c>
      <c r="W342" s="30">
        <f>IF($A342="","",IF(OR($N342="Live",$N342="Retired"),"",TODAY()-MAX($O342,$P342,$Q342,$R342)))</f>
        <v/>
      </c>
      <c r="X342" s="23" t="n"/>
      <c r="Y342" s="30">
        <f>IF($A342="","",COUNTIFS('Issues Log'!$C$5:$C$504,$A342,'Issues Log'!$K$5:$K$504,"Open")+COUNTIFS('Issues Log'!$C$5:$C$504,$A342,'Issues Log'!$K$5:$K$504,"In progress"))</f>
        <v/>
      </c>
      <c r="Z342" s="27" t="n"/>
    </row>
    <row r="343">
      <c r="A343" s="27" t="n"/>
      <c r="B343" s="27" t="n"/>
      <c r="C343" s="27" t="n"/>
      <c r="D343" s="28">
        <f>IF($C343="","",IFERROR(INDEX('Topic Plan'!$C$5:$C$115,MATCH($C343,'Topic Plan'!$B$5:$B$115,0)),"UNKNOWN TOPIC ID"))</f>
        <v/>
      </c>
      <c r="E343" s="28">
        <f>IF($C343="","",IFERROR(INDEX('Topic Plan'!$D$5:$D$115,MATCH($C343,'Topic Plan'!$B$5:$B$115,0)),""))</f>
        <v/>
      </c>
      <c r="F343" s="28">
        <f>IF($C343="","",IFERROR(INDEX('Topic Plan'!$E$5:$E$115,MATCH($C343,'Topic Plan'!$B$5:$B$115,0)),""))</f>
        <v/>
      </c>
      <c r="G343" s="23" t="n"/>
      <c r="H343" s="27" t="n"/>
      <c r="I343" s="27" t="n"/>
      <c r="J343" s="27" t="n"/>
      <c r="K343" s="27" t="n"/>
      <c r="L343" s="27" t="n"/>
      <c r="M343" s="27" t="n"/>
      <c r="N343" s="23" t="n"/>
      <c r="O343" s="29" t="n"/>
      <c r="P343" s="29" t="n"/>
      <c r="Q343" s="29" t="n"/>
      <c r="R343" s="29" t="n"/>
      <c r="S343" s="29" t="n"/>
      <c r="T343" s="29" t="n"/>
      <c r="U343" s="29" t="n"/>
      <c r="V343" s="30">
        <f>IF(OR($A343="",$U343=""),"",IF($S343&lt;&gt;"",MAX(0,$S343-$U343),MAX(0,TODAY()-$U343)))</f>
        <v/>
      </c>
      <c r="W343" s="30">
        <f>IF($A343="","",IF(OR($N343="Live",$N343="Retired"),"",TODAY()-MAX($O343,$P343,$Q343,$R343)))</f>
        <v/>
      </c>
      <c r="X343" s="23" t="n"/>
      <c r="Y343" s="30">
        <f>IF($A343="","",COUNTIFS('Issues Log'!$C$5:$C$504,$A343,'Issues Log'!$K$5:$K$504,"Open")+COUNTIFS('Issues Log'!$C$5:$C$504,$A343,'Issues Log'!$K$5:$K$504,"In progress"))</f>
        <v/>
      </c>
      <c r="Z343" s="27" t="n"/>
    </row>
    <row r="344">
      <c r="A344" s="27" t="n"/>
      <c r="B344" s="27" t="n"/>
      <c r="C344" s="27" t="n"/>
      <c r="D344" s="28">
        <f>IF($C344="","",IFERROR(INDEX('Topic Plan'!$C$5:$C$115,MATCH($C344,'Topic Plan'!$B$5:$B$115,0)),"UNKNOWN TOPIC ID"))</f>
        <v/>
      </c>
      <c r="E344" s="28">
        <f>IF($C344="","",IFERROR(INDEX('Topic Plan'!$D$5:$D$115,MATCH($C344,'Topic Plan'!$B$5:$B$115,0)),""))</f>
        <v/>
      </c>
      <c r="F344" s="28">
        <f>IF($C344="","",IFERROR(INDEX('Topic Plan'!$E$5:$E$115,MATCH($C344,'Topic Plan'!$B$5:$B$115,0)),""))</f>
        <v/>
      </c>
      <c r="G344" s="23" t="n"/>
      <c r="H344" s="27" t="n"/>
      <c r="I344" s="27" t="n"/>
      <c r="J344" s="27" t="n"/>
      <c r="K344" s="27" t="n"/>
      <c r="L344" s="27" t="n"/>
      <c r="M344" s="27" t="n"/>
      <c r="N344" s="23" t="n"/>
      <c r="O344" s="29" t="n"/>
      <c r="P344" s="29" t="n"/>
      <c r="Q344" s="29" t="n"/>
      <c r="R344" s="29" t="n"/>
      <c r="S344" s="29" t="n"/>
      <c r="T344" s="29" t="n"/>
      <c r="U344" s="29" t="n"/>
      <c r="V344" s="30">
        <f>IF(OR($A344="",$U344=""),"",IF($S344&lt;&gt;"",MAX(0,$S344-$U344),MAX(0,TODAY()-$U344)))</f>
        <v/>
      </c>
      <c r="W344" s="30">
        <f>IF($A344="","",IF(OR($N344="Live",$N344="Retired"),"",TODAY()-MAX($O344,$P344,$Q344,$R344)))</f>
        <v/>
      </c>
      <c r="X344" s="23" t="n"/>
      <c r="Y344" s="30">
        <f>IF($A344="","",COUNTIFS('Issues Log'!$C$5:$C$504,$A344,'Issues Log'!$K$5:$K$504,"Open")+COUNTIFS('Issues Log'!$C$5:$C$504,$A344,'Issues Log'!$K$5:$K$504,"In progress"))</f>
        <v/>
      </c>
      <c r="Z344" s="27" t="n"/>
    </row>
    <row r="345">
      <c r="A345" s="27" t="n"/>
      <c r="B345" s="27" t="n"/>
      <c r="C345" s="27" t="n"/>
      <c r="D345" s="28">
        <f>IF($C345="","",IFERROR(INDEX('Topic Plan'!$C$5:$C$115,MATCH($C345,'Topic Plan'!$B$5:$B$115,0)),"UNKNOWN TOPIC ID"))</f>
        <v/>
      </c>
      <c r="E345" s="28">
        <f>IF($C345="","",IFERROR(INDEX('Topic Plan'!$D$5:$D$115,MATCH($C345,'Topic Plan'!$B$5:$B$115,0)),""))</f>
        <v/>
      </c>
      <c r="F345" s="28">
        <f>IF($C345="","",IFERROR(INDEX('Topic Plan'!$E$5:$E$115,MATCH($C345,'Topic Plan'!$B$5:$B$115,0)),""))</f>
        <v/>
      </c>
      <c r="G345" s="23" t="n"/>
      <c r="H345" s="27" t="n"/>
      <c r="I345" s="27" t="n"/>
      <c r="J345" s="27" t="n"/>
      <c r="K345" s="27" t="n"/>
      <c r="L345" s="27" t="n"/>
      <c r="M345" s="27" t="n"/>
      <c r="N345" s="23" t="n"/>
      <c r="O345" s="29" t="n"/>
      <c r="P345" s="29" t="n"/>
      <c r="Q345" s="29" t="n"/>
      <c r="R345" s="29" t="n"/>
      <c r="S345" s="29" t="n"/>
      <c r="T345" s="29" t="n"/>
      <c r="U345" s="29" t="n"/>
      <c r="V345" s="30">
        <f>IF(OR($A345="",$U345=""),"",IF($S345&lt;&gt;"",MAX(0,$S345-$U345),MAX(0,TODAY()-$U345)))</f>
        <v/>
      </c>
      <c r="W345" s="30">
        <f>IF($A345="","",IF(OR($N345="Live",$N345="Retired"),"",TODAY()-MAX($O345,$P345,$Q345,$R345)))</f>
        <v/>
      </c>
      <c r="X345" s="23" t="n"/>
      <c r="Y345" s="30">
        <f>IF($A345="","",COUNTIFS('Issues Log'!$C$5:$C$504,$A345,'Issues Log'!$K$5:$K$504,"Open")+COUNTIFS('Issues Log'!$C$5:$C$504,$A345,'Issues Log'!$K$5:$K$504,"In progress"))</f>
        <v/>
      </c>
      <c r="Z345" s="27" t="n"/>
    </row>
    <row r="346">
      <c r="A346" s="27" t="n"/>
      <c r="B346" s="27" t="n"/>
      <c r="C346" s="27" t="n"/>
      <c r="D346" s="28">
        <f>IF($C346="","",IFERROR(INDEX('Topic Plan'!$C$5:$C$115,MATCH($C346,'Topic Plan'!$B$5:$B$115,0)),"UNKNOWN TOPIC ID"))</f>
        <v/>
      </c>
      <c r="E346" s="28">
        <f>IF($C346="","",IFERROR(INDEX('Topic Plan'!$D$5:$D$115,MATCH($C346,'Topic Plan'!$B$5:$B$115,0)),""))</f>
        <v/>
      </c>
      <c r="F346" s="28">
        <f>IF($C346="","",IFERROR(INDEX('Topic Plan'!$E$5:$E$115,MATCH($C346,'Topic Plan'!$B$5:$B$115,0)),""))</f>
        <v/>
      </c>
      <c r="G346" s="23" t="n"/>
      <c r="H346" s="27" t="n"/>
      <c r="I346" s="27" t="n"/>
      <c r="J346" s="27" t="n"/>
      <c r="K346" s="27" t="n"/>
      <c r="L346" s="27" t="n"/>
      <c r="M346" s="27" t="n"/>
      <c r="N346" s="23" t="n"/>
      <c r="O346" s="29" t="n"/>
      <c r="P346" s="29" t="n"/>
      <c r="Q346" s="29" t="n"/>
      <c r="R346" s="29" t="n"/>
      <c r="S346" s="29" t="n"/>
      <c r="T346" s="29" t="n"/>
      <c r="U346" s="29" t="n"/>
      <c r="V346" s="30">
        <f>IF(OR($A346="",$U346=""),"",IF($S346&lt;&gt;"",MAX(0,$S346-$U346),MAX(0,TODAY()-$U346)))</f>
        <v/>
      </c>
      <c r="W346" s="30">
        <f>IF($A346="","",IF(OR($N346="Live",$N346="Retired"),"",TODAY()-MAX($O346,$P346,$Q346,$R346)))</f>
        <v/>
      </c>
      <c r="X346" s="23" t="n"/>
      <c r="Y346" s="30">
        <f>IF($A346="","",COUNTIFS('Issues Log'!$C$5:$C$504,$A346,'Issues Log'!$K$5:$K$504,"Open")+COUNTIFS('Issues Log'!$C$5:$C$504,$A346,'Issues Log'!$K$5:$K$504,"In progress"))</f>
        <v/>
      </c>
      <c r="Z346" s="27" t="n"/>
    </row>
    <row r="347">
      <c r="A347" s="27" t="n"/>
      <c r="B347" s="27" t="n"/>
      <c r="C347" s="27" t="n"/>
      <c r="D347" s="28">
        <f>IF($C347="","",IFERROR(INDEX('Topic Plan'!$C$5:$C$115,MATCH($C347,'Topic Plan'!$B$5:$B$115,0)),"UNKNOWN TOPIC ID"))</f>
        <v/>
      </c>
      <c r="E347" s="28">
        <f>IF($C347="","",IFERROR(INDEX('Topic Plan'!$D$5:$D$115,MATCH($C347,'Topic Plan'!$B$5:$B$115,0)),""))</f>
        <v/>
      </c>
      <c r="F347" s="28">
        <f>IF($C347="","",IFERROR(INDEX('Topic Plan'!$E$5:$E$115,MATCH($C347,'Topic Plan'!$B$5:$B$115,0)),""))</f>
        <v/>
      </c>
      <c r="G347" s="23" t="n"/>
      <c r="H347" s="27" t="n"/>
      <c r="I347" s="27" t="n"/>
      <c r="J347" s="27" t="n"/>
      <c r="K347" s="27" t="n"/>
      <c r="L347" s="27" t="n"/>
      <c r="M347" s="27" t="n"/>
      <c r="N347" s="23" t="n"/>
      <c r="O347" s="29" t="n"/>
      <c r="P347" s="29" t="n"/>
      <c r="Q347" s="29" t="n"/>
      <c r="R347" s="29" t="n"/>
      <c r="S347" s="29" t="n"/>
      <c r="T347" s="29" t="n"/>
      <c r="U347" s="29" t="n"/>
      <c r="V347" s="30">
        <f>IF(OR($A347="",$U347=""),"",IF($S347&lt;&gt;"",MAX(0,$S347-$U347),MAX(0,TODAY()-$U347)))</f>
        <v/>
      </c>
      <c r="W347" s="30">
        <f>IF($A347="","",IF(OR($N347="Live",$N347="Retired"),"",TODAY()-MAX($O347,$P347,$Q347,$R347)))</f>
        <v/>
      </c>
      <c r="X347" s="23" t="n"/>
      <c r="Y347" s="30">
        <f>IF($A347="","",COUNTIFS('Issues Log'!$C$5:$C$504,$A347,'Issues Log'!$K$5:$K$504,"Open")+COUNTIFS('Issues Log'!$C$5:$C$504,$A347,'Issues Log'!$K$5:$K$504,"In progress"))</f>
        <v/>
      </c>
      <c r="Z347" s="27" t="n"/>
    </row>
    <row r="348">
      <c r="A348" s="27" t="n"/>
      <c r="B348" s="27" t="n"/>
      <c r="C348" s="27" t="n"/>
      <c r="D348" s="28">
        <f>IF($C348="","",IFERROR(INDEX('Topic Plan'!$C$5:$C$115,MATCH($C348,'Topic Plan'!$B$5:$B$115,0)),"UNKNOWN TOPIC ID"))</f>
        <v/>
      </c>
      <c r="E348" s="28">
        <f>IF($C348="","",IFERROR(INDEX('Topic Plan'!$D$5:$D$115,MATCH($C348,'Topic Plan'!$B$5:$B$115,0)),""))</f>
        <v/>
      </c>
      <c r="F348" s="28">
        <f>IF($C348="","",IFERROR(INDEX('Topic Plan'!$E$5:$E$115,MATCH($C348,'Topic Plan'!$B$5:$B$115,0)),""))</f>
        <v/>
      </c>
      <c r="G348" s="23" t="n"/>
      <c r="H348" s="27" t="n"/>
      <c r="I348" s="27" t="n"/>
      <c r="J348" s="27" t="n"/>
      <c r="K348" s="27" t="n"/>
      <c r="L348" s="27" t="n"/>
      <c r="M348" s="27" t="n"/>
      <c r="N348" s="23" t="n"/>
      <c r="O348" s="29" t="n"/>
      <c r="P348" s="29" t="n"/>
      <c r="Q348" s="29" t="n"/>
      <c r="R348" s="29" t="n"/>
      <c r="S348" s="29" t="n"/>
      <c r="T348" s="29" t="n"/>
      <c r="U348" s="29" t="n"/>
      <c r="V348" s="30">
        <f>IF(OR($A348="",$U348=""),"",IF($S348&lt;&gt;"",MAX(0,$S348-$U348),MAX(0,TODAY()-$U348)))</f>
        <v/>
      </c>
      <c r="W348" s="30">
        <f>IF($A348="","",IF(OR($N348="Live",$N348="Retired"),"",TODAY()-MAX($O348,$P348,$Q348,$R348)))</f>
        <v/>
      </c>
      <c r="X348" s="23" t="n"/>
      <c r="Y348" s="30">
        <f>IF($A348="","",COUNTIFS('Issues Log'!$C$5:$C$504,$A348,'Issues Log'!$K$5:$K$504,"Open")+COUNTIFS('Issues Log'!$C$5:$C$504,$A348,'Issues Log'!$K$5:$K$504,"In progress"))</f>
        <v/>
      </c>
      <c r="Z348" s="27" t="n"/>
    </row>
    <row r="349">
      <c r="A349" s="27" t="n"/>
      <c r="B349" s="27" t="n"/>
      <c r="C349" s="27" t="n"/>
      <c r="D349" s="28">
        <f>IF($C349="","",IFERROR(INDEX('Topic Plan'!$C$5:$C$115,MATCH($C349,'Topic Plan'!$B$5:$B$115,0)),"UNKNOWN TOPIC ID"))</f>
        <v/>
      </c>
      <c r="E349" s="28">
        <f>IF($C349="","",IFERROR(INDEX('Topic Plan'!$D$5:$D$115,MATCH($C349,'Topic Plan'!$B$5:$B$115,0)),""))</f>
        <v/>
      </c>
      <c r="F349" s="28">
        <f>IF($C349="","",IFERROR(INDEX('Topic Plan'!$E$5:$E$115,MATCH($C349,'Topic Plan'!$B$5:$B$115,0)),""))</f>
        <v/>
      </c>
      <c r="G349" s="23" t="n"/>
      <c r="H349" s="27" t="n"/>
      <c r="I349" s="27" t="n"/>
      <c r="J349" s="27" t="n"/>
      <c r="K349" s="27" t="n"/>
      <c r="L349" s="27" t="n"/>
      <c r="M349" s="27" t="n"/>
      <c r="N349" s="23" t="n"/>
      <c r="O349" s="29" t="n"/>
      <c r="P349" s="29" t="n"/>
      <c r="Q349" s="29" t="n"/>
      <c r="R349" s="29" t="n"/>
      <c r="S349" s="29" t="n"/>
      <c r="T349" s="29" t="n"/>
      <c r="U349" s="29" t="n"/>
      <c r="V349" s="30">
        <f>IF(OR($A349="",$U349=""),"",IF($S349&lt;&gt;"",MAX(0,$S349-$U349),MAX(0,TODAY()-$U349)))</f>
        <v/>
      </c>
      <c r="W349" s="30">
        <f>IF($A349="","",IF(OR($N349="Live",$N349="Retired"),"",TODAY()-MAX($O349,$P349,$Q349,$R349)))</f>
        <v/>
      </c>
      <c r="X349" s="23" t="n"/>
      <c r="Y349" s="30">
        <f>IF($A349="","",COUNTIFS('Issues Log'!$C$5:$C$504,$A349,'Issues Log'!$K$5:$K$504,"Open")+COUNTIFS('Issues Log'!$C$5:$C$504,$A349,'Issues Log'!$K$5:$K$504,"In progress"))</f>
        <v/>
      </c>
      <c r="Z349" s="27" t="n"/>
    </row>
    <row r="350">
      <c r="A350" s="27" t="n"/>
      <c r="B350" s="27" t="n"/>
      <c r="C350" s="27" t="n"/>
      <c r="D350" s="28">
        <f>IF($C350="","",IFERROR(INDEX('Topic Plan'!$C$5:$C$115,MATCH($C350,'Topic Plan'!$B$5:$B$115,0)),"UNKNOWN TOPIC ID"))</f>
        <v/>
      </c>
      <c r="E350" s="28">
        <f>IF($C350="","",IFERROR(INDEX('Topic Plan'!$D$5:$D$115,MATCH($C350,'Topic Plan'!$B$5:$B$115,0)),""))</f>
        <v/>
      </c>
      <c r="F350" s="28">
        <f>IF($C350="","",IFERROR(INDEX('Topic Plan'!$E$5:$E$115,MATCH($C350,'Topic Plan'!$B$5:$B$115,0)),""))</f>
        <v/>
      </c>
      <c r="G350" s="23" t="n"/>
      <c r="H350" s="27" t="n"/>
      <c r="I350" s="27" t="n"/>
      <c r="J350" s="27" t="n"/>
      <c r="K350" s="27" t="n"/>
      <c r="L350" s="27" t="n"/>
      <c r="M350" s="27" t="n"/>
      <c r="N350" s="23" t="n"/>
      <c r="O350" s="29" t="n"/>
      <c r="P350" s="29" t="n"/>
      <c r="Q350" s="29" t="n"/>
      <c r="R350" s="29" t="n"/>
      <c r="S350" s="29" t="n"/>
      <c r="T350" s="29" t="n"/>
      <c r="U350" s="29" t="n"/>
      <c r="V350" s="30">
        <f>IF(OR($A350="",$U350=""),"",IF($S350&lt;&gt;"",MAX(0,$S350-$U350),MAX(0,TODAY()-$U350)))</f>
        <v/>
      </c>
      <c r="W350" s="30">
        <f>IF($A350="","",IF(OR($N350="Live",$N350="Retired"),"",TODAY()-MAX($O350,$P350,$Q350,$R350)))</f>
        <v/>
      </c>
      <c r="X350" s="23" t="n"/>
      <c r="Y350" s="30">
        <f>IF($A350="","",COUNTIFS('Issues Log'!$C$5:$C$504,$A350,'Issues Log'!$K$5:$K$504,"Open")+COUNTIFS('Issues Log'!$C$5:$C$504,$A350,'Issues Log'!$K$5:$K$504,"In progress"))</f>
        <v/>
      </c>
      <c r="Z350" s="27" t="n"/>
    </row>
    <row r="351">
      <c r="A351" s="27" t="n"/>
      <c r="B351" s="27" t="n"/>
      <c r="C351" s="27" t="n"/>
      <c r="D351" s="28">
        <f>IF($C351="","",IFERROR(INDEX('Topic Plan'!$C$5:$C$115,MATCH($C351,'Topic Plan'!$B$5:$B$115,0)),"UNKNOWN TOPIC ID"))</f>
        <v/>
      </c>
      <c r="E351" s="28">
        <f>IF($C351="","",IFERROR(INDEX('Topic Plan'!$D$5:$D$115,MATCH($C351,'Topic Plan'!$B$5:$B$115,0)),""))</f>
        <v/>
      </c>
      <c r="F351" s="28">
        <f>IF($C351="","",IFERROR(INDEX('Topic Plan'!$E$5:$E$115,MATCH($C351,'Topic Plan'!$B$5:$B$115,0)),""))</f>
        <v/>
      </c>
      <c r="G351" s="23" t="n"/>
      <c r="H351" s="27" t="n"/>
      <c r="I351" s="27" t="n"/>
      <c r="J351" s="27" t="n"/>
      <c r="K351" s="27" t="n"/>
      <c r="L351" s="27" t="n"/>
      <c r="M351" s="27" t="n"/>
      <c r="N351" s="23" t="n"/>
      <c r="O351" s="29" t="n"/>
      <c r="P351" s="29" t="n"/>
      <c r="Q351" s="29" t="n"/>
      <c r="R351" s="29" t="n"/>
      <c r="S351" s="29" t="n"/>
      <c r="T351" s="29" t="n"/>
      <c r="U351" s="29" t="n"/>
      <c r="V351" s="30">
        <f>IF(OR($A351="",$U351=""),"",IF($S351&lt;&gt;"",MAX(0,$S351-$U351),MAX(0,TODAY()-$U351)))</f>
        <v/>
      </c>
      <c r="W351" s="30">
        <f>IF($A351="","",IF(OR($N351="Live",$N351="Retired"),"",TODAY()-MAX($O351,$P351,$Q351,$R351)))</f>
        <v/>
      </c>
      <c r="X351" s="23" t="n"/>
      <c r="Y351" s="30">
        <f>IF($A351="","",COUNTIFS('Issues Log'!$C$5:$C$504,$A351,'Issues Log'!$K$5:$K$504,"Open")+COUNTIFS('Issues Log'!$C$5:$C$504,$A351,'Issues Log'!$K$5:$K$504,"In progress"))</f>
        <v/>
      </c>
      <c r="Z351" s="27" t="n"/>
    </row>
    <row r="352">
      <c r="A352" s="27" t="n"/>
      <c r="B352" s="27" t="n"/>
      <c r="C352" s="27" t="n"/>
      <c r="D352" s="28">
        <f>IF($C352="","",IFERROR(INDEX('Topic Plan'!$C$5:$C$115,MATCH($C352,'Topic Plan'!$B$5:$B$115,0)),"UNKNOWN TOPIC ID"))</f>
        <v/>
      </c>
      <c r="E352" s="28">
        <f>IF($C352="","",IFERROR(INDEX('Topic Plan'!$D$5:$D$115,MATCH($C352,'Topic Plan'!$B$5:$B$115,0)),""))</f>
        <v/>
      </c>
      <c r="F352" s="28">
        <f>IF($C352="","",IFERROR(INDEX('Topic Plan'!$E$5:$E$115,MATCH($C352,'Topic Plan'!$B$5:$B$115,0)),""))</f>
        <v/>
      </c>
      <c r="G352" s="23" t="n"/>
      <c r="H352" s="27" t="n"/>
      <c r="I352" s="27" t="n"/>
      <c r="J352" s="27" t="n"/>
      <c r="K352" s="27" t="n"/>
      <c r="L352" s="27" t="n"/>
      <c r="M352" s="27" t="n"/>
      <c r="N352" s="23" t="n"/>
      <c r="O352" s="29" t="n"/>
      <c r="P352" s="29" t="n"/>
      <c r="Q352" s="29" t="n"/>
      <c r="R352" s="29" t="n"/>
      <c r="S352" s="29" t="n"/>
      <c r="T352" s="29" t="n"/>
      <c r="U352" s="29" t="n"/>
      <c r="V352" s="30">
        <f>IF(OR($A352="",$U352=""),"",IF($S352&lt;&gt;"",MAX(0,$S352-$U352),MAX(0,TODAY()-$U352)))</f>
        <v/>
      </c>
      <c r="W352" s="30">
        <f>IF($A352="","",IF(OR($N352="Live",$N352="Retired"),"",TODAY()-MAX($O352,$P352,$Q352,$R352)))</f>
        <v/>
      </c>
      <c r="X352" s="23" t="n"/>
      <c r="Y352" s="30">
        <f>IF($A352="","",COUNTIFS('Issues Log'!$C$5:$C$504,$A352,'Issues Log'!$K$5:$K$504,"Open")+COUNTIFS('Issues Log'!$C$5:$C$504,$A352,'Issues Log'!$K$5:$K$504,"In progress"))</f>
        <v/>
      </c>
      <c r="Z352" s="27" t="n"/>
    </row>
    <row r="353">
      <c r="A353" s="27" t="n"/>
      <c r="B353" s="27" t="n"/>
      <c r="C353" s="27" t="n"/>
      <c r="D353" s="28">
        <f>IF($C353="","",IFERROR(INDEX('Topic Plan'!$C$5:$C$115,MATCH($C353,'Topic Plan'!$B$5:$B$115,0)),"UNKNOWN TOPIC ID"))</f>
        <v/>
      </c>
      <c r="E353" s="28">
        <f>IF($C353="","",IFERROR(INDEX('Topic Plan'!$D$5:$D$115,MATCH($C353,'Topic Plan'!$B$5:$B$115,0)),""))</f>
        <v/>
      </c>
      <c r="F353" s="28">
        <f>IF($C353="","",IFERROR(INDEX('Topic Plan'!$E$5:$E$115,MATCH($C353,'Topic Plan'!$B$5:$B$115,0)),""))</f>
        <v/>
      </c>
      <c r="G353" s="23" t="n"/>
      <c r="H353" s="27" t="n"/>
      <c r="I353" s="27" t="n"/>
      <c r="J353" s="27" t="n"/>
      <c r="K353" s="27" t="n"/>
      <c r="L353" s="27" t="n"/>
      <c r="M353" s="27" t="n"/>
      <c r="N353" s="23" t="n"/>
      <c r="O353" s="29" t="n"/>
      <c r="P353" s="29" t="n"/>
      <c r="Q353" s="29" t="n"/>
      <c r="R353" s="29" t="n"/>
      <c r="S353" s="29" t="n"/>
      <c r="T353" s="29" t="n"/>
      <c r="U353" s="29" t="n"/>
      <c r="V353" s="30">
        <f>IF(OR($A353="",$U353=""),"",IF($S353&lt;&gt;"",MAX(0,$S353-$U353),MAX(0,TODAY()-$U353)))</f>
        <v/>
      </c>
      <c r="W353" s="30">
        <f>IF($A353="","",IF(OR($N353="Live",$N353="Retired"),"",TODAY()-MAX($O353,$P353,$Q353,$R353)))</f>
        <v/>
      </c>
      <c r="X353" s="23" t="n"/>
      <c r="Y353" s="30">
        <f>IF($A353="","",COUNTIFS('Issues Log'!$C$5:$C$504,$A353,'Issues Log'!$K$5:$K$504,"Open")+COUNTIFS('Issues Log'!$C$5:$C$504,$A353,'Issues Log'!$K$5:$K$504,"In progress"))</f>
        <v/>
      </c>
      <c r="Z353" s="27" t="n"/>
    </row>
    <row r="354">
      <c r="A354" s="27" t="n"/>
      <c r="B354" s="27" t="n"/>
      <c r="C354" s="27" t="n"/>
      <c r="D354" s="28">
        <f>IF($C354="","",IFERROR(INDEX('Topic Plan'!$C$5:$C$115,MATCH($C354,'Topic Plan'!$B$5:$B$115,0)),"UNKNOWN TOPIC ID"))</f>
        <v/>
      </c>
      <c r="E354" s="28">
        <f>IF($C354="","",IFERROR(INDEX('Topic Plan'!$D$5:$D$115,MATCH($C354,'Topic Plan'!$B$5:$B$115,0)),""))</f>
        <v/>
      </c>
      <c r="F354" s="28">
        <f>IF($C354="","",IFERROR(INDEX('Topic Plan'!$E$5:$E$115,MATCH($C354,'Topic Plan'!$B$5:$B$115,0)),""))</f>
        <v/>
      </c>
      <c r="G354" s="23" t="n"/>
      <c r="H354" s="27" t="n"/>
      <c r="I354" s="27" t="n"/>
      <c r="J354" s="27" t="n"/>
      <c r="K354" s="27" t="n"/>
      <c r="L354" s="27" t="n"/>
      <c r="M354" s="27" t="n"/>
      <c r="N354" s="23" t="n"/>
      <c r="O354" s="29" t="n"/>
      <c r="P354" s="29" t="n"/>
      <c r="Q354" s="29" t="n"/>
      <c r="R354" s="29" t="n"/>
      <c r="S354" s="29" t="n"/>
      <c r="T354" s="29" t="n"/>
      <c r="U354" s="29" t="n"/>
      <c r="V354" s="30">
        <f>IF(OR($A354="",$U354=""),"",IF($S354&lt;&gt;"",MAX(0,$S354-$U354),MAX(0,TODAY()-$U354)))</f>
        <v/>
      </c>
      <c r="W354" s="30">
        <f>IF($A354="","",IF(OR($N354="Live",$N354="Retired"),"",TODAY()-MAX($O354,$P354,$Q354,$R354)))</f>
        <v/>
      </c>
      <c r="X354" s="23" t="n"/>
      <c r="Y354" s="30">
        <f>IF($A354="","",COUNTIFS('Issues Log'!$C$5:$C$504,$A354,'Issues Log'!$K$5:$K$504,"Open")+COUNTIFS('Issues Log'!$C$5:$C$504,$A354,'Issues Log'!$K$5:$K$504,"In progress"))</f>
        <v/>
      </c>
      <c r="Z354" s="27" t="n"/>
    </row>
    <row r="355">
      <c r="A355" s="27" t="n"/>
      <c r="B355" s="27" t="n"/>
      <c r="C355" s="27" t="n"/>
      <c r="D355" s="28">
        <f>IF($C355="","",IFERROR(INDEX('Topic Plan'!$C$5:$C$115,MATCH($C355,'Topic Plan'!$B$5:$B$115,0)),"UNKNOWN TOPIC ID"))</f>
        <v/>
      </c>
      <c r="E355" s="28">
        <f>IF($C355="","",IFERROR(INDEX('Topic Plan'!$D$5:$D$115,MATCH($C355,'Topic Plan'!$B$5:$B$115,0)),""))</f>
        <v/>
      </c>
      <c r="F355" s="28">
        <f>IF($C355="","",IFERROR(INDEX('Topic Plan'!$E$5:$E$115,MATCH($C355,'Topic Plan'!$B$5:$B$115,0)),""))</f>
        <v/>
      </c>
      <c r="G355" s="23" t="n"/>
      <c r="H355" s="27" t="n"/>
      <c r="I355" s="27" t="n"/>
      <c r="J355" s="27" t="n"/>
      <c r="K355" s="27" t="n"/>
      <c r="L355" s="27" t="n"/>
      <c r="M355" s="27" t="n"/>
      <c r="N355" s="23" t="n"/>
      <c r="O355" s="29" t="n"/>
      <c r="P355" s="29" t="n"/>
      <c r="Q355" s="29" t="n"/>
      <c r="R355" s="29" t="n"/>
      <c r="S355" s="29" t="n"/>
      <c r="T355" s="29" t="n"/>
      <c r="U355" s="29" t="n"/>
      <c r="V355" s="30">
        <f>IF(OR($A355="",$U355=""),"",IF($S355&lt;&gt;"",MAX(0,$S355-$U355),MAX(0,TODAY()-$U355)))</f>
        <v/>
      </c>
      <c r="W355" s="30">
        <f>IF($A355="","",IF(OR($N355="Live",$N355="Retired"),"",TODAY()-MAX($O355,$P355,$Q355,$R355)))</f>
        <v/>
      </c>
      <c r="X355" s="23" t="n"/>
      <c r="Y355" s="30">
        <f>IF($A355="","",COUNTIFS('Issues Log'!$C$5:$C$504,$A355,'Issues Log'!$K$5:$K$504,"Open")+COUNTIFS('Issues Log'!$C$5:$C$504,$A355,'Issues Log'!$K$5:$K$504,"In progress"))</f>
        <v/>
      </c>
      <c r="Z355" s="27" t="n"/>
    </row>
    <row r="356">
      <c r="A356" s="27" t="n"/>
      <c r="B356" s="27" t="n"/>
      <c r="C356" s="27" t="n"/>
      <c r="D356" s="28">
        <f>IF($C356="","",IFERROR(INDEX('Topic Plan'!$C$5:$C$115,MATCH($C356,'Topic Plan'!$B$5:$B$115,0)),"UNKNOWN TOPIC ID"))</f>
        <v/>
      </c>
      <c r="E356" s="28">
        <f>IF($C356="","",IFERROR(INDEX('Topic Plan'!$D$5:$D$115,MATCH($C356,'Topic Plan'!$B$5:$B$115,0)),""))</f>
        <v/>
      </c>
      <c r="F356" s="28">
        <f>IF($C356="","",IFERROR(INDEX('Topic Plan'!$E$5:$E$115,MATCH($C356,'Topic Plan'!$B$5:$B$115,0)),""))</f>
        <v/>
      </c>
      <c r="G356" s="23" t="n"/>
      <c r="H356" s="27" t="n"/>
      <c r="I356" s="27" t="n"/>
      <c r="J356" s="27" t="n"/>
      <c r="K356" s="27" t="n"/>
      <c r="L356" s="27" t="n"/>
      <c r="M356" s="27" t="n"/>
      <c r="N356" s="23" t="n"/>
      <c r="O356" s="29" t="n"/>
      <c r="P356" s="29" t="n"/>
      <c r="Q356" s="29" t="n"/>
      <c r="R356" s="29" t="n"/>
      <c r="S356" s="29" t="n"/>
      <c r="T356" s="29" t="n"/>
      <c r="U356" s="29" t="n"/>
      <c r="V356" s="30">
        <f>IF(OR($A356="",$U356=""),"",IF($S356&lt;&gt;"",MAX(0,$S356-$U356),MAX(0,TODAY()-$U356)))</f>
        <v/>
      </c>
      <c r="W356" s="30">
        <f>IF($A356="","",IF(OR($N356="Live",$N356="Retired"),"",TODAY()-MAX($O356,$P356,$Q356,$R356)))</f>
        <v/>
      </c>
      <c r="X356" s="23" t="n"/>
      <c r="Y356" s="30">
        <f>IF($A356="","",COUNTIFS('Issues Log'!$C$5:$C$504,$A356,'Issues Log'!$K$5:$K$504,"Open")+COUNTIFS('Issues Log'!$C$5:$C$504,$A356,'Issues Log'!$K$5:$K$504,"In progress"))</f>
        <v/>
      </c>
      <c r="Z356" s="27" t="n"/>
    </row>
    <row r="357">
      <c r="A357" s="27" t="n"/>
      <c r="B357" s="27" t="n"/>
      <c r="C357" s="27" t="n"/>
      <c r="D357" s="28">
        <f>IF($C357="","",IFERROR(INDEX('Topic Plan'!$C$5:$C$115,MATCH($C357,'Topic Plan'!$B$5:$B$115,0)),"UNKNOWN TOPIC ID"))</f>
        <v/>
      </c>
      <c r="E357" s="28">
        <f>IF($C357="","",IFERROR(INDEX('Topic Plan'!$D$5:$D$115,MATCH($C357,'Topic Plan'!$B$5:$B$115,0)),""))</f>
        <v/>
      </c>
      <c r="F357" s="28">
        <f>IF($C357="","",IFERROR(INDEX('Topic Plan'!$E$5:$E$115,MATCH($C357,'Topic Plan'!$B$5:$B$115,0)),""))</f>
        <v/>
      </c>
      <c r="G357" s="23" t="n"/>
      <c r="H357" s="27" t="n"/>
      <c r="I357" s="27" t="n"/>
      <c r="J357" s="27" t="n"/>
      <c r="K357" s="27" t="n"/>
      <c r="L357" s="27" t="n"/>
      <c r="M357" s="27" t="n"/>
      <c r="N357" s="23" t="n"/>
      <c r="O357" s="29" t="n"/>
      <c r="P357" s="29" t="n"/>
      <c r="Q357" s="29" t="n"/>
      <c r="R357" s="29" t="n"/>
      <c r="S357" s="29" t="n"/>
      <c r="T357" s="29" t="n"/>
      <c r="U357" s="29" t="n"/>
      <c r="V357" s="30">
        <f>IF(OR($A357="",$U357=""),"",IF($S357&lt;&gt;"",MAX(0,$S357-$U357),MAX(0,TODAY()-$U357)))</f>
        <v/>
      </c>
      <c r="W357" s="30">
        <f>IF($A357="","",IF(OR($N357="Live",$N357="Retired"),"",TODAY()-MAX($O357,$P357,$Q357,$R357)))</f>
        <v/>
      </c>
      <c r="X357" s="23" t="n"/>
      <c r="Y357" s="30">
        <f>IF($A357="","",COUNTIFS('Issues Log'!$C$5:$C$504,$A357,'Issues Log'!$K$5:$K$504,"Open")+COUNTIFS('Issues Log'!$C$5:$C$504,$A357,'Issues Log'!$K$5:$K$504,"In progress"))</f>
        <v/>
      </c>
      <c r="Z357" s="27" t="n"/>
    </row>
    <row r="358">
      <c r="A358" s="27" t="n"/>
      <c r="B358" s="27" t="n"/>
      <c r="C358" s="27" t="n"/>
      <c r="D358" s="28">
        <f>IF($C358="","",IFERROR(INDEX('Topic Plan'!$C$5:$C$115,MATCH($C358,'Topic Plan'!$B$5:$B$115,0)),"UNKNOWN TOPIC ID"))</f>
        <v/>
      </c>
      <c r="E358" s="28">
        <f>IF($C358="","",IFERROR(INDEX('Topic Plan'!$D$5:$D$115,MATCH($C358,'Topic Plan'!$B$5:$B$115,0)),""))</f>
        <v/>
      </c>
      <c r="F358" s="28">
        <f>IF($C358="","",IFERROR(INDEX('Topic Plan'!$E$5:$E$115,MATCH($C358,'Topic Plan'!$B$5:$B$115,0)),""))</f>
        <v/>
      </c>
      <c r="G358" s="23" t="n"/>
      <c r="H358" s="27" t="n"/>
      <c r="I358" s="27" t="n"/>
      <c r="J358" s="27" t="n"/>
      <c r="K358" s="27" t="n"/>
      <c r="L358" s="27" t="n"/>
      <c r="M358" s="27" t="n"/>
      <c r="N358" s="23" t="n"/>
      <c r="O358" s="29" t="n"/>
      <c r="P358" s="29" t="n"/>
      <c r="Q358" s="29" t="n"/>
      <c r="R358" s="29" t="n"/>
      <c r="S358" s="29" t="n"/>
      <c r="T358" s="29" t="n"/>
      <c r="U358" s="29" t="n"/>
      <c r="V358" s="30">
        <f>IF(OR($A358="",$U358=""),"",IF($S358&lt;&gt;"",MAX(0,$S358-$U358),MAX(0,TODAY()-$U358)))</f>
        <v/>
      </c>
      <c r="W358" s="30">
        <f>IF($A358="","",IF(OR($N358="Live",$N358="Retired"),"",TODAY()-MAX($O358,$P358,$Q358,$R358)))</f>
        <v/>
      </c>
      <c r="X358" s="23" t="n"/>
      <c r="Y358" s="30">
        <f>IF($A358="","",COUNTIFS('Issues Log'!$C$5:$C$504,$A358,'Issues Log'!$K$5:$K$504,"Open")+COUNTIFS('Issues Log'!$C$5:$C$504,$A358,'Issues Log'!$K$5:$K$504,"In progress"))</f>
        <v/>
      </c>
      <c r="Z358" s="27" t="n"/>
    </row>
    <row r="359">
      <c r="A359" s="27" t="n"/>
      <c r="B359" s="27" t="n"/>
      <c r="C359" s="27" t="n"/>
      <c r="D359" s="28">
        <f>IF($C359="","",IFERROR(INDEX('Topic Plan'!$C$5:$C$115,MATCH($C359,'Topic Plan'!$B$5:$B$115,0)),"UNKNOWN TOPIC ID"))</f>
        <v/>
      </c>
      <c r="E359" s="28">
        <f>IF($C359="","",IFERROR(INDEX('Topic Plan'!$D$5:$D$115,MATCH($C359,'Topic Plan'!$B$5:$B$115,0)),""))</f>
        <v/>
      </c>
      <c r="F359" s="28">
        <f>IF($C359="","",IFERROR(INDEX('Topic Plan'!$E$5:$E$115,MATCH($C359,'Topic Plan'!$B$5:$B$115,0)),""))</f>
        <v/>
      </c>
      <c r="G359" s="23" t="n"/>
      <c r="H359" s="27" t="n"/>
      <c r="I359" s="27" t="n"/>
      <c r="J359" s="27" t="n"/>
      <c r="K359" s="27" t="n"/>
      <c r="L359" s="27" t="n"/>
      <c r="M359" s="27" t="n"/>
      <c r="N359" s="23" t="n"/>
      <c r="O359" s="29" t="n"/>
      <c r="P359" s="29" t="n"/>
      <c r="Q359" s="29" t="n"/>
      <c r="R359" s="29" t="n"/>
      <c r="S359" s="29" t="n"/>
      <c r="T359" s="29" t="n"/>
      <c r="U359" s="29" t="n"/>
      <c r="V359" s="30">
        <f>IF(OR($A359="",$U359=""),"",IF($S359&lt;&gt;"",MAX(0,$S359-$U359),MAX(0,TODAY()-$U359)))</f>
        <v/>
      </c>
      <c r="W359" s="30">
        <f>IF($A359="","",IF(OR($N359="Live",$N359="Retired"),"",TODAY()-MAX($O359,$P359,$Q359,$R359)))</f>
        <v/>
      </c>
      <c r="X359" s="23" t="n"/>
      <c r="Y359" s="30">
        <f>IF($A359="","",COUNTIFS('Issues Log'!$C$5:$C$504,$A359,'Issues Log'!$K$5:$K$504,"Open")+COUNTIFS('Issues Log'!$C$5:$C$504,$A359,'Issues Log'!$K$5:$K$504,"In progress"))</f>
        <v/>
      </c>
      <c r="Z359" s="27" t="n"/>
    </row>
    <row r="360">
      <c r="A360" s="27" t="n"/>
      <c r="B360" s="27" t="n"/>
      <c r="C360" s="27" t="n"/>
      <c r="D360" s="28">
        <f>IF($C360="","",IFERROR(INDEX('Topic Plan'!$C$5:$C$115,MATCH($C360,'Topic Plan'!$B$5:$B$115,0)),"UNKNOWN TOPIC ID"))</f>
        <v/>
      </c>
      <c r="E360" s="28">
        <f>IF($C360="","",IFERROR(INDEX('Topic Plan'!$D$5:$D$115,MATCH($C360,'Topic Plan'!$B$5:$B$115,0)),""))</f>
        <v/>
      </c>
      <c r="F360" s="28">
        <f>IF($C360="","",IFERROR(INDEX('Topic Plan'!$E$5:$E$115,MATCH($C360,'Topic Plan'!$B$5:$B$115,0)),""))</f>
        <v/>
      </c>
      <c r="G360" s="23" t="n"/>
      <c r="H360" s="27" t="n"/>
      <c r="I360" s="27" t="n"/>
      <c r="J360" s="27" t="n"/>
      <c r="K360" s="27" t="n"/>
      <c r="L360" s="27" t="n"/>
      <c r="M360" s="27" t="n"/>
      <c r="N360" s="23" t="n"/>
      <c r="O360" s="29" t="n"/>
      <c r="P360" s="29" t="n"/>
      <c r="Q360" s="29" t="n"/>
      <c r="R360" s="29" t="n"/>
      <c r="S360" s="29" t="n"/>
      <c r="T360" s="29" t="n"/>
      <c r="U360" s="29" t="n"/>
      <c r="V360" s="30">
        <f>IF(OR($A360="",$U360=""),"",IF($S360&lt;&gt;"",MAX(0,$S360-$U360),MAX(0,TODAY()-$U360)))</f>
        <v/>
      </c>
      <c r="W360" s="30">
        <f>IF($A360="","",IF(OR($N360="Live",$N360="Retired"),"",TODAY()-MAX($O360,$P360,$Q360,$R360)))</f>
        <v/>
      </c>
      <c r="X360" s="23" t="n"/>
      <c r="Y360" s="30">
        <f>IF($A360="","",COUNTIFS('Issues Log'!$C$5:$C$504,$A360,'Issues Log'!$K$5:$K$504,"Open")+COUNTIFS('Issues Log'!$C$5:$C$504,$A360,'Issues Log'!$K$5:$K$504,"In progress"))</f>
        <v/>
      </c>
      <c r="Z360" s="27" t="n"/>
    </row>
    <row r="361">
      <c r="A361" s="27" t="n"/>
      <c r="B361" s="27" t="n"/>
      <c r="C361" s="27" t="n"/>
      <c r="D361" s="28">
        <f>IF($C361="","",IFERROR(INDEX('Topic Plan'!$C$5:$C$115,MATCH($C361,'Topic Plan'!$B$5:$B$115,0)),"UNKNOWN TOPIC ID"))</f>
        <v/>
      </c>
      <c r="E361" s="28">
        <f>IF($C361="","",IFERROR(INDEX('Topic Plan'!$D$5:$D$115,MATCH($C361,'Topic Plan'!$B$5:$B$115,0)),""))</f>
        <v/>
      </c>
      <c r="F361" s="28">
        <f>IF($C361="","",IFERROR(INDEX('Topic Plan'!$E$5:$E$115,MATCH($C361,'Topic Plan'!$B$5:$B$115,0)),""))</f>
        <v/>
      </c>
      <c r="G361" s="23" t="n"/>
      <c r="H361" s="27" t="n"/>
      <c r="I361" s="27" t="n"/>
      <c r="J361" s="27" t="n"/>
      <c r="K361" s="27" t="n"/>
      <c r="L361" s="27" t="n"/>
      <c r="M361" s="27" t="n"/>
      <c r="N361" s="23" t="n"/>
      <c r="O361" s="29" t="n"/>
      <c r="P361" s="29" t="n"/>
      <c r="Q361" s="29" t="n"/>
      <c r="R361" s="29" t="n"/>
      <c r="S361" s="29" t="n"/>
      <c r="T361" s="29" t="n"/>
      <c r="U361" s="29" t="n"/>
      <c r="V361" s="30">
        <f>IF(OR($A361="",$U361=""),"",IF($S361&lt;&gt;"",MAX(0,$S361-$U361),MAX(0,TODAY()-$U361)))</f>
        <v/>
      </c>
      <c r="W361" s="30">
        <f>IF($A361="","",IF(OR($N361="Live",$N361="Retired"),"",TODAY()-MAX($O361,$P361,$Q361,$R361)))</f>
        <v/>
      </c>
      <c r="X361" s="23" t="n"/>
      <c r="Y361" s="30">
        <f>IF($A361="","",COUNTIFS('Issues Log'!$C$5:$C$504,$A361,'Issues Log'!$K$5:$K$504,"Open")+COUNTIFS('Issues Log'!$C$5:$C$504,$A361,'Issues Log'!$K$5:$K$504,"In progress"))</f>
        <v/>
      </c>
      <c r="Z361" s="27" t="n"/>
    </row>
    <row r="362">
      <c r="A362" s="27" t="n"/>
      <c r="B362" s="27" t="n"/>
      <c r="C362" s="27" t="n"/>
      <c r="D362" s="28">
        <f>IF($C362="","",IFERROR(INDEX('Topic Plan'!$C$5:$C$115,MATCH($C362,'Topic Plan'!$B$5:$B$115,0)),"UNKNOWN TOPIC ID"))</f>
        <v/>
      </c>
      <c r="E362" s="28">
        <f>IF($C362="","",IFERROR(INDEX('Topic Plan'!$D$5:$D$115,MATCH($C362,'Topic Plan'!$B$5:$B$115,0)),""))</f>
        <v/>
      </c>
      <c r="F362" s="28">
        <f>IF($C362="","",IFERROR(INDEX('Topic Plan'!$E$5:$E$115,MATCH($C362,'Topic Plan'!$B$5:$B$115,0)),""))</f>
        <v/>
      </c>
      <c r="G362" s="23" t="n"/>
      <c r="H362" s="27" t="n"/>
      <c r="I362" s="27" t="n"/>
      <c r="J362" s="27" t="n"/>
      <c r="K362" s="27" t="n"/>
      <c r="L362" s="27" t="n"/>
      <c r="M362" s="27" t="n"/>
      <c r="N362" s="23" t="n"/>
      <c r="O362" s="29" t="n"/>
      <c r="P362" s="29" t="n"/>
      <c r="Q362" s="29" t="n"/>
      <c r="R362" s="29" t="n"/>
      <c r="S362" s="29" t="n"/>
      <c r="T362" s="29" t="n"/>
      <c r="U362" s="29" t="n"/>
      <c r="V362" s="30">
        <f>IF(OR($A362="",$U362=""),"",IF($S362&lt;&gt;"",MAX(0,$S362-$U362),MAX(0,TODAY()-$U362)))</f>
        <v/>
      </c>
      <c r="W362" s="30">
        <f>IF($A362="","",IF(OR($N362="Live",$N362="Retired"),"",TODAY()-MAX($O362,$P362,$Q362,$R362)))</f>
        <v/>
      </c>
      <c r="X362" s="23" t="n"/>
      <c r="Y362" s="30">
        <f>IF($A362="","",COUNTIFS('Issues Log'!$C$5:$C$504,$A362,'Issues Log'!$K$5:$K$504,"Open")+COUNTIFS('Issues Log'!$C$5:$C$504,$A362,'Issues Log'!$K$5:$K$504,"In progress"))</f>
        <v/>
      </c>
      <c r="Z362" s="27" t="n"/>
    </row>
    <row r="363">
      <c r="A363" s="27" t="n"/>
      <c r="B363" s="27" t="n"/>
      <c r="C363" s="27" t="n"/>
      <c r="D363" s="28">
        <f>IF($C363="","",IFERROR(INDEX('Topic Plan'!$C$5:$C$115,MATCH($C363,'Topic Plan'!$B$5:$B$115,0)),"UNKNOWN TOPIC ID"))</f>
        <v/>
      </c>
      <c r="E363" s="28">
        <f>IF($C363="","",IFERROR(INDEX('Topic Plan'!$D$5:$D$115,MATCH($C363,'Topic Plan'!$B$5:$B$115,0)),""))</f>
        <v/>
      </c>
      <c r="F363" s="28">
        <f>IF($C363="","",IFERROR(INDEX('Topic Plan'!$E$5:$E$115,MATCH($C363,'Topic Plan'!$B$5:$B$115,0)),""))</f>
        <v/>
      </c>
      <c r="G363" s="23" t="n"/>
      <c r="H363" s="27" t="n"/>
      <c r="I363" s="27" t="n"/>
      <c r="J363" s="27" t="n"/>
      <c r="K363" s="27" t="n"/>
      <c r="L363" s="27" t="n"/>
      <c r="M363" s="27" t="n"/>
      <c r="N363" s="23" t="n"/>
      <c r="O363" s="29" t="n"/>
      <c r="P363" s="29" t="n"/>
      <c r="Q363" s="29" t="n"/>
      <c r="R363" s="29" t="n"/>
      <c r="S363" s="29" t="n"/>
      <c r="T363" s="29" t="n"/>
      <c r="U363" s="29" t="n"/>
      <c r="V363" s="30">
        <f>IF(OR($A363="",$U363=""),"",IF($S363&lt;&gt;"",MAX(0,$S363-$U363),MAX(0,TODAY()-$U363)))</f>
        <v/>
      </c>
      <c r="W363" s="30">
        <f>IF($A363="","",IF(OR($N363="Live",$N363="Retired"),"",TODAY()-MAX($O363,$P363,$Q363,$R363)))</f>
        <v/>
      </c>
      <c r="X363" s="23" t="n"/>
      <c r="Y363" s="30">
        <f>IF($A363="","",COUNTIFS('Issues Log'!$C$5:$C$504,$A363,'Issues Log'!$K$5:$K$504,"Open")+COUNTIFS('Issues Log'!$C$5:$C$504,$A363,'Issues Log'!$K$5:$K$504,"In progress"))</f>
        <v/>
      </c>
      <c r="Z363" s="27" t="n"/>
    </row>
    <row r="364">
      <c r="A364" s="27" t="n"/>
      <c r="B364" s="27" t="n"/>
      <c r="C364" s="27" t="n"/>
      <c r="D364" s="28">
        <f>IF($C364="","",IFERROR(INDEX('Topic Plan'!$C$5:$C$115,MATCH($C364,'Topic Plan'!$B$5:$B$115,0)),"UNKNOWN TOPIC ID"))</f>
        <v/>
      </c>
      <c r="E364" s="28">
        <f>IF($C364="","",IFERROR(INDEX('Topic Plan'!$D$5:$D$115,MATCH($C364,'Topic Plan'!$B$5:$B$115,0)),""))</f>
        <v/>
      </c>
      <c r="F364" s="28">
        <f>IF($C364="","",IFERROR(INDEX('Topic Plan'!$E$5:$E$115,MATCH($C364,'Topic Plan'!$B$5:$B$115,0)),""))</f>
        <v/>
      </c>
      <c r="G364" s="23" t="n"/>
      <c r="H364" s="27" t="n"/>
      <c r="I364" s="27" t="n"/>
      <c r="J364" s="27" t="n"/>
      <c r="K364" s="27" t="n"/>
      <c r="L364" s="27" t="n"/>
      <c r="M364" s="27" t="n"/>
      <c r="N364" s="23" t="n"/>
      <c r="O364" s="29" t="n"/>
      <c r="P364" s="29" t="n"/>
      <c r="Q364" s="29" t="n"/>
      <c r="R364" s="29" t="n"/>
      <c r="S364" s="29" t="n"/>
      <c r="T364" s="29" t="n"/>
      <c r="U364" s="29" t="n"/>
      <c r="V364" s="30">
        <f>IF(OR($A364="",$U364=""),"",IF($S364&lt;&gt;"",MAX(0,$S364-$U364),MAX(0,TODAY()-$U364)))</f>
        <v/>
      </c>
      <c r="W364" s="30">
        <f>IF($A364="","",IF(OR($N364="Live",$N364="Retired"),"",TODAY()-MAX($O364,$P364,$Q364,$R364)))</f>
        <v/>
      </c>
      <c r="X364" s="23" t="n"/>
      <c r="Y364" s="30">
        <f>IF($A364="","",COUNTIFS('Issues Log'!$C$5:$C$504,$A364,'Issues Log'!$K$5:$K$504,"Open")+COUNTIFS('Issues Log'!$C$5:$C$504,$A364,'Issues Log'!$K$5:$K$504,"In progress"))</f>
        <v/>
      </c>
      <c r="Z364" s="27" t="n"/>
    </row>
    <row r="365">
      <c r="A365" s="27" t="n"/>
      <c r="B365" s="27" t="n"/>
      <c r="C365" s="27" t="n"/>
      <c r="D365" s="28">
        <f>IF($C365="","",IFERROR(INDEX('Topic Plan'!$C$5:$C$115,MATCH($C365,'Topic Plan'!$B$5:$B$115,0)),"UNKNOWN TOPIC ID"))</f>
        <v/>
      </c>
      <c r="E365" s="28">
        <f>IF($C365="","",IFERROR(INDEX('Topic Plan'!$D$5:$D$115,MATCH($C365,'Topic Plan'!$B$5:$B$115,0)),""))</f>
        <v/>
      </c>
      <c r="F365" s="28">
        <f>IF($C365="","",IFERROR(INDEX('Topic Plan'!$E$5:$E$115,MATCH($C365,'Topic Plan'!$B$5:$B$115,0)),""))</f>
        <v/>
      </c>
      <c r="G365" s="23" t="n"/>
      <c r="H365" s="27" t="n"/>
      <c r="I365" s="27" t="n"/>
      <c r="J365" s="27" t="n"/>
      <c r="K365" s="27" t="n"/>
      <c r="L365" s="27" t="n"/>
      <c r="M365" s="27" t="n"/>
      <c r="N365" s="23" t="n"/>
      <c r="O365" s="29" t="n"/>
      <c r="P365" s="29" t="n"/>
      <c r="Q365" s="29" t="n"/>
      <c r="R365" s="29" t="n"/>
      <c r="S365" s="29" t="n"/>
      <c r="T365" s="29" t="n"/>
      <c r="U365" s="29" t="n"/>
      <c r="V365" s="30">
        <f>IF(OR($A365="",$U365=""),"",IF($S365&lt;&gt;"",MAX(0,$S365-$U365),MAX(0,TODAY()-$U365)))</f>
        <v/>
      </c>
      <c r="W365" s="30">
        <f>IF($A365="","",IF(OR($N365="Live",$N365="Retired"),"",TODAY()-MAX($O365,$P365,$Q365,$R365)))</f>
        <v/>
      </c>
      <c r="X365" s="23" t="n"/>
      <c r="Y365" s="30">
        <f>IF($A365="","",COUNTIFS('Issues Log'!$C$5:$C$504,$A365,'Issues Log'!$K$5:$K$504,"Open")+COUNTIFS('Issues Log'!$C$5:$C$504,$A365,'Issues Log'!$K$5:$K$504,"In progress"))</f>
        <v/>
      </c>
      <c r="Z365" s="27" t="n"/>
    </row>
    <row r="366">
      <c r="A366" s="27" t="n"/>
      <c r="B366" s="27" t="n"/>
      <c r="C366" s="27" t="n"/>
      <c r="D366" s="28">
        <f>IF($C366="","",IFERROR(INDEX('Topic Plan'!$C$5:$C$115,MATCH($C366,'Topic Plan'!$B$5:$B$115,0)),"UNKNOWN TOPIC ID"))</f>
        <v/>
      </c>
      <c r="E366" s="28">
        <f>IF($C366="","",IFERROR(INDEX('Topic Plan'!$D$5:$D$115,MATCH($C366,'Topic Plan'!$B$5:$B$115,0)),""))</f>
        <v/>
      </c>
      <c r="F366" s="28">
        <f>IF($C366="","",IFERROR(INDEX('Topic Plan'!$E$5:$E$115,MATCH($C366,'Topic Plan'!$B$5:$B$115,0)),""))</f>
        <v/>
      </c>
      <c r="G366" s="23" t="n"/>
      <c r="H366" s="27" t="n"/>
      <c r="I366" s="27" t="n"/>
      <c r="J366" s="27" t="n"/>
      <c r="K366" s="27" t="n"/>
      <c r="L366" s="27" t="n"/>
      <c r="M366" s="27" t="n"/>
      <c r="N366" s="23" t="n"/>
      <c r="O366" s="29" t="n"/>
      <c r="P366" s="29" t="n"/>
      <c r="Q366" s="29" t="n"/>
      <c r="R366" s="29" t="n"/>
      <c r="S366" s="29" t="n"/>
      <c r="T366" s="29" t="n"/>
      <c r="U366" s="29" t="n"/>
      <c r="V366" s="30">
        <f>IF(OR($A366="",$U366=""),"",IF($S366&lt;&gt;"",MAX(0,$S366-$U366),MAX(0,TODAY()-$U366)))</f>
        <v/>
      </c>
      <c r="W366" s="30">
        <f>IF($A366="","",IF(OR($N366="Live",$N366="Retired"),"",TODAY()-MAX($O366,$P366,$Q366,$R366)))</f>
        <v/>
      </c>
      <c r="X366" s="23" t="n"/>
      <c r="Y366" s="30">
        <f>IF($A366="","",COUNTIFS('Issues Log'!$C$5:$C$504,$A366,'Issues Log'!$K$5:$K$504,"Open")+COUNTIFS('Issues Log'!$C$5:$C$504,$A366,'Issues Log'!$K$5:$K$504,"In progress"))</f>
        <v/>
      </c>
      <c r="Z366" s="27" t="n"/>
    </row>
    <row r="367">
      <c r="A367" s="27" t="n"/>
      <c r="B367" s="27" t="n"/>
      <c r="C367" s="27" t="n"/>
      <c r="D367" s="28">
        <f>IF($C367="","",IFERROR(INDEX('Topic Plan'!$C$5:$C$115,MATCH($C367,'Topic Plan'!$B$5:$B$115,0)),"UNKNOWN TOPIC ID"))</f>
        <v/>
      </c>
      <c r="E367" s="28">
        <f>IF($C367="","",IFERROR(INDEX('Topic Plan'!$D$5:$D$115,MATCH($C367,'Topic Plan'!$B$5:$B$115,0)),""))</f>
        <v/>
      </c>
      <c r="F367" s="28">
        <f>IF($C367="","",IFERROR(INDEX('Topic Plan'!$E$5:$E$115,MATCH($C367,'Topic Plan'!$B$5:$B$115,0)),""))</f>
        <v/>
      </c>
      <c r="G367" s="23" t="n"/>
      <c r="H367" s="27" t="n"/>
      <c r="I367" s="27" t="n"/>
      <c r="J367" s="27" t="n"/>
      <c r="K367" s="27" t="n"/>
      <c r="L367" s="27" t="n"/>
      <c r="M367" s="27" t="n"/>
      <c r="N367" s="23" t="n"/>
      <c r="O367" s="29" t="n"/>
      <c r="P367" s="29" t="n"/>
      <c r="Q367" s="29" t="n"/>
      <c r="R367" s="29" t="n"/>
      <c r="S367" s="29" t="n"/>
      <c r="T367" s="29" t="n"/>
      <c r="U367" s="29" t="n"/>
      <c r="V367" s="30">
        <f>IF(OR($A367="",$U367=""),"",IF($S367&lt;&gt;"",MAX(0,$S367-$U367),MAX(0,TODAY()-$U367)))</f>
        <v/>
      </c>
      <c r="W367" s="30">
        <f>IF($A367="","",IF(OR($N367="Live",$N367="Retired"),"",TODAY()-MAX($O367,$P367,$Q367,$R367)))</f>
        <v/>
      </c>
      <c r="X367" s="23" t="n"/>
      <c r="Y367" s="30">
        <f>IF($A367="","",COUNTIFS('Issues Log'!$C$5:$C$504,$A367,'Issues Log'!$K$5:$K$504,"Open")+COUNTIFS('Issues Log'!$C$5:$C$504,$A367,'Issues Log'!$K$5:$K$504,"In progress"))</f>
        <v/>
      </c>
      <c r="Z367" s="27" t="n"/>
    </row>
    <row r="368">
      <c r="A368" s="27" t="n"/>
      <c r="B368" s="27" t="n"/>
      <c r="C368" s="27" t="n"/>
      <c r="D368" s="28">
        <f>IF($C368="","",IFERROR(INDEX('Topic Plan'!$C$5:$C$115,MATCH($C368,'Topic Plan'!$B$5:$B$115,0)),"UNKNOWN TOPIC ID"))</f>
        <v/>
      </c>
      <c r="E368" s="28">
        <f>IF($C368="","",IFERROR(INDEX('Topic Plan'!$D$5:$D$115,MATCH($C368,'Topic Plan'!$B$5:$B$115,0)),""))</f>
        <v/>
      </c>
      <c r="F368" s="28">
        <f>IF($C368="","",IFERROR(INDEX('Topic Plan'!$E$5:$E$115,MATCH($C368,'Topic Plan'!$B$5:$B$115,0)),""))</f>
        <v/>
      </c>
      <c r="G368" s="23" t="n"/>
      <c r="H368" s="27" t="n"/>
      <c r="I368" s="27" t="n"/>
      <c r="J368" s="27" t="n"/>
      <c r="K368" s="27" t="n"/>
      <c r="L368" s="27" t="n"/>
      <c r="M368" s="27" t="n"/>
      <c r="N368" s="23" t="n"/>
      <c r="O368" s="29" t="n"/>
      <c r="P368" s="29" t="n"/>
      <c r="Q368" s="29" t="n"/>
      <c r="R368" s="29" t="n"/>
      <c r="S368" s="29" t="n"/>
      <c r="T368" s="29" t="n"/>
      <c r="U368" s="29" t="n"/>
      <c r="V368" s="30">
        <f>IF(OR($A368="",$U368=""),"",IF($S368&lt;&gt;"",MAX(0,$S368-$U368),MAX(0,TODAY()-$U368)))</f>
        <v/>
      </c>
      <c r="W368" s="30">
        <f>IF($A368="","",IF(OR($N368="Live",$N368="Retired"),"",TODAY()-MAX($O368,$P368,$Q368,$R368)))</f>
        <v/>
      </c>
      <c r="X368" s="23" t="n"/>
      <c r="Y368" s="30">
        <f>IF($A368="","",COUNTIFS('Issues Log'!$C$5:$C$504,$A368,'Issues Log'!$K$5:$K$504,"Open")+COUNTIFS('Issues Log'!$C$5:$C$504,$A368,'Issues Log'!$K$5:$K$504,"In progress"))</f>
        <v/>
      </c>
      <c r="Z368" s="27" t="n"/>
    </row>
    <row r="369">
      <c r="A369" s="27" t="n"/>
      <c r="B369" s="27" t="n"/>
      <c r="C369" s="27" t="n"/>
      <c r="D369" s="28">
        <f>IF($C369="","",IFERROR(INDEX('Topic Plan'!$C$5:$C$115,MATCH($C369,'Topic Plan'!$B$5:$B$115,0)),"UNKNOWN TOPIC ID"))</f>
        <v/>
      </c>
      <c r="E369" s="28">
        <f>IF($C369="","",IFERROR(INDEX('Topic Plan'!$D$5:$D$115,MATCH($C369,'Topic Plan'!$B$5:$B$115,0)),""))</f>
        <v/>
      </c>
      <c r="F369" s="28">
        <f>IF($C369="","",IFERROR(INDEX('Topic Plan'!$E$5:$E$115,MATCH($C369,'Topic Plan'!$B$5:$B$115,0)),""))</f>
        <v/>
      </c>
      <c r="G369" s="23" t="n"/>
      <c r="H369" s="27" t="n"/>
      <c r="I369" s="27" t="n"/>
      <c r="J369" s="27" t="n"/>
      <c r="K369" s="27" t="n"/>
      <c r="L369" s="27" t="n"/>
      <c r="M369" s="27" t="n"/>
      <c r="N369" s="23" t="n"/>
      <c r="O369" s="29" t="n"/>
      <c r="P369" s="29" t="n"/>
      <c r="Q369" s="29" t="n"/>
      <c r="R369" s="29" t="n"/>
      <c r="S369" s="29" t="n"/>
      <c r="T369" s="29" t="n"/>
      <c r="U369" s="29" t="n"/>
      <c r="V369" s="30">
        <f>IF(OR($A369="",$U369=""),"",IF($S369&lt;&gt;"",MAX(0,$S369-$U369),MAX(0,TODAY()-$U369)))</f>
        <v/>
      </c>
      <c r="W369" s="30">
        <f>IF($A369="","",IF(OR($N369="Live",$N369="Retired"),"",TODAY()-MAX($O369,$P369,$Q369,$R369)))</f>
        <v/>
      </c>
      <c r="X369" s="23" t="n"/>
      <c r="Y369" s="30">
        <f>IF($A369="","",COUNTIFS('Issues Log'!$C$5:$C$504,$A369,'Issues Log'!$K$5:$K$504,"Open")+COUNTIFS('Issues Log'!$C$5:$C$504,$A369,'Issues Log'!$K$5:$K$504,"In progress"))</f>
        <v/>
      </c>
      <c r="Z369" s="27" t="n"/>
    </row>
    <row r="370">
      <c r="A370" s="27" t="n"/>
      <c r="B370" s="27" t="n"/>
      <c r="C370" s="27" t="n"/>
      <c r="D370" s="28">
        <f>IF($C370="","",IFERROR(INDEX('Topic Plan'!$C$5:$C$115,MATCH($C370,'Topic Plan'!$B$5:$B$115,0)),"UNKNOWN TOPIC ID"))</f>
        <v/>
      </c>
      <c r="E370" s="28">
        <f>IF($C370="","",IFERROR(INDEX('Topic Plan'!$D$5:$D$115,MATCH($C370,'Topic Plan'!$B$5:$B$115,0)),""))</f>
        <v/>
      </c>
      <c r="F370" s="28">
        <f>IF($C370="","",IFERROR(INDEX('Topic Plan'!$E$5:$E$115,MATCH($C370,'Topic Plan'!$B$5:$B$115,0)),""))</f>
        <v/>
      </c>
      <c r="G370" s="23" t="n"/>
      <c r="H370" s="27" t="n"/>
      <c r="I370" s="27" t="n"/>
      <c r="J370" s="27" t="n"/>
      <c r="K370" s="27" t="n"/>
      <c r="L370" s="27" t="n"/>
      <c r="M370" s="27" t="n"/>
      <c r="N370" s="23" t="n"/>
      <c r="O370" s="29" t="n"/>
      <c r="P370" s="29" t="n"/>
      <c r="Q370" s="29" t="n"/>
      <c r="R370" s="29" t="n"/>
      <c r="S370" s="29" t="n"/>
      <c r="T370" s="29" t="n"/>
      <c r="U370" s="29" t="n"/>
      <c r="V370" s="30">
        <f>IF(OR($A370="",$U370=""),"",IF($S370&lt;&gt;"",MAX(0,$S370-$U370),MAX(0,TODAY()-$U370)))</f>
        <v/>
      </c>
      <c r="W370" s="30">
        <f>IF($A370="","",IF(OR($N370="Live",$N370="Retired"),"",TODAY()-MAX($O370,$P370,$Q370,$R370)))</f>
        <v/>
      </c>
      <c r="X370" s="23" t="n"/>
      <c r="Y370" s="30">
        <f>IF($A370="","",COUNTIFS('Issues Log'!$C$5:$C$504,$A370,'Issues Log'!$K$5:$K$504,"Open")+COUNTIFS('Issues Log'!$C$5:$C$504,$A370,'Issues Log'!$K$5:$K$504,"In progress"))</f>
        <v/>
      </c>
      <c r="Z370" s="27" t="n"/>
    </row>
    <row r="371">
      <c r="A371" s="27" t="n"/>
      <c r="B371" s="27" t="n"/>
      <c r="C371" s="27" t="n"/>
      <c r="D371" s="28">
        <f>IF($C371="","",IFERROR(INDEX('Topic Plan'!$C$5:$C$115,MATCH($C371,'Topic Plan'!$B$5:$B$115,0)),"UNKNOWN TOPIC ID"))</f>
        <v/>
      </c>
      <c r="E371" s="28">
        <f>IF($C371="","",IFERROR(INDEX('Topic Plan'!$D$5:$D$115,MATCH($C371,'Topic Plan'!$B$5:$B$115,0)),""))</f>
        <v/>
      </c>
      <c r="F371" s="28">
        <f>IF($C371="","",IFERROR(INDEX('Topic Plan'!$E$5:$E$115,MATCH($C371,'Topic Plan'!$B$5:$B$115,0)),""))</f>
        <v/>
      </c>
      <c r="G371" s="23" t="n"/>
      <c r="H371" s="27" t="n"/>
      <c r="I371" s="27" t="n"/>
      <c r="J371" s="27" t="n"/>
      <c r="K371" s="27" t="n"/>
      <c r="L371" s="27" t="n"/>
      <c r="M371" s="27" t="n"/>
      <c r="N371" s="23" t="n"/>
      <c r="O371" s="29" t="n"/>
      <c r="P371" s="29" t="n"/>
      <c r="Q371" s="29" t="n"/>
      <c r="R371" s="29" t="n"/>
      <c r="S371" s="29" t="n"/>
      <c r="T371" s="29" t="n"/>
      <c r="U371" s="29" t="n"/>
      <c r="V371" s="30">
        <f>IF(OR($A371="",$U371=""),"",IF($S371&lt;&gt;"",MAX(0,$S371-$U371),MAX(0,TODAY()-$U371)))</f>
        <v/>
      </c>
      <c r="W371" s="30">
        <f>IF($A371="","",IF(OR($N371="Live",$N371="Retired"),"",TODAY()-MAX($O371,$P371,$Q371,$R371)))</f>
        <v/>
      </c>
      <c r="X371" s="23" t="n"/>
      <c r="Y371" s="30">
        <f>IF($A371="","",COUNTIFS('Issues Log'!$C$5:$C$504,$A371,'Issues Log'!$K$5:$K$504,"Open")+COUNTIFS('Issues Log'!$C$5:$C$504,$A371,'Issues Log'!$K$5:$K$504,"In progress"))</f>
        <v/>
      </c>
      <c r="Z371" s="27" t="n"/>
    </row>
    <row r="372">
      <c r="A372" s="27" t="n"/>
      <c r="B372" s="27" t="n"/>
      <c r="C372" s="27" t="n"/>
      <c r="D372" s="28">
        <f>IF($C372="","",IFERROR(INDEX('Topic Plan'!$C$5:$C$115,MATCH($C372,'Topic Plan'!$B$5:$B$115,0)),"UNKNOWN TOPIC ID"))</f>
        <v/>
      </c>
      <c r="E372" s="28">
        <f>IF($C372="","",IFERROR(INDEX('Topic Plan'!$D$5:$D$115,MATCH($C372,'Topic Plan'!$B$5:$B$115,0)),""))</f>
        <v/>
      </c>
      <c r="F372" s="28">
        <f>IF($C372="","",IFERROR(INDEX('Topic Plan'!$E$5:$E$115,MATCH($C372,'Topic Plan'!$B$5:$B$115,0)),""))</f>
        <v/>
      </c>
      <c r="G372" s="23" t="n"/>
      <c r="H372" s="27" t="n"/>
      <c r="I372" s="27" t="n"/>
      <c r="J372" s="27" t="n"/>
      <c r="K372" s="27" t="n"/>
      <c r="L372" s="27" t="n"/>
      <c r="M372" s="27" t="n"/>
      <c r="N372" s="23" t="n"/>
      <c r="O372" s="29" t="n"/>
      <c r="P372" s="29" t="n"/>
      <c r="Q372" s="29" t="n"/>
      <c r="R372" s="29" t="n"/>
      <c r="S372" s="29" t="n"/>
      <c r="T372" s="29" t="n"/>
      <c r="U372" s="29" t="n"/>
      <c r="V372" s="30">
        <f>IF(OR($A372="",$U372=""),"",IF($S372&lt;&gt;"",MAX(0,$S372-$U372),MAX(0,TODAY()-$U372)))</f>
        <v/>
      </c>
      <c r="W372" s="30">
        <f>IF($A372="","",IF(OR($N372="Live",$N372="Retired"),"",TODAY()-MAX($O372,$P372,$Q372,$R372)))</f>
        <v/>
      </c>
      <c r="X372" s="23" t="n"/>
      <c r="Y372" s="30">
        <f>IF($A372="","",COUNTIFS('Issues Log'!$C$5:$C$504,$A372,'Issues Log'!$K$5:$K$504,"Open")+COUNTIFS('Issues Log'!$C$5:$C$504,$A372,'Issues Log'!$K$5:$K$504,"In progress"))</f>
        <v/>
      </c>
      <c r="Z372" s="27" t="n"/>
    </row>
    <row r="373">
      <c r="A373" s="27" t="n"/>
      <c r="B373" s="27" t="n"/>
      <c r="C373" s="27" t="n"/>
      <c r="D373" s="28">
        <f>IF($C373="","",IFERROR(INDEX('Topic Plan'!$C$5:$C$115,MATCH($C373,'Topic Plan'!$B$5:$B$115,0)),"UNKNOWN TOPIC ID"))</f>
        <v/>
      </c>
      <c r="E373" s="28">
        <f>IF($C373="","",IFERROR(INDEX('Topic Plan'!$D$5:$D$115,MATCH($C373,'Topic Plan'!$B$5:$B$115,0)),""))</f>
        <v/>
      </c>
      <c r="F373" s="28">
        <f>IF($C373="","",IFERROR(INDEX('Topic Plan'!$E$5:$E$115,MATCH($C373,'Topic Plan'!$B$5:$B$115,0)),""))</f>
        <v/>
      </c>
      <c r="G373" s="23" t="n"/>
      <c r="H373" s="27" t="n"/>
      <c r="I373" s="27" t="n"/>
      <c r="J373" s="27" t="n"/>
      <c r="K373" s="27" t="n"/>
      <c r="L373" s="27" t="n"/>
      <c r="M373" s="27" t="n"/>
      <c r="N373" s="23" t="n"/>
      <c r="O373" s="29" t="n"/>
      <c r="P373" s="29" t="n"/>
      <c r="Q373" s="29" t="n"/>
      <c r="R373" s="29" t="n"/>
      <c r="S373" s="29" t="n"/>
      <c r="T373" s="29" t="n"/>
      <c r="U373" s="29" t="n"/>
      <c r="V373" s="30">
        <f>IF(OR($A373="",$U373=""),"",IF($S373&lt;&gt;"",MAX(0,$S373-$U373),MAX(0,TODAY()-$U373)))</f>
        <v/>
      </c>
      <c r="W373" s="30">
        <f>IF($A373="","",IF(OR($N373="Live",$N373="Retired"),"",TODAY()-MAX($O373,$P373,$Q373,$R373)))</f>
        <v/>
      </c>
      <c r="X373" s="23" t="n"/>
      <c r="Y373" s="30">
        <f>IF($A373="","",COUNTIFS('Issues Log'!$C$5:$C$504,$A373,'Issues Log'!$K$5:$K$504,"Open")+COUNTIFS('Issues Log'!$C$5:$C$504,$A373,'Issues Log'!$K$5:$K$504,"In progress"))</f>
        <v/>
      </c>
      <c r="Z373" s="27" t="n"/>
    </row>
    <row r="374">
      <c r="A374" s="27" t="n"/>
      <c r="B374" s="27" t="n"/>
      <c r="C374" s="27" t="n"/>
      <c r="D374" s="28">
        <f>IF($C374="","",IFERROR(INDEX('Topic Plan'!$C$5:$C$115,MATCH($C374,'Topic Plan'!$B$5:$B$115,0)),"UNKNOWN TOPIC ID"))</f>
        <v/>
      </c>
      <c r="E374" s="28">
        <f>IF($C374="","",IFERROR(INDEX('Topic Plan'!$D$5:$D$115,MATCH($C374,'Topic Plan'!$B$5:$B$115,0)),""))</f>
        <v/>
      </c>
      <c r="F374" s="28">
        <f>IF($C374="","",IFERROR(INDEX('Topic Plan'!$E$5:$E$115,MATCH($C374,'Topic Plan'!$B$5:$B$115,0)),""))</f>
        <v/>
      </c>
      <c r="G374" s="23" t="n"/>
      <c r="H374" s="27" t="n"/>
      <c r="I374" s="27" t="n"/>
      <c r="J374" s="27" t="n"/>
      <c r="K374" s="27" t="n"/>
      <c r="L374" s="27" t="n"/>
      <c r="M374" s="27" t="n"/>
      <c r="N374" s="23" t="n"/>
      <c r="O374" s="29" t="n"/>
      <c r="P374" s="29" t="n"/>
      <c r="Q374" s="29" t="n"/>
      <c r="R374" s="29" t="n"/>
      <c r="S374" s="29" t="n"/>
      <c r="T374" s="29" t="n"/>
      <c r="U374" s="29" t="n"/>
      <c r="V374" s="30">
        <f>IF(OR($A374="",$U374=""),"",IF($S374&lt;&gt;"",MAX(0,$S374-$U374),MAX(0,TODAY()-$U374)))</f>
        <v/>
      </c>
      <c r="W374" s="30">
        <f>IF($A374="","",IF(OR($N374="Live",$N374="Retired"),"",TODAY()-MAX($O374,$P374,$Q374,$R374)))</f>
        <v/>
      </c>
      <c r="X374" s="23" t="n"/>
      <c r="Y374" s="30">
        <f>IF($A374="","",COUNTIFS('Issues Log'!$C$5:$C$504,$A374,'Issues Log'!$K$5:$K$504,"Open")+COUNTIFS('Issues Log'!$C$5:$C$504,$A374,'Issues Log'!$K$5:$K$504,"In progress"))</f>
        <v/>
      </c>
      <c r="Z374" s="27" t="n"/>
    </row>
    <row r="375">
      <c r="A375" s="27" t="n"/>
      <c r="B375" s="27" t="n"/>
      <c r="C375" s="27" t="n"/>
      <c r="D375" s="28">
        <f>IF($C375="","",IFERROR(INDEX('Topic Plan'!$C$5:$C$115,MATCH($C375,'Topic Plan'!$B$5:$B$115,0)),"UNKNOWN TOPIC ID"))</f>
        <v/>
      </c>
      <c r="E375" s="28">
        <f>IF($C375="","",IFERROR(INDEX('Topic Plan'!$D$5:$D$115,MATCH($C375,'Topic Plan'!$B$5:$B$115,0)),""))</f>
        <v/>
      </c>
      <c r="F375" s="28">
        <f>IF($C375="","",IFERROR(INDEX('Topic Plan'!$E$5:$E$115,MATCH($C375,'Topic Plan'!$B$5:$B$115,0)),""))</f>
        <v/>
      </c>
      <c r="G375" s="23" t="n"/>
      <c r="H375" s="27" t="n"/>
      <c r="I375" s="27" t="n"/>
      <c r="J375" s="27" t="n"/>
      <c r="K375" s="27" t="n"/>
      <c r="L375" s="27" t="n"/>
      <c r="M375" s="27" t="n"/>
      <c r="N375" s="23" t="n"/>
      <c r="O375" s="29" t="n"/>
      <c r="P375" s="29" t="n"/>
      <c r="Q375" s="29" t="n"/>
      <c r="R375" s="29" t="n"/>
      <c r="S375" s="29" t="n"/>
      <c r="T375" s="29" t="n"/>
      <c r="U375" s="29" t="n"/>
      <c r="V375" s="30">
        <f>IF(OR($A375="",$U375=""),"",IF($S375&lt;&gt;"",MAX(0,$S375-$U375),MAX(0,TODAY()-$U375)))</f>
        <v/>
      </c>
      <c r="W375" s="30">
        <f>IF($A375="","",IF(OR($N375="Live",$N375="Retired"),"",TODAY()-MAX($O375,$P375,$Q375,$R375)))</f>
        <v/>
      </c>
      <c r="X375" s="23" t="n"/>
      <c r="Y375" s="30">
        <f>IF($A375="","",COUNTIFS('Issues Log'!$C$5:$C$504,$A375,'Issues Log'!$K$5:$K$504,"Open")+COUNTIFS('Issues Log'!$C$5:$C$504,$A375,'Issues Log'!$K$5:$K$504,"In progress"))</f>
        <v/>
      </c>
      <c r="Z375" s="27" t="n"/>
    </row>
    <row r="376">
      <c r="A376" s="27" t="n"/>
      <c r="B376" s="27" t="n"/>
      <c r="C376" s="27" t="n"/>
      <c r="D376" s="28">
        <f>IF($C376="","",IFERROR(INDEX('Topic Plan'!$C$5:$C$115,MATCH($C376,'Topic Plan'!$B$5:$B$115,0)),"UNKNOWN TOPIC ID"))</f>
        <v/>
      </c>
      <c r="E376" s="28">
        <f>IF($C376="","",IFERROR(INDEX('Topic Plan'!$D$5:$D$115,MATCH($C376,'Topic Plan'!$B$5:$B$115,0)),""))</f>
        <v/>
      </c>
      <c r="F376" s="28">
        <f>IF($C376="","",IFERROR(INDEX('Topic Plan'!$E$5:$E$115,MATCH($C376,'Topic Plan'!$B$5:$B$115,0)),""))</f>
        <v/>
      </c>
      <c r="G376" s="23" t="n"/>
      <c r="H376" s="27" t="n"/>
      <c r="I376" s="27" t="n"/>
      <c r="J376" s="27" t="n"/>
      <c r="K376" s="27" t="n"/>
      <c r="L376" s="27" t="n"/>
      <c r="M376" s="27" t="n"/>
      <c r="N376" s="23" t="n"/>
      <c r="O376" s="29" t="n"/>
      <c r="P376" s="29" t="n"/>
      <c r="Q376" s="29" t="n"/>
      <c r="R376" s="29" t="n"/>
      <c r="S376" s="29" t="n"/>
      <c r="T376" s="29" t="n"/>
      <c r="U376" s="29" t="n"/>
      <c r="V376" s="30">
        <f>IF(OR($A376="",$U376=""),"",IF($S376&lt;&gt;"",MAX(0,$S376-$U376),MAX(0,TODAY()-$U376)))</f>
        <v/>
      </c>
      <c r="W376" s="30">
        <f>IF($A376="","",IF(OR($N376="Live",$N376="Retired"),"",TODAY()-MAX($O376,$P376,$Q376,$R376)))</f>
        <v/>
      </c>
      <c r="X376" s="23" t="n"/>
      <c r="Y376" s="30">
        <f>IF($A376="","",COUNTIFS('Issues Log'!$C$5:$C$504,$A376,'Issues Log'!$K$5:$K$504,"Open")+COUNTIFS('Issues Log'!$C$5:$C$504,$A376,'Issues Log'!$K$5:$K$504,"In progress"))</f>
        <v/>
      </c>
      <c r="Z376" s="27" t="n"/>
    </row>
    <row r="377">
      <c r="A377" s="27" t="n"/>
      <c r="B377" s="27" t="n"/>
      <c r="C377" s="27" t="n"/>
      <c r="D377" s="28">
        <f>IF($C377="","",IFERROR(INDEX('Topic Plan'!$C$5:$C$115,MATCH($C377,'Topic Plan'!$B$5:$B$115,0)),"UNKNOWN TOPIC ID"))</f>
        <v/>
      </c>
      <c r="E377" s="28">
        <f>IF($C377="","",IFERROR(INDEX('Topic Plan'!$D$5:$D$115,MATCH($C377,'Topic Plan'!$B$5:$B$115,0)),""))</f>
        <v/>
      </c>
      <c r="F377" s="28">
        <f>IF($C377="","",IFERROR(INDEX('Topic Plan'!$E$5:$E$115,MATCH($C377,'Topic Plan'!$B$5:$B$115,0)),""))</f>
        <v/>
      </c>
      <c r="G377" s="23" t="n"/>
      <c r="H377" s="27" t="n"/>
      <c r="I377" s="27" t="n"/>
      <c r="J377" s="27" t="n"/>
      <c r="K377" s="27" t="n"/>
      <c r="L377" s="27" t="n"/>
      <c r="M377" s="27" t="n"/>
      <c r="N377" s="23" t="n"/>
      <c r="O377" s="29" t="n"/>
      <c r="P377" s="29" t="n"/>
      <c r="Q377" s="29" t="n"/>
      <c r="R377" s="29" t="n"/>
      <c r="S377" s="29" t="n"/>
      <c r="T377" s="29" t="n"/>
      <c r="U377" s="29" t="n"/>
      <c r="V377" s="30">
        <f>IF(OR($A377="",$U377=""),"",IF($S377&lt;&gt;"",MAX(0,$S377-$U377),MAX(0,TODAY()-$U377)))</f>
        <v/>
      </c>
      <c r="W377" s="30">
        <f>IF($A377="","",IF(OR($N377="Live",$N377="Retired"),"",TODAY()-MAX($O377,$P377,$Q377,$R377)))</f>
        <v/>
      </c>
      <c r="X377" s="23" t="n"/>
      <c r="Y377" s="30">
        <f>IF($A377="","",COUNTIFS('Issues Log'!$C$5:$C$504,$A377,'Issues Log'!$K$5:$K$504,"Open")+COUNTIFS('Issues Log'!$C$5:$C$504,$A377,'Issues Log'!$K$5:$K$504,"In progress"))</f>
        <v/>
      </c>
      <c r="Z377" s="27" t="n"/>
    </row>
    <row r="378">
      <c r="A378" s="27" t="n"/>
      <c r="B378" s="27" t="n"/>
      <c r="C378" s="27" t="n"/>
      <c r="D378" s="28">
        <f>IF($C378="","",IFERROR(INDEX('Topic Plan'!$C$5:$C$115,MATCH($C378,'Topic Plan'!$B$5:$B$115,0)),"UNKNOWN TOPIC ID"))</f>
        <v/>
      </c>
      <c r="E378" s="28">
        <f>IF($C378="","",IFERROR(INDEX('Topic Plan'!$D$5:$D$115,MATCH($C378,'Topic Plan'!$B$5:$B$115,0)),""))</f>
        <v/>
      </c>
      <c r="F378" s="28">
        <f>IF($C378="","",IFERROR(INDEX('Topic Plan'!$E$5:$E$115,MATCH($C378,'Topic Plan'!$B$5:$B$115,0)),""))</f>
        <v/>
      </c>
      <c r="G378" s="23" t="n"/>
      <c r="H378" s="27" t="n"/>
      <c r="I378" s="27" t="n"/>
      <c r="J378" s="27" t="n"/>
      <c r="K378" s="27" t="n"/>
      <c r="L378" s="27" t="n"/>
      <c r="M378" s="27" t="n"/>
      <c r="N378" s="23" t="n"/>
      <c r="O378" s="29" t="n"/>
      <c r="P378" s="29" t="n"/>
      <c r="Q378" s="29" t="n"/>
      <c r="R378" s="29" t="n"/>
      <c r="S378" s="29" t="n"/>
      <c r="T378" s="29" t="n"/>
      <c r="U378" s="29" t="n"/>
      <c r="V378" s="30">
        <f>IF(OR($A378="",$U378=""),"",IF($S378&lt;&gt;"",MAX(0,$S378-$U378),MAX(0,TODAY()-$U378)))</f>
        <v/>
      </c>
      <c r="W378" s="30">
        <f>IF($A378="","",IF(OR($N378="Live",$N378="Retired"),"",TODAY()-MAX($O378,$P378,$Q378,$R378)))</f>
        <v/>
      </c>
      <c r="X378" s="23" t="n"/>
      <c r="Y378" s="30">
        <f>IF($A378="","",COUNTIFS('Issues Log'!$C$5:$C$504,$A378,'Issues Log'!$K$5:$K$504,"Open")+COUNTIFS('Issues Log'!$C$5:$C$504,$A378,'Issues Log'!$K$5:$K$504,"In progress"))</f>
        <v/>
      </c>
      <c r="Z378" s="27" t="n"/>
    </row>
    <row r="379">
      <c r="A379" s="27" t="n"/>
      <c r="B379" s="27" t="n"/>
      <c r="C379" s="27" t="n"/>
      <c r="D379" s="28">
        <f>IF($C379="","",IFERROR(INDEX('Topic Plan'!$C$5:$C$115,MATCH($C379,'Topic Plan'!$B$5:$B$115,0)),"UNKNOWN TOPIC ID"))</f>
        <v/>
      </c>
      <c r="E379" s="28">
        <f>IF($C379="","",IFERROR(INDEX('Topic Plan'!$D$5:$D$115,MATCH($C379,'Topic Plan'!$B$5:$B$115,0)),""))</f>
        <v/>
      </c>
      <c r="F379" s="28">
        <f>IF($C379="","",IFERROR(INDEX('Topic Plan'!$E$5:$E$115,MATCH($C379,'Topic Plan'!$B$5:$B$115,0)),""))</f>
        <v/>
      </c>
      <c r="G379" s="23" t="n"/>
      <c r="H379" s="27" t="n"/>
      <c r="I379" s="27" t="n"/>
      <c r="J379" s="27" t="n"/>
      <c r="K379" s="27" t="n"/>
      <c r="L379" s="27" t="n"/>
      <c r="M379" s="27" t="n"/>
      <c r="N379" s="23" t="n"/>
      <c r="O379" s="29" t="n"/>
      <c r="P379" s="29" t="n"/>
      <c r="Q379" s="29" t="n"/>
      <c r="R379" s="29" t="n"/>
      <c r="S379" s="29" t="n"/>
      <c r="T379" s="29" t="n"/>
      <c r="U379" s="29" t="n"/>
      <c r="V379" s="30">
        <f>IF(OR($A379="",$U379=""),"",IF($S379&lt;&gt;"",MAX(0,$S379-$U379),MAX(0,TODAY()-$U379)))</f>
        <v/>
      </c>
      <c r="W379" s="30">
        <f>IF($A379="","",IF(OR($N379="Live",$N379="Retired"),"",TODAY()-MAX($O379,$P379,$Q379,$R379)))</f>
        <v/>
      </c>
      <c r="X379" s="23" t="n"/>
      <c r="Y379" s="30">
        <f>IF($A379="","",COUNTIFS('Issues Log'!$C$5:$C$504,$A379,'Issues Log'!$K$5:$K$504,"Open")+COUNTIFS('Issues Log'!$C$5:$C$504,$A379,'Issues Log'!$K$5:$K$504,"In progress"))</f>
        <v/>
      </c>
      <c r="Z379" s="27" t="n"/>
    </row>
    <row r="380">
      <c r="A380" s="27" t="n"/>
      <c r="B380" s="27" t="n"/>
      <c r="C380" s="27" t="n"/>
      <c r="D380" s="28">
        <f>IF($C380="","",IFERROR(INDEX('Topic Plan'!$C$5:$C$115,MATCH($C380,'Topic Plan'!$B$5:$B$115,0)),"UNKNOWN TOPIC ID"))</f>
        <v/>
      </c>
      <c r="E380" s="28">
        <f>IF($C380="","",IFERROR(INDEX('Topic Plan'!$D$5:$D$115,MATCH($C380,'Topic Plan'!$B$5:$B$115,0)),""))</f>
        <v/>
      </c>
      <c r="F380" s="28">
        <f>IF($C380="","",IFERROR(INDEX('Topic Plan'!$E$5:$E$115,MATCH($C380,'Topic Plan'!$B$5:$B$115,0)),""))</f>
        <v/>
      </c>
      <c r="G380" s="23" t="n"/>
      <c r="H380" s="27" t="n"/>
      <c r="I380" s="27" t="n"/>
      <c r="J380" s="27" t="n"/>
      <c r="K380" s="27" t="n"/>
      <c r="L380" s="27" t="n"/>
      <c r="M380" s="27" t="n"/>
      <c r="N380" s="23" t="n"/>
      <c r="O380" s="29" t="n"/>
      <c r="P380" s="29" t="n"/>
      <c r="Q380" s="29" t="n"/>
      <c r="R380" s="29" t="n"/>
      <c r="S380" s="29" t="n"/>
      <c r="T380" s="29" t="n"/>
      <c r="U380" s="29" t="n"/>
      <c r="V380" s="30">
        <f>IF(OR($A380="",$U380=""),"",IF($S380&lt;&gt;"",MAX(0,$S380-$U380),MAX(0,TODAY()-$U380)))</f>
        <v/>
      </c>
      <c r="W380" s="30">
        <f>IF($A380="","",IF(OR($N380="Live",$N380="Retired"),"",TODAY()-MAX($O380,$P380,$Q380,$R380)))</f>
        <v/>
      </c>
      <c r="X380" s="23" t="n"/>
      <c r="Y380" s="30">
        <f>IF($A380="","",COUNTIFS('Issues Log'!$C$5:$C$504,$A380,'Issues Log'!$K$5:$K$504,"Open")+COUNTIFS('Issues Log'!$C$5:$C$504,$A380,'Issues Log'!$K$5:$K$504,"In progress"))</f>
        <v/>
      </c>
      <c r="Z380" s="27" t="n"/>
    </row>
    <row r="381">
      <c r="A381" s="27" t="n"/>
      <c r="B381" s="27" t="n"/>
      <c r="C381" s="27" t="n"/>
      <c r="D381" s="28">
        <f>IF($C381="","",IFERROR(INDEX('Topic Plan'!$C$5:$C$115,MATCH($C381,'Topic Plan'!$B$5:$B$115,0)),"UNKNOWN TOPIC ID"))</f>
        <v/>
      </c>
      <c r="E381" s="28">
        <f>IF($C381="","",IFERROR(INDEX('Topic Plan'!$D$5:$D$115,MATCH($C381,'Topic Plan'!$B$5:$B$115,0)),""))</f>
        <v/>
      </c>
      <c r="F381" s="28">
        <f>IF($C381="","",IFERROR(INDEX('Topic Plan'!$E$5:$E$115,MATCH($C381,'Topic Plan'!$B$5:$B$115,0)),""))</f>
        <v/>
      </c>
      <c r="G381" s="23" t="n"/>
      <c r="H381" s="27" t="n"/>
      <c r="I381" s="27" t="n"/>
      <c r="J381" s="27" t="n"/>
      <c r="K381" s="27" t="n"/>
      <c r="L381" s="27" t="n"/>
      <c r="M381" s="27" t="n"/>
      <c r="N381" s="23" t="n"/>
      <c r="O381" s="29" t="n"/>
      <c r="P381" s="29" t="n"/>
      <c r="Q381" s="29" t="n"/>
      <c r="R381" s="29" t="n"/>
      <c r="S381" s="29" t="n"/>
      <c r="T381" s="29" t="n"/>
      <c r="U381" s="29" t="n"/>
      <c r="V381" s="30">
        <f>IF(OR($A381="",$U381=""),"",IF($S381&lt;&gt;"",MAX(0,$S381-$U381),MAX(0,TODAY()-$U381)))</f>
        <v/>
      </c>
      <c r="W381" s="30">
        <f>IF($A381="","",IF(OR($N381="Live",$N381="Retired"),"",TODAY()-MAX($O381,$P381,$Q381,$R381)))</f>
        <v/>
      </c>
      <c r="X381" s="23" t="n"/>
      <c r="Y381" s="30">
        <f>IF($A381="","",COUNTIFS('Issues Log'!$C$5:$C$504,$A381,'Issues Log'!$K$5:$K$504,"Open")+COUNTIFS('Issues Log'!$C$5:$C$504,$A381,'Issues Log'!$K$5:$K$504,"In progress"))</f>
        <v/>
      </c>
      <c r="Z381" s="27" t="n"/>
    </row>
    <row r="382">
      <c r="A382" s="27" t="n"/>
      <c r="B382" s="27" t="n"/>
      <c r="C382" s="27" t="n"/>
      <c r="D382" s="28">
        <f>IF($C382="","",IFERROR(INDEX('Topic Plan'!$C$5:$C$115,MATCH($C382,'Topic Plan'!$B$5:$B$115,0)),"UNKNOWN TOPIC ID"))</f>
        <v/>
      </c>
      <c r="E382" s="28">
        <f>IF($C382="","",IFERROR(INDEX('Topic Plan'!$D$5:$D$115,MATCH($C382,'Topic Plan'!$B$5:$B$115,0)),""))</f>
        <v/>
      </c>
      <c r="F382" s="28">
        <f>IF($C382="","",IFERROR(INDEX('Topic Plan'!$E$5:$E$115,MATCH($C382,'Topic Plan'!$B$5:$B$115,0)),""))</f>
        <v/>
      </c>
      <c r="G382" s="23" t="n"/>
      <c r="H382" s="27" t="n"/>
      <c r="I382" s="27" t="n"/>
      <c r="J382" s="27" t="n"/>
      <c r="K382" s="27" t="n"/>
      <c r="L382" s="27" t="n"/>
      <c r="M382" s="27" t="n"/>
      <c r="N382" s="23" t="n"/>
      <c r="O382" s="29" t="n"/>
      <c r="P382" s="29" t="n"/>
      <c r="Q382" s="29" t="n"/>
      <c r="R382" s="29" t="n"/>
      <c r="S382" s="29" t="n"/>
      <c r="T382" s="29" t="n"/>
      <c r="U382" s="29" t="n"/>
      <c r="V382" s="30">
        <f>IF(OR($A382="",$U382=""),"",IF($S382&lt;&gt;"",MAX(0,$S382-$U382),MAX(0,TODAY()-$U382)))</f>
        <v/>
      </c>
      <c r="W382" s="30">
        <f>IF($A382="","",IF(OR($N382="Live",$N382="Retired"),"",TODAY()-MAX($O382,$P382,$Q382,$R382)))</f>
        <v/>
      </c>
      <c r="X382" s="23" t="n"/>
      <c r="Y382" s="30">
        <f>IF($A382="","",COUNTIFS('Issues Log'!$C$5:$C$504,$A382,'Issues Log'!$K$5:$K$504,"Open")+COUNTIFS('Issues Log'!$C$5:$C$504,$A382,'Issues Log'!$K$5:$K$504,"In progress"))</f>
        <v/>
      </c>
      <c r="Z382" s="27" t="n"/>
    </row>
    <row r="383">
      <c r="A383" s="27" t="n"/>
      <c r="B383" s="27" t="n"/>
      <c r="C383" s="27" t="n"/>
      <c r="D383" s="28">
        <f>IF($C383="","",IFERROR(INDEX('Topic Plan'!$C$5:$C$115,MATCH($C383,'Topic Plan'!$B$5:$B$115,0)),"UNKNOWN TOPIC ID"))</f>
        <v/>
      </c>
      <c r="E383" s="28">
        <f>IF($C383="","",IFERROR(INDEX('Topic Plan'!$D$5:$D$115,MATCH($C383,'Topic Plan'!$B$5:$B$115,0)),""))</f>
        <v/>
      </c>
      <c r="F383" s="28">
        <f>IF($C383="","",IFERROR(INDEX('Topic Plan'!$E$5:$E$115,MATCH($C383,'Topic Plan'!$B$5:$B$115,0)),""))</f>
        <v/>
      </c>
      <c r="G383" s="23" t="n"/>
      <c r="H383" s="27" t="n"/>
      <c r="I383" s="27" t="n"/>
      <c r="J383" s="27" t="n"/>
      <c r="K383" s="27" t="n"/>
      <c r="L383" s="27" t="n"/>
      <c r="M383" s="27" t="n"/>
      <c r="N383" s="23" t="n"/>
      <c r="O383" s="29" t="n"/>
      <c r="P383" s="29" t="n"/>
      <c r="Q383" s="29" t="n"/>
      <c r="R383" s="29" t="n"/>
      <c r="S383" s="29" t="n"/>
      <c r="T383" s="29" t="n"/>
      <c r="U383" s="29" t="n"/>
      <c r="V383" s="30">
        <f>IF(OR($A383="",$U383=""),"",IF($S383&lt;&gt;"",MAX(0,$S383-$U383),MAX(0,TODAY()-$U383)))</f>
        <v/>
      </c>
      <c r="W383" s="30">
        <f>IF($A383="","",IF(OR($N383="Live",$N383="Retired"),"",TODAY()-MAX($O383,$P383,$Q383,$R383)))</f>
        <v/>
      </c>
      <c r="X383" s="23" t="n"/>
      <c r="Y383" s="30">
        <f>IF($A383="","",COUNTIFS('Issues Log'!$C$5:$C$504,$A383,'Issues Log'!$K$5:$K$504,"Open")+COUNTIFS('Issues Log'!$C$5:$C$504,$A383,'Issues Log'!$K$5:$K$504,"In progress"))</f>
        <v/>
      </c>
      <c r="Z383" s="27" t="n"/>
    </row>
    <row r="384">
      <c r="A384" s="27" t="n"/>
      <c r="B384" s="27" t="n"/>
      <c r="C384" s="27" t="n"/>
      <c r="D384" s="28">
        <f>IF($C384="","",IFERROR(INDEX('Topic Plan'!$C$5:$C$115,MATCH($C384,'Topic Plan'!$B$5:$B$115,0)),"UNKNOWN TOPIC ID"))</f>
        <v/>
      </c>
      <c r="E384" s="28">
        <f>IF($C384="","",IFERROR(INDEX('Topic Plan'!$D$5:$D$115,MATCH($C384,'Topic Plan'!$B$5:$B$115,0)),""))</f>
        <v/>
      </c>
      <c r="F384" s="28">
        <f>IF($C384="","",IFERROR(INDEX('Topic Plan'!$E$5:$E$115,MATCH($C384,'Topic Plan'!$B$5:$B$115,0)),""))</f>
        <v/>
      </c>
      <c r="G384" s="23" t="n"/>
      <c r="H384" s="27" t="n"/>
      <c r="I384" s="27" t="n"/>
      <c r="J384" s="27" t="n"/>
      <c r="K384" s="27" t="n"/>
      <c r="L384" s="27" t="n"/>
      <c r="M384" s="27" t="n"/>
      <c r="N384" s="23" t="n"/>
      <c r="O384" s="29" t="n"/>
      <c r="P384" s="29" t="n"/>
      <c r="Q384" s="29" t="n"/>
      <c r="R384" s="29" t="n"/>
      <c r="S384" s="29" t="n"/>
      <c r="T384" s="29" t="n"/>
      <c r="U384" s="29" t="n"/>
      <c r="V384" s="30">
        <f>IF(OR($A384="",$U384=""),"",IF($S384&lt;&gt;"",MAX(0,$S384-$U384),MAX(0,TODAY()-$U384)))</f>
        <v/>
      </c>
      <c r="W384" s="30">
        <f>IF($A384="","",IF(OR($N384="Live",$N384="Retired"),"",TODAY()-MAX($O384,$P384,$Q384,$R384)))</f>
        <v/>
      </c>
      <c r="X384" s="23" t="n"/>
      <c r="Y384" s="30">
        <f>IF($A384="","",COUNTIFS('Issues Log'!$C$5:$C$504,$A384,'Issues Log'!$K$5:$K$504,"Open")+COUNTIFS('Issues Log'!$C$5:$C$504,$A384,'Issues Log'!$K$5:$K$504,"In progress"))</f>
        <v/>
      </c>
      <c r="Z384" s="27" t="n"/>
    </row>
    <row r="385">
      <c r="A385" s="27" t="n"/>
      <c r="B385" s="27" t="n"/>
      <c r="C385" s="27" t="n"/>
      <c r="D385" s="28">
        <f>IF($C385="","",IFERROR(INDEX('Topic Plan'!$C$5:$C$115,MATCH($C385,'Topic Plan'!$B$5:$B$115,0)),"UNKNOWN TOPIC ID"))</f>
        <v/>
      </c>
      <c r="E385" s="28">
        <f>IF($C385="","",IFERROR(INDEX('Topic Plan'!$D$5:$D$115,MATCH($C385,'Topic Plan'!$B$5:$B$115,0)),""))</f>
        <v/>
      </c>
      <c r="F385" s="28">
        <f>IF($C385="","",IFERROR(INDEX('Topic Plan'!$E$5:$E$115,MATCH($C385,'Topic Plan'!$B$5:$B$115,0)),""))</f>
        <v/>
      </c>
      <c r="G385" s="23" t="n"/>
      <c r="H385" s="27" t="n"/>
      <c r="I385" s="27" t="n"/>
      <c r="J385" s="27" t="n"/>
      <c r="K385" s="27" t="n"/>
      <c r="L385" s="27" t="n"/>
      <c r="M385" s="27" t="n"/>
      <c r="N385" s="23" t="n"/>
      <c r="O385" s="29" t="n"/>
      <c r="P385" s="29" t="n"/>
      <c r="Q385" s="29" t="n"/>
      <c r="R385" s="29" t="n"/>
      <c r="S385" s="29" t="n"/>
      <c r="T385" s="29" t="n"/>
      <c r="U385" s="29" t="n"/>
      <c r="V385" s="30">
        <f>IF(OR($A385="",$U385=""),"",IF($S385&lt;&gt;"",MAX(0,$S385-$U385),MAX(0,TODAY()-$U385)))</f>
        <v/>
      </c>
      <c r="W385" s="30">
        <f>IF($A385="","",IF(OR($N385="Live",$N385="Retired"),"",TODAY()-MAX($O385,$P385,$Q385,$R385)))</f>
        <v/>
      </c>
      <c r="X385" s="23" t="n"/>
      <c r="Y385" s="30">
        <f>IF($A385="","",COUNTIFS('Issues Log'!$C$5:$C$504,$A385,'Issues Log'!$K$5:$K$504,"Open")+COUNTIFS('Issues Log'!$C$5:$C$504,$A385,'Issues Log'!$K$5:$K$504,"In progress"))</f>
        <v/>
      </c>
      <c r="Z385" s="27" t="n"/>
    </row>
    <row r="386">
      <c r="A386" s="27" t="n"/>
      <c r="B386" s="27" t="n"/>
      <c r="C386" s="27" t="n"/>
      <c r="D386" s="28">
        <f>IF($C386="","",IFERROR(INDEX('Topic Plan'!$C$5:$C$115,MATCH($C386,'Topic Plan'!$B$5:$B$115,0)),"UNKNOWN TOPIC ID"))</f>
        <v/>
      </c>
      <c r="E386" s="28">
        <f>IF($C386="","",IFERROR(INDEX('Topic Plan'!$D$5:$D$115,MATCH($C386,'Topic Plan'!$B$5:$B$115,0)),""))</f>
        <v/>
      </c>
      <c r="F386" s="28">
        <f>IF($C386="","",IFERROR(INDEX('Topic Plan'!$E$5:$E$115,MATCH($C386,'Topic Plan'!$B$5:$B$115,0)),""))</f>
        <v/>
      </c>
      <c r="G386" s="23" t="n"/>
      <c r="H386" s="27" t="n"/>
      <c r="I386" s="27" t="n"/>
      <c r="J386" s="27" t="n"/>
      <c r="K386" s="27" t="n"/>
      <c r="L386" s="27" t="n"/>
      <c r="M386" s="27" t="n"/>
      <c r="N386" s="23" t="n"/>
      <c r="O386" s="29" t="n"/>
      <c r="P386" s="29" t="n"/>
      <c r="Q386" s="29" t="n"/>
      <c r="R386" s="29" t="n"/>
      <c r="S386" s="29" t="n"/>
      <c r="T386" s="29" t="n"/>
      <c r="U386" s="29" t="n"/>
      <c r="V386" s="30">
        <f>IF(OR($A386="",$U386=""),"",IF($S386&lt;&gt;"",MAX(0,$S386-$U386),MAX(0,TODAY()-$U386)))</f>
        <v/>
      </c>
      <c r="W386" s="30">
        <f>IF($A386="","",IF(OR($N386="Live",$N386="Retired"),"",TODAY()-MAX($O386,$P386,$Q386,$R386)))</f>
        <v/>
      </c>
      <c r="X386" s="23" t="n"/>
      <c r="Y386" s="30">
        <f>IF($A386="","",COUNTIFS('Issues Log'!$C$5:$C$504,$A386,'Issues Log'!$K$5:$K$504,"Open")+COUNTIFS('Issues Log'!$C$5:$C$504,$A386,'Issues Log'!$K$5:$K$504,"In progress"))</f>
        <v/>
      </c>
      <c r="Z386" s="27" t="n"/>
    </row>
    <row r="387">
      <c r="A387" s="27" t="n"/>
      <c r="B387" s="27" t="n"/>
      <c r="C387" s="27" t="n"/>
      <c r="D387" s="28">
        <f>IF($C387="","",IFERROR(INDEX('Topic Plan'!$C$5:$C$115,MATCH($C387,'Topic Plan'!$B$5:$B$115,0)),"UNKNOWN TOPIC ID"))</f>
        <v/>
      </c>
      <c r="E387" s="28">
        <f>IF($C387="","",IFERROR(INDEX('Topic Plan'!$D$5:$D$115,MATCH($C387,'Topic Plan'!$B$5:$B$115,0)),""))</f>
        <v/>
      </c>
      <c r="F387" s="28">
        <f>IF($C387="","",IFERROR(INDEX('Topic Plan'!$E$5:$E$115,MATCH($C387,'Topic Plan'!$B$5:$B$115,0)),""))</f>
        <v/>
      </c>
      <c r="G387" s="23" t="n"/>
      <c r="H387" s="27" t="n"/>
      <c r="I387" s="27" t="n"/>
      <c r="J387" s="27" t="n"/>
      <c r="K387" s="27" t="n"/>
      <c r="L387" s="27" t="n"/>
      <c r="M387" s="27" t="n"/>
      <c r="N387" s="23" t="n"/>
      <c r="O387" s="29" t="n"/>
      <c r="P387" s="29" t="n"/>
      <c r="Q387" s="29" t="n"/>
      <c r="R387" s="29" t="n"/>
      <c r="S387" s="29" t="n"/>
      <c r="T387" s="29" t="n"/>
      <c r="U387" s="29" t="n"/>
      <c r="V387" s="30">
        <f>IF(OR($A387="",$U387=""),"",IF($S387&lt;&gt;"",MAX(0,$S387-$U387),MAX(0,TODAY()-$U387)))</f>
        <v/>
      </c>
      <c r="W387" s="30">
        <f>IF($A387="","",IF(OR($N387="Live",$N387="Retired"),"",TODAY()-MAX($O387,$P387,$Q387,$R387)))</f>
        <v/>
      </c>
      <c r="X387" s="23" t="n"/>
      <c r="Y387" s="30">
        <f>IF($A387="","",COUNTIFS('Issues Log'!$C$5:$C$504,$A387,'Issues Log'!$K$5:$K$504,"Open")+COUNTIFS('Issues Log'!$C$5:$C$504,$A387,'Issues Log'!$K$5:$K$504,"In progress"))</f>
        <v/>
      </c>
      <c r="Z387" s="27" t="n"/>
    </row>
    <row r="388">
      <c r="A388" s="27" t="n"/>
      <c r="B388" s="27" t="n"/>
      <c r="C388" s="27" t="n"/>
      <c r="D388" s="28">
        <f>IF($C388="","",IFERROR(INDEX('Topic Plan'!$C$5:$C$115,MATCH($C388,'Topic Plan'!$B$5:$B$115,0)),"UNKNOWN TOPIC ID"))</f>
        <v/>
      </c>
      <c r="E388" s="28">
        <f>IF($C388="","",IFERROR(INDEX('Topic Plan'!$D$5:$D$115,MATCH($C388,'Topic Plan'!$B$5:$B$115,0)),""))</f>
        <v/>
      </c>
      <c r="F388" s="28">
        <f>IF($C388="","",IFERROR(INDEX('Topic Plan'!$E$5:$E$115,MATCH($C388,'Topic Plan'!$B$5:$B$115,0)),""))</f>
        <v/>
      </c>
      <c r="G388" s="23" t="n"/>
      <c r="H388" s="27" t="n"/>
      <c r="I388" s="27" t="n"/>
      <c r="J388" s="27" t="n"/>
      <c r="K388" s="27" t="n"/>
      <c r="L388" s="27" t="n"/>
      <c r="M388" s="27" t="n"/>
      <c r="N388" s="23" t="n"/>
      <c r="O388" s="29" t="n"/>
      <c r="P388" s="29" t="n"/>
      <c r="Q388" s="29" t="n"/>
      <c r="R388" s="29" t="n"/>
      <c r="S388" s="29" t="n"/>
      <c r="T388" s="29" t="n"/>
      <c r="U388" s="29" t="n"/>
      <c r="V388" s="30">
        <f>IF(OR($A388="",$U388=""),"",IF($S388&lt;&gt;"",MAX(0,$S388-$U388),MAX(0,TODAY()-$U388)))</f>
        <v/>
      </c>
      <c r="W388" s="30">
        <f>IF($A388="","",IF(OR($N388="Live",$N388="Retired"),"",TODAY()-MAX($O388,$P388,$Q388,$R388)))</f>
        <v/>
      </c>
      <c r="X388" s="23" t="n"/>
      <c r="Y388" s="30">
        <f>IF($A388="","",COUNTIFS('Issues Log'!$C$5:$C$504,$A388,'Issues Log'!$K$5:$K$504,"Open")+COUNTIFS('Issues Log'!$C$5:$C$504,$A388,'Issues Log'!$K$5:$K$504,"In progress"))</f>
        <v/>
      </c>
      <c r="Z388" s="27" t="n"/>
    </row>
    <row r="389">
      <c r="A389" s="27" t="n"/>
      <c r="B389" s="27" t="n"/>
      <c r="C389" s="27" t="n"/>
      <c r="D389" s="28">
        <f>IF($C389="","",IFERROR(INDEX('Topic Plan'!$C$5:$C$115,MATCH($C389,'Topic Plan'!$B$5:$B$115,0)),"UNKNOWN TOPIC ID"))</f>
        <v/>
      </c>
      <c r="E389" s="28">
        <f>IF($C389="","",IFERROR(INDEX('Topic Plan'!$D$5:$D$115,MATCH($C389,'Topic Plan'!$B$5:$B$115,0)),""))</f>
        <v/>
      </c>
      <c r="F389" s="28">
        <f>IF($C389="","",IFERROR(INDEX('Topic Plan'!$E$5:$E$115,MATCH($C389,'Topic Plan'!$B$5:$B$115,0)),""))</f>
        <v/>
      </c>
      <c r="G389" s="23" t="n"/>
      <c r="H389" s="27" t="n"/>
      <c r="I389" s="27" t="n"/>
      <c r="J389" s="27" t="n"/>
      <c r="K389" s="27" t="n"/>
      <c r="L389" s="27" t="n"/>
      <c r="M389" s="27" t="n"/>
      <c r="N389" s="23" t="n"/>
      <c r="O389" s="29" t="n"/>
      <c r="P389" s="29" t="n"/>
      <c r="Q389" s="29" t="n"/>
      <c r="R389" s="29" t="n"/>
      <c r="S389" s="29" t="n"/>
      <c r="T389" s="29" t="n"/>
      <c r="U389" s="29" t="n"/>
      <c r="V389" s="30">
        <f>IF(OR($A389="",$U389=""),"",IF($S389&lt;&gt;"",MAX(0,$S389-$U389),MAX(0,TODAY()-$U389)))</f>
        <v/>
      </c>
      <c r="W389" s="30">
        <f>IF($A389="","",IF(OR($N389="Live",$N389="Retired"),"",TODAY()-MAX($O389,$P389,$Q389,$R389)))</f>
        <v/>
      </c>
      <c r="X389" s="23" t="n"/>
      <c r="Y389" s="30">
        <f>IF($A389="","",COUNTIFS('Issues Log'!$C$5:$C$504,$A389,'Issues Log'!$K$5:$K$504,"Open")+COUNTIFS('Issues Log'!$C$5:$C$504,$A389,'Issues Log'!$K$5:$K$504,"In progress"))</f>
        <v/>
      </c>
      <c r="Z389" s="27" t="n"/>
    </row>
    <row r="390">
      <c r="A390" s="27" t="n"/>
      <c r="B390" s="27" t="n"/>
      <c r="C390" s="27" t="n"/>
      <c r="D390" s="28">
        <f>IF($C390="","",IFERROR(INDEX('Topic Plan'!$C$5:$C$115,MATCH($C390,'Topic Plan'!$B$5:$B$115,0)),"UNKNOWN TOPIC ID"))</f>
        <v/>
      </c>
      <c r="E390" s="28">
        <f>IF($C390="","",IFERROR(INDEX('Topic Plan'!$D$5:$D$115,MATCH($C390,'Topic Plan'!$B$5:$B$115,0)),""))</f>
        <v/>
      </c>
      <c r="F390" s="28">
        <f>IF($C390="","",IFERROR(INDEX('Topic Plan'!$E$5:$E$115,MATCH($C390,'Topic Plan'!$B$5:$B$115,0)),""))</f>
        <v/>
      </c>
      <c r="G390" s="23" t="n"/>
      <c r="H390" s="27" t="n"/>
      <c r="I390" s="27" t="n"/>
      <c r="J390" s="27" t="n"/>
      <c r="K390" s="27" t="n"/>
      <c r="L390" s="27" t="n"/>
      <c r="M390" s="27" t="n"/>
      <c r="N390" s="23" t="n"/>
      <c r="O390" s="29" t="n"/>
      <c r="P390" s="29" t="n"/>
      <c r="Q390" s="29" t="n"/>
      <c r="R390" s="29" t="n"/>
      <c r="S390" s="29" t="n"/>
      <c r="T390" s="29" t="n"/>
      <c r="U390" s="29" t="n"/>
      <c r="V390" s="30">
        <f>IF(OR($A390="",$U390=""),"",IF($S390&lt;&gt;"",MAX(0,$S390-$U390),MAX(0,TODAY()-$U390)))</f>
        <v/>
      </c>
      <c r="W390" s="30">
        <f>IF($A390="","",IF(OR($N390="Live",$N390="Retired"),"",TODAY()-MAX($O390,$P390,$Q390,$R390)))</f>
        <v/>
      </c>
      <c r="X390" s="23" t="n"/>
      <c r="Y390" s="30">
        <f>IF($A390="","",COUNTIFS('Issues Log'!$C$5:$C$504,$A390,'Issues Log'!$K$5:$K$504,"Open")+COUNTIFS('Issues Log'!$C$5:$C$504,$A390,'Issues Log'!$K$5:$K$504,"In progress"))</f>
        <v/>
      </c>
      <c r="Z390" s="27" t="n"/>
    </row>
    <row r="391">
      <c r="A391" s="27" t="n"/>
      <c r="B391" s="27" t="n"/>
      <c r="C391" s="27" t="n"/>
      <c r="D391" s="28">
        <f>IF($C391="","",IFERROR(INDEX('Topic Plan'!$C$5:$C$115,MATCH($C391,'Topic Plan'!$B$5:$B$115,0)),"UNKNOWN TOPIC ID"))</f>
        <v/>
      </c>
      <c r="E391" s="28">
        <f>IF($C391="","",IFERROR(INDEX('Topic Plan'!$D$5:$D$115,MATCH($C391,'Topic Plan'!$B$5:$B$115,0)),""))</f>
        <v/>
      </c>
      <c r="F391" s="28">
        <f>IF($C391="","",IFERROR(INDEX('Topic Plan'!$E$5:$E$115,MATCH($C391,'Topic Plan'!$B$5:$B$115,0)),""))</f>
        <v/>
      </c>
      <c r="G391" s="23" t="n"/>
      <c r="H391" s="27" t="n"/>
      <c r="I391" s="27" t="n"/>
      <c r="J391" s="27" t="n"/>
      <c r="K391" s="27" t="n"/>
      <c r="L391" s="27" t="n"/>
      <c r="M391" s="27" t="n"/>
      <c r="N391" s="23" t="n"/>
      <c r="O391" s="29" t="n"/>
      <c r="P391" s="29" t="n"/>
      <c r="Q391" s="29" t="n"/>
      <c r="R391" s="29" t="n"/>
      <c r="S391" s="29" t="n"/>
      <c r="T391" s="29" t="n"/>
      <c r="U391" s="29" t="n"/>
      <c r="V391" s="30">
        <f>IF(OR($A391="",$U391=""),"",IF($S391&lt;&gt;"",MAX(0,$S391-$U391),MAX(0,TODAY()-$U391)))</f>
        <v/>
      </c>
      <c r="W391" s="30">
        <f>IF($A391="","",IF(OR($N391="Live",$N391="Retired"),"",TODAY()-MAX($O391,$P391,$Q391,$R391)))</f>
        <v/>
      </c>
      <c r="X391" s="23" t="n"/>
      <c r="Y391" s="30">
        <f>IF($A391="","",COUNTIFS('Issues Log'!$C$5:$C$504,$A391,'Issues Log'!$K$5:$K$504,"Open")+COUNTIFS('Issues Log'!$C$5:$C$504,$A391,'Issues Log'!$K$5:$K$504,"In progress"))</f>
        <v/>
      </c>
      <c r="Z391" s="27" t="n"/>
    </row>
    <row r="392">
      <c r="A392" s="27" t="n"/>
      <c r="B392" s="27" t="n"/>
      <c r="C392" s="27" t="n"/>
      <c r="D392" s="28">
        <f>IF($C392="","",IFERROR(INDEX('Topic Plan'!$C$5:$C$115,MATCH($C392,'Topic Plan'!$B$5:$B$115,0)),"UNKNOWN TOPIC ID"))</f>
        <v/>
      </c>
      <c r="E392" s="28">
        <f>IF($C392="","",IFERROR(INDEX('Topic Plan'!$D$5:$D$115,MATCH($C392,'Topic Plan'!$B$5:$B$115,0)),""))</f>
        <v/>
      </c>
      <c r="F392" s="28">
        <f>IF($C392="","",IFERROR(INDEX('Topic Plan'!$E$5:$E$115,MATCH($C392,'Topic Plan'!$B$5:$B$115,0)),""))</f>
        <v/>
      </c>
      <c r="G392" s="23" t="n"/>
      <c r="H392" s="27" t="n"/>
      <c r="I392" s="27" t="n"/>
      <c r="J392" s="27" t="n"/>
      <c r="K392" s="27" t="n"/>
      <c r="L392" s="27" t="n"/>
      <c r="M392" s="27" t="n"/>
      <c r="N392" s="23" t="n"/>
      <c r="O392" s="29" t="n"/>
      <c r="P392" s="29" t="n"/>
      <c r="Q392" s="29" t="n"/>
      <c r="R392" s="29" t="n"/>
      <c r="S392" s="29" t="n"/>
      <c r="T392" s="29" t="n"/>
      <c r="U392" s="29" t="n"/>
      <c r="V392" s="30">
        <f>IF(OR($A392="",$U392=""),"",IF($S392&lt;&gt;"",MAX(0,$S392-$U392),MAX(0,TODAY()-$U392)))</f>
        <v/>
      </c>
      <c r="W392" s="30">
        <f>IF($A392="","",IF(OR($N392="Live",$N392="Retired"),"",TODAY()-MAX($O392,$P392,$Q392,$R392)))</f>
        <v/>
      </c>
      <c r="X392" s="23" t="n"/>
      <c r="Y392" s="30">
        <f>IF($A392="","",COUNTIFS('Issues Log'!$C$5:$C$504,$A392,'Issues Log'!$K$5:$K$504,"Open")+COUNTIFS('Issues Log'!$C$5:$C$504,$A392,'Issues Log'!$K$5:$K$504,"In progress"))</f>
        <v/>
      </c>
      <c r="Z392" s="27" t="n"/>
    </row>
    <row r="393">
      <c r="A393" s="27" t="n"/>
      <c r="B393" s="27" t="n"/>
      <c r="C393" s="27" t="n"/>
      <c r="D393" s="28">
        <f>IF($C393="","",IFERROR(INDEX('Topic Plan'!$C$5:$C$115,MATCH($C393,'Topic Plan'!$B$5:$B$115,0)),"UNKNOWN TOPIC ID"))</f>
        <v/>
      </c>
      <c r="E393" s="28">
        <f>IF($C393="","",IFERROR(INDEX('Topic Plan'!$D$5:$D$115,MATCH($C393,'Topic Plan'!$B$5:$B$115,0)),""))</f>
        <v/>
      </c>
      <c r="F393" s="28">
        <f>IF($C393="","",IFERROR(INDEX('Topic Plan'!$E$5:$E$115,MATCH($C393,'Topic Plan'!$B$5:$B$115,0)),""))</f>
        <v/>
      </c>
      <c r="G393" s="23" t="n"/>
      <c r="H393" s="27" t="n"/>
      <c r="I393" s="27" t="n"/>
      <c r="J393" s="27" t="n"/>
      <c r="K393" s="27" t="n"/>
      <c r="L393" s="27" t="n"/>
      <c r="M393" s="27" t="n"/>
      <c r="N393" s="23" t="n"/>
      <c r="O393" s="29" t="n"/>
      <c r="P393" s="29" t="n"/>
      <c r="Q393" s="29" t="n"/>
      <c r="R393" s="29" t="n"/>
      <c r="S393" s="29" t="n"/>
      <c r="T393" s="29" t="n"/>
      <c r="U393" s="29" t="n"/>
      <c r="V393" s="30">
        <f>IF(OR($A393="",$U393=""),"",IF($S393&lt;&gt;"",MAX(0,$S393-$U393),MAX(0,TODAY()-$U393)))</f>
        <v/>
      </c>
      <c r="W393" s="30">
        <f>IF($A393="","",IF(OR($N393="Live",$N393="Retired"),"",TODAY()-MAX($O393,$P393,$Q393,$R393)))</f>
        <v/>
      </c>
      <c r="X393" s="23" t="n"/>
      <c r="Y393" s="30">
        <f>IF($A393="","",COUNTIFS('Issues Log'!$C$5:$C$504,$A393,'Issues Log'!$K$5:$K$504,"Open")+COUNTIFS('Issues Log'!$C$5:$C$504,$A393,'Issues Log'!$K$5:$K$504,"In progress"))</f>
        <v/>
      </c>
      <c r="Z393" s="27" t="n"/>
    </row>
    <row r="394">
      <c r="A394" s="27" t="n"/>
      <c r="B394" s="27" t="n"/>
      <c r="C394" s="27" t="n"/>
      <c r="D394" s="28">
        <f>IF($C394="","",IFERROR(INDEX('Topic Plan'!$C$5:$C$115,MATCH($C394,'Topic Plan'!$B$5:$B$115,0)),"UNKNOWN TOPIC ID"))</f>
        <v/>
      </c>
      <c r="E394" s="28">
        <f>IF($C394="","",IFERROR(INDEX('Topic Plan'!$D$5:$D$115,MATCH($C394,'Topic Plan'!$B$5:$B$115,0)),""))</f>
        <v/>
      </c>
      <c r="F394" s="28">
        <f>IF($C394="","",IFERROR(INDEX('Topic Plan'!$E$5:$E$115,MATCH($C394,'Topic Plan'!$B$5:$B$115,0)),""))</f>
        <v/>
      </c>
      <c r="G394" s="23" t="n"/>
      <c r="H394" s="27" t="n"/>
      <c r="I394" s="27" t="n"/>
      <c r="J394" s="27" t="n"/>
      <c r="K394" s="27" t="n"/>
      <c r="L394" s="27" t="n"/>
      <c r="M394" s="27" t="n"/>
      <c r="N394" s="23" t="n"/>
      <c r="O394" s="29" t="n"/>
      <c r="P394" s="29" t="n"/>
      <c r="Q394" s="29" t="n"/>
      <c r="R394" s="29" t="n"/>
      <c r="S394" s="29" t="n"/>
      <c r="T394" s="29" t="n"/>
      <c r="U394" s="29" t="n"/>
      <c r="V394" s="30">
        <f>IF(OR($A394="",$U394=""),"",IF($S394&lt;&gt;"",MAX(0,$S394-$U394),MAX(0,TODAY()-$U394)))</f>
        <v/>
      </c>
      <c r="W394" s="30">
        <f>IF($A394="","",IF(OR($N394="Live",$N394="Retired"),"",TODAY()-MAX($O394,$P394,$Q394,$R394)))</f>
        <v/>
      </c>
      <c r="X394" s="23" t="n"/>
      <c r="Y394" s="30">
        <f>IF($A394="","",COUNTIFS('Issues Log'!$C$5:$C$504,$A394,'Issues Log'!$K$5:$K$504,"Open")+COUNTIFS('Issues Log'!$C$5:$C$504,$A394,'Issues Log'!$K$5:$K$504,"In progress"))</f>
        <v/>
      </c>
      <c r="Z394" s="27" t="n"/>
    </row>
    <row r="395">
      <c r="A395" s="27" t="n"/>
      <c r="B395" s="27" t="n"/>
      <c r="C395" s="27" t="n"/>
      <c r="D395" s="28">
        <f>IF($C395="","",IFERROR(INDEX('Topic Plan'!$C$5:$C$115,MATCH($C395,'Topic Plan'!$B$5:$B$115,0)),"UNKNOWN TOPIC ID"))</f>
        <v/>
      </c>
      <c r="E395" s="28">
        <f>IF($C395="","",IFERROR(INDEX('Topic Plan'!$D$5:$D$115,MATCH($C395,'Topic Plan'!$B$5:$B$115,0)),""))</f>
        <v/>
      </c>
      <c r="F395" s="28">
        <f>IF($C395="","",IFERROR(INDEX('Topic Plan'!$E$5:$E$115,MATCH($C395,'Topic Plan'!$B$5:$B$115,0)),""))</f>
        <v/>
      </c>
      <c r="G395" s="23" t="n"/>
      <c r="H395" s="27" t="n"/>
      <c r="I395" s="27" t="n"/>
      <c r="J395" s="27" t="n"/>
      <c r="K395" s="27" t="n"/>
      <c r="L395" s="27" t="n"/>
      <c r="M395" s="27" t="n"/>
      <c r="N395" s="23" t="n"/>
      <c r="O395" s="29" t="n"/>
      <c r="P395" s="29" t="n"/>
      <c r="Q395" s="29" t="n"/>
      <c r="R395" s="29" t="n"/>
      <c r="S395" s="29" t="n"/>
      <c r="T395" s="29" t="n"/>
      <c r="U395" s="29" t="n"/>
      <c r="V395" s="30">
        <f>IF(OR($A395="",$U395=""),"",IF($S395&lt;&gt;"",MAX(0,$S395-$U395),MAX(0,TODAY()-$U395)))</f>
        <v/>
      </c>
      <c r="W395" s="30">
        <f>IF($A395="","",IF(OR($N395="Live",$N395="Retired"),"",TODAY()-MAX($O395,$P395,$Q395,$R395)))</f>
        <v/>
      </c>
      <c r="X395" s="23" t="n"/>
      <c r="Y395" s="30">
        <f>IF($A395="","",COUNTIFS('Issues Log'!$C$5:$C$504,$A395,'Issues Log'!$K$5:$K$504,"Open")+COUNTIFS('Issues Log'!$C$5:$C$504,$A395,'Issues Log'!$K$5:$K$504,"In progress"))</f>
        <v/>
      </c>
      <c r="Z395" s="27" t="n"/>
    </row>
    <row r="396">
      <c r="A396" s="27" t="n"/>
      <c r="B396" s="27" t="n"/>
      <c r="C396" s="27" t="n"/>
      <c r="D396" s="28">
        <f>IF($C396="","",IFERROR(INDEX('Topic Plan'!$C$5:$C$115,MATCH($C396,'Topic Plan'!$B$5:$B$115,0)),"UNKNOWN TOPIC ID"))</f>
        <v/>
      </c>
      <c r="E396" s="28">
        <f>IF($C396="","",IFERROR(INDEX('Topic Plan'!$D$5:$D$115,MATCH($C396,'Topic Plan'!$B$5:$B$115,0)),""))</f>
        <v/>
      </c>
      <c r="F396" s="28">
        <f>IF($C396="","",IFERROR(INDEX('Topic Plan'!$E$5:$E$115,MATCH($C396,'Topic Plan'!$B$5:$B$115,0)),""))</f>
        <v/>
      </c>
      <c r="G396" s="23" t="n"/>
      <c r="H396" s="27" t="n"/>
      <c r="I396" s="27" t="n"/>
      <c r="J396" s="27" t="n"/>
      <c r="K396" s="27" t="n"/>
      <c r="L396" s="27" t="n"/>
      <c r="M396" s="27" t="n"/>
      <c r="N396" s="23" t="n"/>
      <c r="O396" s="29" t="n"/>
      <c r="P396" s="29" t="n"/>
      <c r="Q396" s="29" t="n"/>
      <c r="R396" s="29" t="n"/>
      <c r="S396" s="29" t="n"/>
      <c r="T396" s="29" t="n"/>
      <c r="U396" s="29" t="n"/>
      <c r="V396" s="30">
        <f>IF(OR($A396="",$U396=""),"",IF($S396&lt;&gt;"",MAX(0,$S396-$U396),MAX(0,TODAY()-$U396)))</f>
        <v/>
      </c>
      <c r="W396" s="30">
        <f>IF($A396="","",IF(OR($N396="Live",$N396="Retired"),"",TODAY()-MAX($O396,$P396,$Q396,$R396)))</f>
        <v/>
      </c>
      <c r="X396" s="23" t="n"/>
      <c r="Y396" s="30">
        <f>IF($A396="","",COUNTIFS('Issues Log'!$C$5:$C$504,$A396,'Issues Log'!$K$5:$K$504,"Open")+COUNTIFS('Issues Log'!$C$5:$C$504,$A396,'Issues Log'!$K$5:$K$504,"In progress"))</f>
        <v/>
      </c>
      <c r="Z396" s="27" t="n"/>
    </row>
    <row r="397">
      <c r="A397" s="27" t="n"/>
      <c r="B397" s="27" t="n"/>
      <c r="C397" s="27" t="n"/>
      <c r="D397" s="28">
        <f>IF($C397="","",IFERROR(INDEX('Topic Plan'!$C$5:$C$115,MATCH($C397,'Topic Plan'!$B$5:$B$115,0)),"UNKNOWN TOPIC ID"))</f>
        <v/>
      </c>
      <c r="E397" s="28">
        <f>IF($C397="","",IFERROR(INDEX('Topic Plan'!$D$5:$D$115,MATCH($C397,'Topic Plan'!$B$5:$B$115,0)),""))</f>
        <v/>
      </c>
      <c r="F397" s="28">
        <f>IF($C397="","",IFERROR(INDEX('Topic Plan'!$E$5:$E$115,MATCH($C397,'Topic Plan'!$B$5:$B$115,0)),""))</f>
        <v/>
      </c>
      <c r="G397" s="23" t="n"/>
      <c r="H397" s="27" t="n"/>
      <c r="I397" s="27" t="n"/>
      <c r="J397" s="27" t="n"/>
      <c r="K397" s="27" t="n"/>
      <c r="L397" s="27" t="n"/>
      <c r="M397" s="27" t="n"/>
      <c r="N397" s="23" t="n"/>
      <c r="O397" s="29" t="n"/>
      <c r="P397" s="29" t="n"/>
      <c r="Q397" s="29" t="n"/>
      <c r="R397" s="29" t="n"/>
      <c r="S397" s="29" t="n"/>
      <c r="T397" s="29" t="n"/>
      <c r="U397" s="29" t="n"/>
      <c r="V397" s="30">
        <f>IF(OR($A397="",$U397=""),"",IF($S397&lt;&gt;"",MAX(0,$S397-$U397),MAX(0,TODAY()-$U397)))</f>
        <v/>
      </c>
      <c r="W397" s="30">
        <f>IF($A397="","",IF(OR($N397="Live",$N397="Retired"),"",TODAY()-MAX($O397,$P397,$Q397,$R397)))</f>
        <v/>
      </c>
      <c r="X397" s="23" t="n"/>
      <c r="Y397" s="30">
        <f>IF($A397="","",COUNTIFS('Issues Log'!$C$5:$C$504,$A397,'Issues Log'!$K$5:$K$504,"Open")+COUNTIFS('Issues Log'!$C$5:$C$504,$A397,'Issues Log'!$K$5:$K$504,"In progress"))</f>
        <v/>
      </c>
      <c r="Z397" s="27" t="n"/>
    </row>
    <row r="398">
      <c r="A398" s="27" t="n"/>
      <c r="B398" s="27" t="n"/>
      <c r="C398" s="27" t="n"/>
      <c r="D398" s="28">
        <f>IF($C398="","",IFERROR(INDEX('Topic Plan'!$C$5:$C$115,MATCH($C398,'Topic Plan'!$B$5:$B$115,0)),"UNKNOWN TOPIC ID"))</f>
        <v/>
      </c>
      <c r="E398" s="28">
        <f>IF($C398="","",IFERROR(INDEX('Topic Plan'!$D$5:$D$115,MATCH($C398,'Topic Plan'!$B$5:$B$115,0)),""))</f>
        <v/>
      </c>
      <c r="F398" s="28">
        <f>IF($C398="","",IFERROR(INDEX('Topic Plan'!$E$5:$E$115,MATCH($C398,'Topic Plan'!$B$5:$B$115,0)),""))</f>
        <v/>
      </c>
      <c r="G398" s="23" t="n"/>
      <c r="H398" s="27" t="n"/>
      <c r="I398" s="27" t="n"/>
      <c r="J398" s="27" t="n"/>
      <c r="K398" s="27" t="n"/>
      <c r="L398" s="27" t="n"/>
      <c r="M398" s="27" t="n"/>
      <c r="N398" s="23" t="n"/>
      <c r="O398" s="29" t="n"/>
      <c r="P398" s="29" t="n"/>
      <c r="Q398" s="29" t="n"/>
      <c r="R398" s="29" t="n"/>
      <c r="S398" s="29" t="n"/>
      <c r="T398" s="29" t="n"/>
      <c r="U398" s="29" t="n"/>
      <c r="V398" s="30">
        <f>IF(OR($A398="",$U398=""),"",IF($S398&lt;&gt;"",MAX(0,$S398-$U398),MAX(0,TODAY()-$U398)))</f>
        <v/>
      </c>
      <c r="W398" s="30">
        <f>IF($A398="","",IF(OR($N398="Live",$N398="Retired"),"",TODAY()-MAX($O398,$P398,$Q398,$R398)))</f>
        <v/>
      </c>
      <c r="X398" s="23" t="n"/>
      <c r="Y398" s="30">
        <f>IF($A398="","",COUNTIFS('Issues Log'!$C$5:$C$504,$A398,'Issues Log'!$K$5:$K$504,"Open")+COUNTIFS('Issues Log'!$C$5:$C$504,$A398,'Issues Log'!$K$5:$K$504,"In progress"))</f>
        <v/>
      </c>
      <c r="Z398" s="27" t="n"/>
    </row>
    <row r="399">
      <c r="A399" s="27" t="n"/>
      <c r="B399" s="27" t="n"/>
      <c r="C399" s="27" t="n"/>
      <c r="D399" s="28">
        <f>IF($C399="","",IFERROR(INDEX('Topic Plan'!$C$5:$C$115,MATCH($C399,'Topic Plan'!$B$5:$B$115,0)),"UNKNOWN TOPIC ID"))</f>
        <v/>
      </c>
      <c r="E399" s="28">
        <f>IF($C399="","",IFERROR(INDEX('Topic Plan'!$D$5:$D$115,MATCH($C399,'Topic Plan'!$B$5:$B$115,0)),""))</f>
        <v/>
      </c>
      <c r="F399" s="28">
        <f>IF($C399="","",IFERROR(INDEX('Topic Plan'!$E$5:$E$115,MATCH($C399,'Topic Plan'!$B$5:$B$115,0)),""))</f>
        <v/>
      </c>
      <c r="G399" s="23" t="n"/>
      <c r="H399" s="27" t="n"/>
      <c r="I399" s="27" t="n"/>
      <c r="J399" s="27" t="n"/>
      <c r="K399" s="27" t="n"/>
      <c r="L399" s="27" t="n"/>
      <c r="M399" s="27" t="n"/>
      <c r="N399" s="23" t="n"/>
      <c r="O399" s="29" t="n"/>
      <c r="P399" s="29" t="n"/>
      <c r="Q399" s="29" t="n"/>
      <c r="R399" s="29" t="n"/>
      <c r="S399" s="29" t="n"/>
      <c r="T399" s="29" t="n"/>
      <c r="U399" s="29" t="n"/>
      <c r="V399" s="30">
        <f>IF(OR($A399="",$U399=""),"",IF($S399&lt;&gt;"",MAX(0,$S399-$U399),MAX(0,TODAY()-$U399)))</f>
        <v/>
      </c>
      <c r="W399" s="30">
        <f>IF($A399="","",IF(OR($N399="Live",$N399="Retired"),"",TODAY()-MAX($O399,$P399,$Q399,$R399)))</f>
        <v/>
      </c>
      <c r="X399" s="23" t="n"/>
      <c r="Y399" s="30">
        <f>IF($A399="","",COUNTIFS('Issues Log'!$C$5:$C$504,$A399,'Issues Log'!$K$5:$K$504,"Open")+COUNTIFS('Issues Log'!$C$5:$C$504,$A399,'Issues Log'!$K$5:$K$504,"In progress"))</f>
        <v/>
      </c>
      <c r="Z399" s="27" t="n"/>
    </row>
    <row r="400">
      <c r="A400" s="27" t="n"/>
      <c r="B400" s="27" t="n"/>
      <c r="C400" s="27" t="n"/>
      <c r="D400" s="28">
        <f>IF($C400="","",IFERROR(INDEX('Topic Plan'!$C$5:$C$115,MATCH($C400,'Topic Plan'!$B$5:$B$115,0)),"UNKNOWN TOPIC ID"))</f>
        <v/>
      </c>
      <c r="E400" s="28">
        <f>IF($C400="","",IFERROR(INDEX('Topic Plan'!$D$5:$D$115,MATCH($C400,'Topic Plan'!$B$5:$B$115,0)),""))</f>
        <v/>
      </c>
      <c r="F400" s="28">
        <f>IF($C400="","",IFERROR(INDEX('Topic Plan'!$E$5:$E$115,MATCH($C400,'Topic Plan'!$B$5:$B$115,0)),""))</f>
        <v/>
      </c>
      <c r="G400" s="23" t="n"/>
      <c r="H400" s="27" t="n"/>
      <c r="I400" s="27" t="n"/>
      <c r="J400" s="27" t="n"/>
      <c r="K400" s="27" t="n"/>
      <c r="L400" s="27" t="n"/>
      <c r="M400" s="27" t="n"/>
      <c r="N400" s="23" t="n"/>
      <c r="O400" s="29" t="n"/>
      <c r="P400" s="29" t="n"/>
      <c r="Q400" s="29" t="n"/>
      <c r="R400" s="29" t="n"/>
      <c r="S400" s="29" t="n"/>
      <c r="T400" s="29" t="n"/>
      <c r="U400" s="29" t="n"/>
      <c r="V400" s="30">
        <f>IF(OR($A400="",$U400=""),"",IF($S400&lt;&gt;"",MAX(0,$S400-$U400),MAX(0,TODAY()-$U400)))</f>
        <v/>
      </c>
      <c r="W400" s="30">
        <f>IF($A400="","",IF(OR($N400="Live",$N400="Retired"),"",TODAY()-MAX($O400,$P400,$Q400,$R400)))</f>
        <v/>
      </c>
      <c r="X400" s="23" t="n"/>
      <c r="Y400" s="30">
        <f>IF($A400="","",COUNTIFS('Issues Log'!$C$5:$C$504,$A400,'Issues Log'!$K$5:$K$504,"Open")+COUNTIFS('Issues Log'!$C$5:$C$504,$A400,'Issues Log'!$K$5:$K$504,"In progress"))</f>
        <v/>
      </c>
      <c r="Z400" s="27" t="n"/>
    </row>
    <row r="401">
      <c r="A401" s="27" t="n"/>
      <c r="B401" s="27" t="n"/>
      <c r="C401" s="27" t="n"/>
      <c r="D401" s="28">
        <f>IF($C401="","",IFERROR(INDEX('Topic Plan'!$C$5:$C$115,MATCH($C401,'Topic Plan'!$B$5:$B$115,0)),"UNKNOWN TOPIC ID"))</f>
        <v/>
      </c>
      <c r="E401" s="28">
        <f>IF($C401="","",IFERROR(INDEX('Topic Plan'!$D$5:$D$115,MATCH($C401,'Topic Plan'!$B$5:$B$115,0)),""))</f>
        <v/>
      </c>
      <c r="F401" s="28">
        <f>IF($C401="","",IFERROR(INDEX('Topic Plan'!$E$5:$E$115,MATCH($C401,'Topic Plan'!$B$5:$B$115,0)),""))</f>
        <v/>
      </c>
      <c r="G401" s="23" t="n"/>
      <c r="H401" s="27" t="n"/>
      <c r="I401" s="27" t="n"/>
      <c r="J401" s="27" t="n"/>
      <c r="K401" s="27" t="n"/>
      <c r="L401" s="27" t="n"/>
      <c r="M401" s="27" t="n"/>
      <c r="N401" s="23" t="n"/>
      <c r="O401" s="29" t="n"/>
      <c r="P401" s="29" t="n"/>
      <c r="Q401" s="29" t="n"/>
      <c r="R401" s="29" t="n"/>
      <c r="S401" s="29" t="n"/>
      <c r="T401" s="29" t="n"/>
      <c r="U401" s="29" t="n"/>
      <c r="V401" s="30">
        <f>IF(OR($A401="",$U401=""),"",IF($S401&lt;&gt;"",MAX(0,$S401-$U401),MAX(0,TODAY()-$U401)))</f>
        <v/>
      </c>
      <c r="W401" s="30">
        <f>IF($A401="","",IF(OR($N401="Live",$N401="Retired"),"",TODAY()-MAX($O401,$P401,$Q401,$R401)))</f>
        <v/>
      </c>
      <c r="X401" s="23" t="n"/>
      <c r="Y401" s="30">
        <f>IF($A401="","",COUNTIFS('Issues Log'!$C$5:$C$504,$A401,'Issues Log'!$K$5:$K$504,"Open")+COUNTIFS('Issues Log'!$C$5:$C$504,$A401,'Issues Log'!$K$5:$K$504,"In progress"))</f>
        <v/>
      </c>
      <c r="Z401" s="27" t="n"/>
    </row>
    <row r="402">
      <c r="A402" s="27" t="n"/>
      <c r="B402" s="27" t="n"/>
      <c r="C402" s="27" t="n"/>
      <c r="D402" s="28">
        <f>IF($C402="","",IFERROR(INDEX('Topic Plan'!$C$5:$C$115,MATCH($C402,'Topic Plan'!$B$5:$B$115,0)),"UNKNOWN TOPIC ID"))</f>
        <v/>
      </c>
      <c r="E402" s="28">
        <f>IF($C402="","",IFERROR(INDEX('Topic Plan'!$D$5:$D$115,MATCH($C402,'Topic Plan'!$B$5:$B$115,0)),""))</f>
        <v/>
      </c>
      <c r="F402" s="28">
        <f>IF($C402="","",IFERROR(INDEX('Topic Plan'!$E$5:$E$115,MATCH($C402,'Topic Plan'!$B$5:$B$115,0)),""))</f>
        <v/>
      </c>
      <c r="G402" s="23" t="n"/>
      <c r="H402" s="27" t="n"/>
      <c r="I402" s="27" t="n"/>
      <c r="J402" s="27" t="n"/>
      <c r="K402" s="27" t="n"/>
      <c r="L402" s="27" t="n"/>
      <c r="M402" s="27" t="n"/>
      <c r="N402" s="23" t="n"/>
      <c r="O402" s="29" t="n"/>
      <c r="P402" s="29" t="n"/>
      <c r="Q402" s="29" t="n"/>
      <c r="R402" s="29" t="n"/>
      <c r="S402" s="29" t="n"/>
      <c r="T402" s="29" t="n"/>
      <c r="U402" s="29" t="n"/>
      <c r="V402" s="30">
        <f>IF(OR($A402="",$U402=""),"",IF($S402&lt;&gt;"",MAX(0,$S402-$U402),MAX(0,TODAY()-$U402)))</f>
        <v/>
      </c>
      <c r="W402" s="30">
        <f>IF($A402="","",IF(OR($N402="Live",$N402="Retired"),"",TODAY()-MAX($O402,$P402,$Q402,$R402)))</f>
        <v/>
      </c>
      <c r="X402" s="23" t="n"/>
      <c r="Y402" s="30">
        <f>IF($A402="","",COUNTIFS('Issues Log'!$C$5:$C$504,$A402,'Issues Log'!$K$5:$K$504,"Open")+COUNTIFS('Issues Log'!$C$5:$C$504,$A402,'Issues Log'!$K$5:$K$504,"In progress"))</f>
        <v/>
      </c>
      <c r="Z402" s="27" t="n"/>
    </row>
    <row r="403">
      <c r="A403" s="27" t="n"/>
      <c r="B403" s="27" t="n"/>
      <c r="C403" s="27" t="n"/>
      <c r="D403" s="28">
        <f>IF($C403="","",IFERROR(INDEX('Topic Plan'!$C$5:$C$115,MATCH($C403,'Topic Plan'!$B$5:$B$115,0)),"UNKNOWN TOPIC ID"))</f>
        <v/>
      </c>
      <c r="E403" s="28">
        <f>IF($C403="","",IFERROR(INDEX('Topic Plan'!$D$5:$D$115,MATCH($C403,'Topic Plan'!$B$5:$B$115,0)),""))</f>
        <v/>
      </c>
      <c r="F403" s="28">
        <f>IF($C403="","",IFERROR(INDEX('Topic Plan'!$E$5:$E$115,MATCH($C403,'Topic Plan'!$B$5:$B$115,0)),""))</f>
        <v/>
      </c>
      <c r="G403" s="23" t="n"/>
      <c r="H403" s="27" t="n"/>
      <c r="I403" s="27" t="n"/>
      <c r="J403" s="27" t="n"/>
      <c r="K403" s="27" t="n"/>
      <c r="L403" s="27" t="n"/>
      <c r="M403" s="27" t="n"/>
      <c r="N403" s="23" t="n"/>
      <c r="O403" s="29" t="n"/>
      <c r="P403" s="29" t="n"/>
      <c r="Q403" s="29" t="n"/>
      <c r="R403" s="29" t="n"/>
      <c r="S403" s="29" t="n"/>
      <c r="T403" s="29" t="n"/>
      <c r="U403" s="29" t="n"/>
      <c r="V403" s="30">
        <f>IF(OR($A403="",$U403=""),"",IF($S403&lt;&gt;"",MAX(0,$S403-$U403),MAX(0,TODAY()-$U403)))</f>
        <v/>
      </c>
      <c r="W403" s="30">
        <f>IF($A403="","",IF(OR($N403="Live",$N403="Retired"),"",TODAY()-MAX($O403,$P403,$Q403,$R403)))</f>
        <v/>
      </c>
      <c r="X403" s="23" t="n"/>
      <c r="Y403" s="30">
        <f>IF($A403="","",COUNTIFS('Issues Log'!$C$5:$C$504,$A403,'Issues Log'!$K$5:$K$504,"Open")+COUNTIFS('Issues Log'!$C$5:$C$504,$A403,'Issues Log'!$K$5:$K$504,"In progress"))</f>
        <v/>
      </c>
      <c r="Z403" s="27" t="n"/>
    </row>
    <row r="404">
      <c r="A404" s="27" t="n"/>
      <c r="B404" s="27" t="n"/>
      <c r="C404" s="27" t="n"/>
      <c r="D404" s="28">
        <f>IF($C404="","",IFERROR(INDEX('Topic Plan'!$C$5:$C$115,MATCH($C404,'Topic Plan'!$B$5:$B$115,0)),"UNKNOWN TOPIC ID"))</f>
        <v/>
      </c>
      <c r="E404" s="28">
        <f>IF($C404="","",IFERROR(INDEX('Topic Plan'!$D$5:$D$115,MATCH($C404,'Topic Plan'!$B$5:$B$115,0)),""))</f>
        <v/>
      </c>
      <c r="F404" s="28">
        <f>IF($C404="","",IFERROR(INDEX('Topic Plan'!$E$5:$E$115,MATCH($C404,'Topic Plan'!$B$5:$B$115,0)),""))</f>
        <v/>
      </c>
      <c r="G404" s="23" t="n"/>
      <c r="H404" s="27" t="n"/>
      <c r="I404" s="27" t="n"/>
      <c r="J404" s="27" t="n"/>
      <c r="K404" s="27" t="n"/>
      <c r="L404" s="27" t="n"/>
      <c r="M404" s="27" t="n"/>
      <c r="N404" s="23" t="n"/>
      <c r="O404" s="29" t="n"/>
      <c r="P404" s="29" t="n"/>
      <c r="Q404" s="29" t="n"/>
      <c r="R404" s="29" t="n"/>
      <c r="S404" s="29" t="n"/>
      <c r="T404" s="29" t="n"/>
      <c r="U404" s="29" t="n"/>
      <c r="V404" s="30">
        <f>IF(OR($A404="",$U404=""),"",IF($S404&lt;&gt;"",MAX(0,$S404-$U404),MAX(0,TODAY()-$U404)))</f>
        <v/>
      </c>
      <c r="W404" s="30">
        <f>IF($A404="","",IF(OR($N404="Live",$N404="Retired"),"",TODAY()-MAX($O404,$P404,$Q404,$R404)))</f>
        <v/>
      </c>
      <c r="X404" s="23" t="n"/>
      <c r="Y404" s="30">
        <f>IF($A404="","",COUNTIFS('Issues Log'!$C$5:$C$504,$A404,'Issues Log'!$K$5:$K$504,"Open")+COUNTIFS('Issues Log'!$C$5:$C$504,$A404,'Issues Log'!$K$5:$K$504,"In progress"))</f>
        <v/>
      </c>
      <c r="Z404" s="27" t="n"/>
    </row>
    <row r="405">
      <c r="A405" s="27" t="n"/>
      <c r="B405" s="27" t="n"/>
      <c r="C405" s="27" t="n"/>
      <c r="D405" s="28">
        <f>IF($C405="","",IFERROR(INDEX('Topic Plan'!$C$5:$C$115,MATCH($C405,'Topic Plan'!$B$5:$B$115,0)),"UNKNOWN TOPIC ID"))</f>
        <v/>
      </c>
      <c r="E405" s="28">
        <f>IF($C405="","",IFERROR(INDEX('Topic Plan'!$D$5:$D$115,MATCH($C405,'Topic Plan'!$B$5:$B$115,0)),""))</f>
        <v/>
      </c>
      <c r="F405" s="28">
        <f>IF($C405="","",IFERROR(INDEX('Topic Plan'!$E$5:$E$115,MATCH($C405,'Topic Plan'!$B$5:$B$115,0)),""))</f>
        <v/>
      </c>
      <c r="G405" s="23" t="n"/>
      <c r="H405" s="27" t="n"/>
      <c r="I405" s="27" t="n"/>
      <c r="J405" s="27" t="n"/>
      <c r="K405" s="27" t="n"/>
      <c r="L405" s="27" t="n"/>
      <c r="M405" s="27" t="n"/>
      <c r="N405" s="23" t="n"/>
      <c r="O405" s="29" t="n"/>
      <c r="P405" s="29" t="n"/>
      <c r="Q405" s="29" t="n"/>
      <c r="R405" s="29" t="n"/>
      <c r="S405" s="29" t="n"/>
      <c r="T405" s="29" t="n"/>
      <c r="U405" s="29" t="n"/>
      <c r="V405" s="30">
        <f>IF(OR($A405="",$U405=""),"",IF($S405&lt;&gt;"",MAX(0,$S405-$U405),MAX(0,TODAY()-$U405)))</f>
        <v/>
      </c>
      <c r="W405" s="30">
        <f>IF($A405="","",IF(OR($N405="Live",$N405="Retired"),"",TODAY()-MAX($O405,$P405,$Q405,$R405)))</f>
        <v/>
      </c>
      <c r="X405" s="23" t="n"/>
      <c r="Y405" s="30">
        <f>IF($A405="","",COUNTIFS('Issues Log'!$C$5:$C$504,$A405,'Issues Log'!$K$5:$K$504,"Open")+COUNTIFS('Issues Log'!$C$5:$C$504,$A405,'Issues Log'!$K$5:$K$504,"In progress"))</f>
        <v/>
      </c>
      <c r="Z405" s="27" t="n"/>
    </row>
    <row r="406">
      <c r="A406" s="27" t="n"/>
      <c r="B406" s="27" t="n"/>
      <c r="C406" s="27" t="n"/>
      <c r="D406" s="28">
        <f>IF($C406="","",IFERROR(INDEX('Topic Plan'!$C$5:$C$115,MATCH($C406,'Topic Plan'!$B$5:$B$115,0)),"UNKNOWN TOPIC ID"))</f>
        <v/>
      </c>
      <c r="E406" s="28">
        <f>IF($C406="","",IFERROR(INDEX('Topic Plan'!$D$5:$D$115,MATCH($C406,'Topic Plan'!$B$5:$B$115,0)),""))</f>
        <v/>
      </c>
      <c r="F406" s="28">
        <f>IF($C406="","",IFERROR(INDEX('Topic Plan'!$E$5:$E$115,MATCH($C406,'Topic Plan'!$B$5:$B$115,0)),""))</f>
        <v/>
      </c>
      <c r="G406" s="23" t="n"/>
      <c r="H406" s="27" t="n"/>
      <c r="I406" s="27" t="n"/>
      <c r="J406" s="27" t="n"/>
      <c r="K406" s="27" t="n"/>
      <c r="L406" s="27" t="n"/>
      <c r="M406" s="27" t="n"/>
      <c r="N406" s="23" t="n"/>
      <c r="O406" s="29" t="n"/>
      <c r="P406" s="29" t="n"/>
      <c r="Q406" s="29" t="n"/>
      <c r="R406" s="29" t="n"/>
      <c r="S406" s="29" t="n"/>
      <c r="T406" s="29" t="n"/>
      <c r="U406" s="29" t="n"/>
      <c r="V406" s="30">
        <f>IF(OR($A406="",$U406=""),"",IF($S406&lt;&gt;"",MAX(0,$S406-$U406),MAX(0,TODAY()-$U406)))</f>
        <v/>
      </c>
      <c r="W406" s="30">
        <f>IF($A406="","",IF(OR($N406="Live",$N406="Retired"),"",TODAY()-MAX($O406,$P406,$Q406,$R406)))</f>
        <v/>
      </c>
      <c r="X406" s="23" t="n"/>
      <c r="Y406" s="30">
        <f>IF($A406="","",COUNTIFS('Issues Log'!$C$5:$C$504,$A406,'Issues Log'!$K$5:$K$504,"Open")+COUNTIFS('Issues Log'!$C$5:$C$504,$A406,'Issues Log'!$K$5:$K$504,"In progress"))</f>
        <v/>
      </c>
      <c r="Z406" s="27" t="n"/>
    </row>
    <row r="407">
      <c r="A407" s="27" t="n"/>
      <c r="B407" s="27" t="n"/>
      <c r="C407" s="27" t="n"/>
      <c r="D407" s="28">
        <f>IF($C407="","",IFERROR(INDEX('Topic Plan'!$C$5:$C$115,MATCH($C407,'Topic Plan'!$B$5:$B$115,0)),"UNKNOWN TOPIC ID"))</f>
        <v/>
      </c>
      <c r="E407" s="28">
        <f>IF($C407="","",IFERROR(INDEX('Topic Plan'!$D$5:$D$115,MATCH($C407,'Topic Plan'!$B$5:$B$115,0)),""))</f>
        <v/>
      </c>
      <c r="F407" s="28">
        <f>IF($C407="","",IFERROR(INDEX('Topic Plan'!$E$5:$E$115,MATCH($C407,'Topic Plan'!$B$5:$B$115,0)),""))</f>
        <v/>
      </c>
      <c r="G407" s="23" t="n"/>
      <c r="H407" s="27" t="n"/>
      <c r="I407" s="27" t="n"/>
      <c r="J407" s="27" t="n"/>
      <c r="K407" s="27" t="n"/>
      <c r="L407" s="27" t="n"/>
      <c r="M407" s="27" t="n"/>
      <c r="N407" s="23" t="n"/>
      <c r="O407" s="29" t="n"/>
      <c r="P407" s="29" t="n"/>
      <c r="Q407" s="29" t="n"/>
      <c r="R407" s="29" t="n"/>
      <c r="S407" s="29" t="n"/>
      <c r="T407" s="29" t="n"/>
      <c r="U407" s="29" t="n"/>
      <c r="V407" s="30">
        <f>IF(OR($A407="",$U407=""),"",IF($S407&lt;&gt;"",MAX(0,$S407-$U407),MAX(0,TODAY()-$U407)))</f>
        <v/>
      </c>
      <c r="W407" s="30">
        <f>IF($A407="","",IF(OR($N407="Live",$N407="Retired"),"",TODAY()-MAX($O407,$P407,$Q407,$R407)))</f>
        <v/>
      </c>
      <c r="X407" s="23" t="n"/>
      <c r="Y407" s="30">
        <f>IF($A407="","",COUNTIFS('Issues Log'!$C$5:$C$504,$A407,'Issues Log'!$K$5:$K$504,"Open")+COUNTIFS('Issues Log'!$C$5:$C$504,$A407,'Issues Log'!$K$5:$K$504,"In progress"))</f>
        <v/>
      </c>
      <c r="Z407" s="27" t="n"/>
    </row>
    <row r="408">
      <c r="A408" s="27" t="n"/>
      <c r="B408" s="27" t="n"/>
      <c r="C408" s="27" t="n"/>
      <c r="D408" s="28">
        <f>IF($C408="","",IFERROR(INDEX('Topic Plan'!$C$5:$C$115,MATCH($C408,'Topic Plan'!$B$5:$B$115,0)),"UNKNOWN TOPIC ID"))</f>
        <v/>
      </c>
      <c r="E408" s="28">
        <f>IF($C408="","",IFERROR(INDEX('Topic Plan'!$D$5:$D$115,MATCH($C408,'Topic Plan'!$B$5:$B$115,0)),""))</f>
        <v/>
      </c>
      <c r="F408" s="28">
        <f>IF($C408="","",IFERROR(INDEX('Topic Plan'!$E$5:$E$115,MATCH($C408,'Topic Plan'!$B$5:$B$115,0)),""))</f>
        <v/>
      </c>
      <c r="G408" s="23" t="n"/>
      <c r="H408" s="27" t="n"/>
      <c r="I408" s="27" t="n"/>
      <c r="J408" s="27" t="n"/>
      <c r="K408" s="27" t="n"/>
      <c r="L408" s="27" t="n"/>
      <c r="M408" s="27" t="n"/>
      <c r="N408" s="23" t="n"/>
      <c r="O408" s="29" t="n"/>
      <c r="P408" s="29" t="n"/>
      <c r="Q408" s="29" t="n"/>
      <c r="R408" s="29" t="n"/>
      <c r="S408" s="29" t="n"/>
      <c r="T408" s="29" t="n"/>
      <c r="U408" s="29" t="n"/>
      <c r="V408" s="30">
        <f>IF(OR($A408="",$U408=""),"",IF($S408&lt;&gt;"",MAX(0,$S408-$U408),MAX(0,TODAY()-$U408)))</f>
        <v/>
      </c>
      <c r="W408" s="30">
        <f>IF($A408="","",IF(OR($N408="Live",$N408="Retired"),"",TODAY()-MAX($O408,$P408,$Q408,$R408)))</f>
        <v/>
      </c>
      <c r="X408" s="23" t="n"/>
      <c r="Y408" s="30">
        <f>IF($A408="","",COUNTIFS('Issues Log'!$C$5:$C$504,$A408,'Issues Log'!$K$5:$K$504,"Open")+COUNTIFS('Issues Log'!$C$5:$C$504,$A408,'Issues Log'!$K$5:$K$504,"In progress"))</f>
        <v/>
      </c>
      <c r="Z408" s="27" t="n"/>
    </row>
    <row r="409">
      <c r="A409" s="27" t="n"/>
      <c r="B409" s="27" t="n"/>
      <c r="C409" s="27" t="n"/>
      <c r="D409" s="28">
        <f>IF($C409="","",IFERROR(INDEX('Topic Plan'!$C$5:$C$115,MATCH($C409,'Topic Plan'!$B$5:$B$115,0)),"UNKNOWN TOPIC ID"))</f>
        <v/>
      </c>
      <c r="E409" s="28">
        <f>IF($C409="","",IFERROR(INDEX('Topic Plan'!$D$5:$D$115,MATCH($C409,'Topic Plan'!$B$5:$B$115,0)),""))</f>
        <v/>
      </c>
      <c r="F409" s="28">
        <f>IF($C409="","",IFERROR(INDEX('Topic Plan'!$E$5:$E$115,MATCH($C409,'Topic Plan'!$B$5:$B$115,0)),""))</f>
        <v/>
      </c>
      <c r="G409" s="23" t="n"/>
      <c r="H409" s="27" t="n"/>
      <c r="I409" s="27" t="n"/>
      <c r="J409" s="27" t="n"/>
      <c r="K409" s="27" t="n"/>
      <c r="L409" s="27" t="n"/>
      <c r="M409" s="27" t="n"/>
      <c r="N409" s="23" t="n"/>
      <c r="O409" s="29" t="n"/>
      <c r="P409" s="29" t="n"/>
      <c r="Q409" s="29" t="n"/>
      <c r="R409" s="29" t="n"/>
      <c r="S409" s="29" t="n"/>
      <c r="T409" s="29" t="n"/>
      <c r="U409" s="29" t="n"/>
      <c r="V409" s="30">
        <f>IF(OR($A409="",$U409=""),"",IF($S409&lt;&gt;"",MAX(0,$S409-$U409),MAX(0,TODAY()-$U409)))</f>
        <v/>
      </c>
      <c r="W409" s="30">
        <f>IF($A409="","",IF(OR($N409="Live",$N409="Retired"),"",TODAY()-MAX($O409,$P409,$Q409,$R409)))</f>
        <v/>
      </c>
      <c r="X409" s="23" t="n"/>
      <c r="Y409" s="30">
        <f>IF($A409="","",COUNTIFS('Issues Log'!$C$5:$C$504,$A409,'Issues Log'!$K$5:$K$504,"Open")+COUNTIFS('Issues Log'!$C$5:$C$504,$A409,'Issues Log'!$K$5:$K$504,"In progress"))</f>
        <v/>
      </c>
      <c r="Z409" s="27" t="n"/>
    </row>
    <row r="410">
      <c r="A410" s="27" t="n"/>
      <c r="B410" s="27" t="n"/>
      <c r="C410" s="27" t="n"/>
      <c r="D410" s="28">
        <f>IF($C410="","",IFERROR(INDEX('Topic Plan'!$C$5:$C$115,MATCH($C410,'Topic Plan'!$B$5:$B$115,0)),"UNKNOWN TOPIC ID"))</f>
        <v/>
      </c>
      <c r="E410" s="28">
        <f>IF($C410="","",IFERROR(INDEX('Topic Plan'!$D$5:$D$115,MATCH($C410,'Topic Plan'!$B$5:$B$115,0)),""))</f>
        <v/>
      </c>
      <c r="F410" s="28">
        <f>IF($C410="","",IFERROR(INDEX('Topic Plan'!$E$5:$E$115,MATCH($C410,'Topic Plan'!$B$5:$B$115,0)),""))</f>
        <v/>
      </c>
      <c r="G410" s="23" t="n"/>
      <c r="H410" s="27" t="n"/>
      <c r="I410" s="27" t="n"/>
      <c r="J410" s="27" t="n"/>
      <c r="K410" s="27" t="n"/>
      <c r="L410" s="27" t="n"/>
      <c r="M410" s="27" t="n"/>
      <c r="N410" s="23" t="n"/>
      <c r="O410" s="29" t="n"/>
      <c r="P410" s="29" t="n"/>
      <c r="Q410" s="29" t="n"/>
      <c r="R410" s="29" t="n"/>
      <c r="S410" s="29" t="n"/>
      <c r="T410" s="29" t="n"/>
      <c r="U410" s="29" t="n"/>
      <c r="V410" s="30">
        <f>IF(OR($A410="",$U410=""),"",IF($S410&lt;&gt;"",MAX(0,$S410-$U410),MAX(0,TODAY()-$U410)))</f>
        <v/>
      </c>
      <c r="W410" s="30">
        <f>IF($A410="","",IF(OR($N410="Live",$N410="Retired"),"",TODAY()-MAX($O410,$P410,$Q410,$R410)))</f>
        <v/>
      </c>
      <c r="X410" s="23" t="n"/>
      <c r="Y410" s="30">
        <f>IF($A410="","",COUNTIFS('Issues Log'!$C$5:$C$504,$A410,'Issues Log'!$K$5:$K$504,"Open")+COUNTIFS('Issues Log'!$C$5:$C$504,$A410,'Issues Log'!$K$5:$K$504,"In progress"))</f>
        <v/>
      </c>
      <c r="Z410" s="27" t="n"/>
    </row>
    <row r="411">
      <c r="A411" s="27" t="n"/>
      <c r="B411" s="27" t="n"/>
      <c r="C411" s="27" t="n"/>
      <c r="D411" s="28">
        <f>IF($C411="","",IFERROR(INDEX('Topic Plan'!$C$5:$C$115,MATCH($C411,'Topic Plan'!$B$5:$B$115,0)),"UNKNOWN TOPIC ID"))</f>
        <v/>
      </c>
      <c r="E411" s="28">
        <f>IF($C411="","",IFERROR(INDEX('Topic Plan'!$D$5:$D$115,MATCH($C411,'Topic Plan'!$B$5:$B$115,0)),""))</f>
        <v/>
      </c>
      <c r="F411" s="28">
        <f>IF($C411="","",IFERROR(INDEX('Topic Plan'!$E$5:$E$115,MATCH($C411,'Topic Plan'!$B$5:$B$115,0)),""))</f>
        <v/>
      </c>
      <c r="G411" s="23" t="n"/>
      <c r="H411" s="27" t="n"/>
      <c r="I411" s="27" t="n"/>
      <c r="J411" s="27" t="n"/>
      <c r="K411" s="27" t="n"/>
      <c r="L411" s="27" t="n"/>
      <c r="M411" s="27" t="n"/>
      <c r="N411" s="23" t="n"/>
      <c r="O411" s="29" t="n"/>
      <c r="P411" s="29" t="n"/>
      <c r="Q411" s="29" t="n"/>
      <c r="R411" s="29" t="n"/>
      <c r="S411" s="29" t="n"/>
      <c r="T411" s="29" t="n"/>
      <c r="U411" s="29" t="n"/>
      <c r="V411" s="30">
        <f>IF(OR($A411="",$U411=""),"",IF($S411&lt;&gt;"",MAX(0,$S411-$U411),MAX(0,TODAY()-$U411)))</f>
        <v/>
      </c>
      <c r="W411" s="30">
        <f>IF($A411="","",IF(OR($N411="Live",$N411="Retired"),"",TODAY()-MAX($O411,$P411,$Q411,$R411)))</f>
        <v/>
      </c>
      <c r="X411" s="23" t="n"/>
      <c r="Y411" s="30">
        <f>IF($A411="","",COUNTIFS('Issues Log'!$C$5:$C$504,$A411,'Issues Log'!$K$5:$K$504,"Open")+COUNTIFS('Issues Log'!$C$5:$C$504,$A411,'Issues Log'!$K$5:$K$504,"In progress"))</f>
        <v/>
      </c>
      <c r="Z411" s="27" t="n"/>
    </row>
    <row r="412">
      <c r="A412" s="27" t="n"/>
      <c r="B412" s="27" t="n"/>
      <c r="C412" s="27" t="n"/>
      <c r="D412" s="28">
        <f>IF($C412="","",IFERROR(INDEX('Topic Plan'!$C$5:$C$115,MATCH($C412,'Topic Plan'!$B$5:$B$115,0)),"UNKNOWN TOPIC ID"))</f>
        <v/>
      </c>
      <c r="E412" s="28">
        <f>IF($C412="","",IFERROR(INDEX('Topic Plan'!$D$5:$D$115,MATCH($C412,'Topic Plan'!$B$5:$B$115,0)),""))</f>
        <v/>
      </c>
      <c r="F412" s="28">
        <f>IF($C412="","",IFERROR(INDEX('Topic Plan'!$E$5:$E$115,MATCH($C412,'Topic Plan'!$B$5:$B$115,0)),""))</f>
        <v/>
      </c>
      <c r="G412" s="23" t="n"/>
      <c r="H412" s="27" t="n"/>
      <c r="I412" s="27" t="n"/>
      <c r="J412" s="27" t="n"/>
      <c r="K412" s="27" t="n"/>
      <c r="L412" s="27" t="n"/>
      <c r="M412" s="27" t="n"/>
      <c r="N412" s="23" t="n"/>
      <c r="O412" s="29" t="n"/>
      <c r="P412" s="29" t="n"/>
      <c r="Q412" s="29" t="n"/>
      <c r="R412" s="29" t="n"/>
      <c r="S412" s="29" t="n"/>
      <c r="T412" s="29" t="n"/>
      <c r="U412" s="29" t="n"/>
      <c r="V412" s="30">
        <f>IF(OR($A412="",$U412=""),"",IF($S412&lt;&gt;"",MAX(0,$S412-$U412),MAX(0,TODAY()-$U412)))</f>
        <v/>
      </c>
      <c r="W412" s="30">
        <f>IF($A412="","",IF(OR($N412="Live",$N412="Retired"),"",TODAY()-MAX($O412,$P412,$Q412,$R412)))</f>
        <v/>
      </c>
      <c r="X412" s="23" t="n"/>
      <c r="Y412" s="30">
        <f>IF($A412="","",COUNTIFS('Issues Log'!$C$5:$C$504,$A412,'Issues Log'!$K$5:$K$504,"Open")+COUNTIFS('Issues Log'!$C$5:$C$504,$A412,'Issues Log'!$K$5:$K$504,"In progress"))</f>
        <v/>
      </c>
      <c r="Z412" s="27" t="n"/>
    </row>
    <row r="413">
      <c r="A413" s="27" t="n"/>
      <c r="B413" s="27" t="n"/>
      <c r="C413" s="27" t="n"/>
      <c r="D413" s="28">
        <f>IF($C413="","",IFERROR(INDEX('Topic Plan'!$C$5:$C$115,MATCH($C413,'Topic Plan'!$B$5:$B$115,0)),"UNKNOWN TOPIC ID"))</f>
        <v/>
      </c>
      <c r="E413" s="28">
        <f>IF($C413="","",IFERROR(INDEX('Topic Plan'!$D$5:$D$115,MATCH($C413,'Topic Plan'!$B$5:$B$115,0)),""))</f>
        <v/>
      </c>
      <c r="F413" s="28">
        <f>IF($C413="","",IFERROR(INDEX('Topic Plan'!$E$5:$E$115,MATCH($C413,'Topic Plan'!$B$5:$B$115,0)),""))</f>
        <v/>
      </c>
      <c r="G413" s="23" t="n"/>
      <c r="H413" s="27" t="n"/>
      <c r="I413" s="27" t="n"/>
      <c r="J413" s="27" t="n"/>
      <c r="K413" s="27" t="n"/>
      <c r="L413" s="27" t="n"/>
      <c r="M413" s="27" t="n"/>
      <c r="N413" s="23" t="n"/>
      <c r="O413" s="29" t="n"/>
      <c r="P413" s="29" t="n"/>
      <c r="Q413" s="29" t="n"/>
      <c r="R413" s="29" t="n"/>
      <c r="S413" s="29" t="n"/>
      <c r="T413" s="29" t="n"/>
      <c r="U413" s="29" t="n"/>
      <c r="V413" s="30">
        <f>IF(OR($A413="",$U413=""),"",IF($S413&lt;&gt;"",MAX(0,$S413-$U413),MAX(0,TODAY()-$U413)))</f>
        <v/>
      </c>
      <c r="W413" s="30">
        <f>IF($A413="","",IF(OR($N413="Live",$N413="Retired"),"",TODAY()-MAX($O413,$P413,$Q413,$R413)))</f>
        <v/>
      </c>
      <c r="X413" s="23" t="n"/>
      <c r="Y413" s="30">
        <f>IF($A413="","",COUNTIFS('Issues Log'!$C$5:$C$504,$A413,'Issues Log'!$K$5:$K$504,"Open")+COUNTIFS('Issues Log'!$C$5:$C$504,$A413,'Issues Log'!$K$5:$K$504,"In progress"))</f>
        <v/>
      </c>
      <c r="Z413" s="27" t="n"/>
    </row>
    <row r="414">
      <c r="A414" s="27" t="n"/>
      <c r="B414" s="27" t="n"/>
      <c r="C414" s="27" t="n"/>
      <c r="D414" s="28">
        <f>IF($C414="","",IFERROR(INDEX('Topic Plan'!$C$5:$C$115,MATCH($C414,'Topic Plan'!$B$5:$B$115,0)),"UNKNOWN TOPIC ID"))</f>
        <v/>
      </c>
      <c r="E414" s="28">
        <f>IF($C414="","",IFERROR(INDEX('Topic Plan'!$D$5:$D$115,MATCH($C414,'Topic Plan'!$B$5:$B$115,0)),""))</f>
        <v/>
      </c>
      <c r="F414" s="28">
        <f>IF($C414="","",IFERROR(INDEX('Topic Plan'!$E$5:$E$115,MATCH($C414,'Topic Plan'!$B$5:$B$115,0)),""))</f>
        <v/>
      </c>
      <c r="G414" s="23" t="n"/>
      <c r="H414" s="27" t="n"/>
      <c r="I414" s="27" t="n"/>
      <c r="J414" s="27" t="n"/>
      <c r="K414" s="27" t="n"/>
      <c r="L414" s="27" t="n"/>
      <c r="M414" s="27" t="n"/>
      <c r="N414" s="23" t="n"/>
      <c r="O414" s="29" t="n"/>
      <c r="P414" s="29" t="n"/>
      <c r="Q414" s="29" t="n"/>
      <c r="R414" s="29" t="n"/>
      <c r="S414" s="29" t="n"/>
      <c r="T414" s="29" t="n"/>
      <c r="U414" s="29" t="n"/>
      <c r="V414" s="30">
        <f>IF(OR($A414="",$U414=""),"",IF($S414&lt;&gt;"",MAX(0,$S414-$U414),MAX(0,TODAY()-$U414)))</f>
        <v/>
      </c>
      <c r="W414" s="30">
        <f>IF($A414="","",IF(OR($N414="Live",$N414="Retired"),"",TODAY()-MAX($O414,$P414,$Q414,$R414)))</f>
        <v/>
      </c>
      <c r="X414" s="23" t="n"/>
      <c r="Y414" s="30">
        <f>IF($A414="","",COUNTIFS('Issues Log'!$C$5:$C$504,$A414,'Issues Log'!$K$5:$K$504,"Open")+COUNTIFS('Issues Log'!$C$5:$C$504,$A414,'Issues Log'!$K$5:$K$504,"In progress"))</f>
        <v/>
      </c>
      <c r="Z414" s="27" t="n"/>
    </row>
    <row r="415">
      <c r="A415" s="27" t="n"/>
      <c r="B415" s="27" t="n"/>
      <c r="C415" s="27" t="n"/>
      <c r="D415" s="28">
        <f>IF($C415="","",IFERROR(INDEX('Topic Plan'!$C$5:$C$115,MATCH($C415,'Topic Plan'!$B$5:$B$115,0)),"UNKNOWN TOPIC ID"))</f>
        <v/>
      </c>
      <c r="E415" s="28">
        <f>IF($C415="","",IFERROR(INDEX('Topic Plan'!$D$5:$D$115,MATCH($C415,'Topic Plan'!$B$5:$B$115,0)),""))</f>
        <v/>
      </c>
      <c r="F415" s="28">
        <f>IF($C415="","",IFERROR(INDEX('Topic Plan'!$E$5:$E$115,MATCH($C415,'Topic Plan'!$B$5:$B$115,0)),""))</f>
        <v/>
      </c>
      <c r="G415" s="23" t="n"/>
      <c r="H415" s="27" t="n"/>
      <c r="I415" s="27" t="n"/>
      <c r="J415" s="27" t="n"/>
      <c r="K415" s="27" t="n"/>
      <c r="L415" s="27" t="n"/>
      <c r="M415" s="27" t="n"/>
      <c r="N415" s="23" t="n"/>
      <c r="O415" s="29" t="n"/>
      <c r="P415" s="29" t="n"/>
      <c r="Q415" s="29" t="n"/>
      <c r="R415" s="29" t="n"/>
      <c r="S415" s="29" t="n"/>
      <c r="T415" s="29" t="n"/>
      <c r="U415" s="29" t="n"/>
      <c r="V415" s="30">
        <f>IF(OR($A415="",$U415=""),"",IF($S415&lt;&gt;"",MAX(0,$S415-$U415),MAX(0,TODAY()-$U415)))</f>
        <v/>
      </c>
      <c r="W415" s="30">
        <f>IF($A415="","",IF(OR($N415="Live",$N415="Retired"),"",TODAY()-MAX($O415,$P415,$Q415,$R415)))</f>
        <v/>
      </c>
      <c r="X415" s="23" t="n"/>
      <c r="Y415" s="30">
        <f>IF($A415="","",COUNTIFS('Issues Log'!$C$5:$C$504,$A415,'Issues Log'!$K$5:$K$504,"Open")+COUNTIFS('Issues Log'!$C$5:$C$504,$A415,'Issues Log'!$K$5:$K$504,"In progress"))</f>
        <v/>
      </c>
      <c r="Z415" s="27" t="n"/>
    </row>
    <row r="416">
      <c r="A416" s="27" t="n"/>
      <c r="B416" s="27" t="n"/>
      <c r="C416" s="27" t="n"/>
      <c r="D416" s="28">
        <f>IF($C416="","",IFERROR(INDEX('Topic Plan'!$C$5:$C$115,MATCH($C416,'Topic Plan'!$B$5:$B$115,0)),"UNKNOWN TOPIC ID"))</f>
        <v/>
      </c>
      <c r="E416" s="28">
        <f>IF($C416="","",IFERROR(INDEX('Topic Plan'!$D$5:$D$115,MATCH($C416,'Topic Plan'!$B$5:$B$115,0)),""))</f>
        <v/>
      </c>
      <c r="F416" s="28">
        <f>IF($C416="","",IFERROR(INDEX('Topic Plan'!$E$5:$E$115,MATCH($C416,'Topic Plan'!$B$5:$B$115,0)),""))</f>
        <v/>
      </c>
      <c r="G416" s="23" t="n"/>
      <c r="H416" s="27" t="n"/>
      <c r="I416" s="27" t="n"/>
      <c r="J416" s="27" t="n"/>
      <c r="K416" s="27" t="n"/>
      <c r="L416" s="27" t="n"/>
      <c r="M416" s="27" t="n"/>
      <c r="N416" s="23" t="n"/>
      <c r="O416" s="29" t="n"/>
      <c r="P416" s="29" t="n"/>
      <c r="Q416" s="29" t="n"/>
      <c r="R416" s="29" t="n"/>
      <c r="S416" s="29" t="n"/>
      <c r="T416" s="29" t="n"/>
      <c r="U416" s="29" t="n"/>
      <c r="V416" s="30">
        <f>IF(OR($A416="",$U416=""),"",IF($S416&lt;&gt;"",MAX(0,$S416-$U416),MAX(0,TODAY()-$U416)))</f>
        <v/>
      </c>
      <c r="W416" s="30">
        <f>IF($A416="","",IF(OR($N416="Live",$N416="Retired"),"",TODAY()-MAX($O416,$P416,$Q416,$R416)))</f>
        <v/>
      </c>
      <c r="X416" s="23" t="n"/>
      <c r="Y416" s="30">
        <f>IF($A416="","",COUNTIFS('Issues Log'!$C$5:$C$504,$A416,'Issues Log'!$K$5:$K$504,"Open")+COUNTIFS('Issues Log'!$C$5:$C$504,$A416,'Issues Log'!$K$5:$K$504,"In progress"))</f>
        <v/>
      </c>
      <c r="Z416" s="27" t="n"/>
    </row>
    <row r="417">
      <c r="A417" s="27" t="n"/>
      <c r="B417" s="27" t="n"/>
      <c r="C417" s="27" t="n"/>
      <c r="D417" s="28">
        <f>IF($C417="","",IFERROR(INDEX('Topic Plan'!$C$5:$C$115,MATCH($C417,'Topic Plan'!$B$5:$B$115,0)),"UNKNOWN TOPIC ID"))</f>
        <v/>
      </c>
      <c r="E417" s="28">
        <f>IF($C417="","",IFERROR(INDEX('Topic Plan'!$D$5:$D$115,MATCH($C417,'Topic Plan'!$B$5:$B$115,0)),""))</f>
        <v/>
      </c>
      <c r="F417" s="28">
        <f>IF($C417="","",IFERROR(INDEX('Topic Plan'!$E$5:$E$115,MATCH($C417,'Topic Plan'!$B$5:$B$115,0)),""))</f>
        <v/>
      </c>
      <c r="G417" s="23" t="n"/>
      <c r="H417" s="27" t="n"/>
      <c r="I417" s="27" t="n"/>
      <c r="J417" s="27" t="n"/>
      <c r="K417" s="27" t="n"/>
      <c r="L417" s="27" t="n"/>
      <c r="M417" s="27" t="n"/>
      <c r="N417" s="23" t="n"/>
      <c r="O417" s="29" t="n"/>
      <c r="P417" s="29" t="n"/>
      <c r="Q417" s="29" t="n"/>
      <c r="R417" s="29" t="n"/>
      <c r="S417" s="29" t="n"/>
      <c r="T417" s="29" t="n"/>
      <c r="U417" s="29" t="n"/>
      <c r="V417" s="30">
        <f>IF(OR($A417="",$U417=""),"",IF($S417&lt;&gt;"",MAX(0,$S417-$U417),MAX(0,TODAY()-$U417)))</f>
        <v/>
      </c>
      <c r="W417" s="30">
        <f>IF($A417="","",IF(OR($N417="Live",$N417="Retired"),"",TODAY()-MAX($O417,$P417,$Q417,$R417)))</f>
        <v/>
      </c>
      <c r="X417" s="23" t="n"/>
      <c r="Y417" s="30">
        <f>IF($A417="","",COUNTIFS('Issues Log'!$C$5:$C$504,$A417,'Issues Log'!$K$5:$K$504,"Open")+COUNTIFS('Issues Log'!$C$5:$C$504,$A417,'Issues Log'!$K$5:$K$504,"In progress"))</f>
        <v/>
      </c>
      <c r="Z417" s="27" t="n"/>
    </row>
    <row r="418">
      <c r="A418" s="27" t="n"/>
      <c r="B418" s="27" t="n"/>
      <c r="C418" s="27" t="n"/>
      <c r="D418" s="28">
        <f>IF($C418="","",IFERROR(INDEX('Topic Plan'!$C$5:$C$115,MATCH($C418,'Topic Plan'!$B$5:$B$115,0)),"UNKNOWN TOPIC ID"))</f>
        <v/>
      </c>
      <c r="E418" s="28">
        <f>IF($C418="","",IFERROR(INDEX('Topic Plan'!$D$5:$D$115,MATCH($C418,'Topic Plan'!$B$5:$B$115,0)),""))</f>
        <v/>
      </c>
      <c r="F418" s="28">
        <f>IF($C418="","",IFERROR(INDEX('Topic Plan'!$E$5:$E$115,MATCH($C418,'Topic Plan'!$B$5:$B$115,0)),""))</f>
        <v/>
      </c>
      <c r="G418" s="23" t="n"/>
      <c r="H418" s="27" t="n"/>
      <c r="I418" s="27" t="n"/>
      <c r="J418" s="27" t="n"/>
      <c r="K418" s="27" t="n"/>
      <c r="L418" s="27" t="n"/>
      <c r="M418" s="27" t="n"/>
      <c r="N418" s="23" t="n"/>
      <c r="O418" s="29" t="n"/>
      <c r="P418" s="29" t="n"/>
      <c r="Q418" s="29" t="n"/>
      <c r="R418" s="29" t="n"/>
      <c r="S418" s="29" t="n"/>
      <c r="T418" s="29" t="n"/>
      <c r="U418" s="29" t="n"/>
      <c r="V418" s="30">
        <f>IF(OR($A418="",$U418=""),"",IF($S418&lt;&gt;"",MAX(0,$S418-$U418),MAX(0,TODAY()-$U418)))</f>
        <v/>
      </c>
      <c r="W418" s="30">
        <f>IF($A418="","",IF(OR($N418="Live",$N418="Retired"),"",TODAY()-MAX($O418,$P418,$Q418,$R418)))</f>
        <v/>
      </c>
      <c r="X418" s="23" t="n"/>
      <c r="Y418" s="30">
        <f>IF($A418="","",COUNTIFS('Issues Log'!$C$5:$C$504,$A418,'Issues Log'!$K$5:$K$504,"Open")+COUNTIFS('Issues Log'!$C$5:$C$504,$A418,'Issues Log'!$K$5:$K$504,"In progress"))</f>
        <v/>
      </c>
      <c r="Z418" s="27" t="n"/>
    </row>
    <row r="419">
      <c r="A419" s="27" t="n"/>
      <c r="B419" s="27" t="n"/>
      <c r="C419" s="27" t="n"/>
      <c r="D419" s="28">
        <f>IF($C419="","",IFERROR(INDEX('Topic Plan'!$C$5:$C$115,MATCH($C419,'Topic Plan'!$B$5:$B$115,0)),"UNKNOWN TOPIC ID"))</f>
        <v/>
      </c>
      <c r="E419" s="28">
        <f>IF($C419="","",IFERROR(INDEX('Topic Plan'!$D$5:$D$115,MATCH($C419,'Topic Plan'!$B$5:$B$115,0)),""))</f>
        <v/>
      </c>
      <c r="F419" s="28">
        <f>IF($C419="","",IFERROR(INDEX('Topic Plan'!$E$5:$E$115,MATCH($C419,'Topic Plan'!$B$5:$B$115,0)),""))</f>
        <v/>
      </c>
      <c r="G419" s="23" t="n"/>
      <c r="H419" s="27" t="n"/>
      <c r="I419" s="27" t="n"/>
      <c r="J419" s="27" t="n"/>
      <c r="K419" s="27" t="n"/>
      <c r="L419" s="27" t="n"/>
      <c r="M419" s="27" t="n"/>
      <c r="N419" s="23" t="n"/>
      <c r="O419" s="29" t="n"/>
      <c r="P419" s="29" t="n"/>
      <c r="Q419" s="29" t="n"/>
      <c r="R419" s="29" t="n"/>
      <c r="S419" s="29" t="n"/>
      <c r="T419" s="29" t="n"/>
      <c r="U419" s="29" t="n"/>
      <c r="V419" s="30">
        <f>IF(OR($A419="",$U419=""),"",IF($S419&lt;&gt;"",MAX(0,$S419-$U419),MAX(0,TODAY()-$U419)))</f>
        <v/>
      </c>
      <c r="W419" s="30">
        <f>IF($A419="","",IF(OR($N419="Live",$N419="Retired"),"",TODAY()-MAX($O419,$P419,$Q419,$R419)))</f>
        <v/>
      </c>
      <c r="X419" s="23" t="n"/>
      <c r="Y419" s="30">
        <f>IF($A419="","",COUNTIFS('Issues Log'!$C$5:$C$504,$A419,'Issues Log'!$K$5:$K$504,"Open")+COUNTIFS('Issues Log'!$C$5:$C$504,$A419,'Issues Log'!$K$5:$K$504,"In progress"))</f>
        <v/>
      </c>
      <c r="Z419" s="27" t="n"/>
    </row>
    <row r="420">
      <c r="A420" s="27" t="n"/>
      <c r="B420" s="27" t="n"/>
      <c r="C420" s="27" t="n"/>
      <c r="D420" s="28">
        <f>IF($C420="","",IFERROR(INDEX('Topic Plan'!$C$5:$C$115,MATCH($C420,'Topic Plan'!$B$5:$B$115,0)),"UNKNOWN TOPIC ID"))</f>
        <v/>
      </c>
      <c r="E420" s="28">
        <f>IF($C420="","",IFERROR(INDEX('Topic Plan'!$D$5:$D$115,MATCH($C420,'Topic Plan'!$B$5:$B$115,0)),""))</f>
        <v/>
      </c>
      <c r="F420" s="28">
        <f>IF($C420="","",IFERROR(INDEX('Topic Plan'!$E$5:$E$115,MATCH($C420,'Topic Plan'!$B$5:$B$115,0)),""))</f>
        <v/>
      </c>
      <c r="G420" s="23" t="n"/>
      <c r="H420" s="27" t="n"/>
      <c r="I420" s="27" t="n"/>
      <c r="J420" s="27" t="n"/>
      <c r="K420" s="27" t="n"/>
      <c r="L420" s="27" t="n"/>
      <c r="M420" s="27" t="n"/>
      <c r="N420" s="23" t="n"/>
      <c r="O420" s="29" t="n"/>
      <c r="P420" s="29" t="n"/>
      <c r="Q420" s="29" t="n"/>
      <c r="R420" s="29" t="n"/>
      <c r="S420" s="29" t="n"/>
      <c r="T420" s="29" t="n"/>
      <c r="U420" s="29" t="n"/>
      <c r="V420" s="30">
        <f>IF(OR($A420="",$U420=""),"",IF($S420&lt;&gt;"",MAX(0,$S420-$U420),MAX(0,TODAY()-$U420)))</f>
        <v/>
      </c>
      <c r="W420" s="30">
        <f>IF($A420="","",IF(OR($N420="Live",$N420="Retired"),"",TODAY()-MAX($O420,$P420,$Q420,$R420)))</f>
        <v/>
      </c>
      <c r="X420" s="23" t="n"/>
      <c r="Y420" s="30">
        <f>IF($A420="","",COUNTIFS('Issues Log'!$C$5:$C$504,$A420,'Issues Log'!$K$5:$K$504,"Open")+COUNTIFS('Issues Log'!$C$5:$C$504,$A420,'Issues Log'!$K$5:$K$504,"In progress"))</f>
        <v/>
      </c>
      <c r="Z420" s="27" t="n"/>
    </row>
    <row r="421">
      <c r="A421" s="27" t="n"/>
      <c r="B421" s="27" t="n"/>
      <c r="C421" s="27" t="n"/>
      <c r="D421" s="28">
        <f>IF($C421="","",IFERROR(INDEX('Topic Plan'!$C$5:$C$115,MATCH($C421,'Topic Plan'!$B$5:$B$115,0)),"UNKNOWN TOPIC ID"))</f>
        <v/>
      </c>
      <c r="E421" s="28">
        <f>IF($C421="","",IFERROR(INDEX('Topic Plan'!$D$5:$D$115,MATCH($C421,'Topic Plan'!$B$5:$B$115,0)),""))</f>
        <v/>
      </c>
      <c r="F421" s="28">
        <f>IF($C421="","",IFERROR(INDEX('Topic Plan'!$E$5:$E$115,MATCH($C421,'Topic Plan'!$B$5:$B$115,0)),""))</f>
        <v/>
      </c>
      <c r="G421" s="23" t="n"/>
      <c r="H421" s="27" t="n"/>
      <c r="I421" s="27" t="n"/>
      <c r="J421" s="27" t="n"/>
      <c r="K421" s="27" t="n"/>
      <c r="L421" s="27" t="n"/>
      <c r="M421" s="27" t="n"/>
      <c r="N421" s="23" t="n"/>
      <c r="O421" s="29" t="n"/>
      <c r="P421" s="29" t="n"/>
      <c r="Q421" s="29" t="n"/>
      <c r="R421" s="29" t="n"/>
      <c r="S421" s="29" t="n"/>
      <c r="T421" s="29" t="n"/>
      <c r="U421" s="29" t="n"/>
      <c r="V421" s="30">
        <f>IF(OR($A421="",$U421=""),"",IF($S421&lt;&gt;"",MAX(0,$S421-$U421),MAX(0,TODAY()-$U421)))</f>
        <v/>
      </c>
      <c r="W421" s="30">
        <f>IF($A421="","",IF(OR($N421="Live",$N421="Retired"),"",TODAY()-MAX($O421,$P421,$Q421,$R421)))</f>
        <v/>
      </c>
      <c r="X421" s="23" t="n"/>
      <c r="Y421" s="30">
        <f>IF($A421="","",COUNTIFS('Issues Log'!$C$5:$C$504,$A421,'Issues Log'!$K$5:$K$504,"Open")+COUNTIFS('Issues Log'!$C$5:$C$504,$A421,'Issues Log'!$K$5:$K$504,"In progress"))</f>
        <v/>
      </c>
      <c r="Z421" s="27" t="n"/>
    </row>
    <row r="422">
      <c r="A422" s="27" t="n"/>
      <c r="B422" s="27" t="n"/>
      <c r="C422" s="27" t="n"/>
      <c r="D422" s="28">
        <f>IF($C422="","",IFERROR(INDEX('Topic Plan'!$C$5:$C$115,MATCH($C422,'Topic Plan'!$B$5:$B$115,0)),"UNKNOWN TOPIC ID"))</f>
        <v/>
      </c>
      <c r="E422" s="28">
        <f>IF($C422="","",IFERROR(INDEX('Topic Plan'!$D$5:$D$115,MATCH($C422,'Topic Plan'!$B$5:$B$115,0)),""))</f>
        <v/>
      </c>
      <c r="F422" s="28">
        <f>IF($C422="","",IFERROR(INDEX('Topic Plan'!$E$5:$E$115,MATCH($C422,'Topic Plan'!$B$5:$B$115,0)),""))</f>
        <v/>
      </c>
      <c r="G422" s="23" t="n"/>
      <c r="H422" s="27" t="n"/>
      <c r="I422" s="27" t="n"/>
      <c r="J422" s="27" t="n"/>
      <c r="K422" s="27" t="n"/>
      <c r="L422" s="27" t="n"/>
      <c r="M422" s="27" t="n"/>
      <c r="N422" s="23" t="n"/>
      <c r="O422" s="29" t="n"/>
      <c r="P422" s="29" t="n"/>
      <c r="Q422" s="29" t="n"/>
      <c r="R422" s="29" t="n"/>
      <c r="S422" s="29" t="n"/>
      <c r="T422" s="29" t="n"/>
      <c r="U422" s="29" t="n"/>
      <c r="V422" s="30">
        <f>IF(OR($A422="",$U422=""),"",IF($S422&lt;&gt;"",MAX(0,$S422-$U422),MAX(0,TODAY()-$U422)))</f>
        <v/>
      </c>
      <c r="W422" s="30">
        <f>IF($A422="","",IF(OR($N422="Live",$N422="Retired"),"",TODAY()-MAX($O422,$P422,$Q422,$R422)))</f>
        <v/>
      </c>
      <c r="X422" s="23" t="n"/>
      <c r="Y422" s="30">
        <f>IF($A422="","",COUNTIFS('Issues Log'!$C$5:$C$504,$A422,'Issues Log'!$K$5:$K$504,"Open")+COUNTIFS('Issues Log'!$C$5:$C$504,$A422,'Issues Log'!$K$5:$K$504,"In progress"))</f>
        <v/>
      </c>
      <c r="Z422" s="27" t="n"/>
    </row>
    <row r="423">
      <c r="A423" s="27" t="n"/>
      <c r="B423" s="27" t="n"/>
      <c r="C423" s="27" t="n"/>
      <c r="D423" s="28">
        <f>IF($C423="","",IFERROR(INDEX('Topic Plan'!$C$5:$C$115,MATCH($C423,'Topic Plan'!$B$5:$B$115,0)),"UNKNOWN TOPIC ID"))</f>
        <v/>
      </c>
      <c r="E423" s="28">
        <f>IF($C423="","",IFERROR(INDEX('Topic Plan'!$D$5:$D$115,MATCH($C423,'Topic Plan'!$B$5:$B$115,0)),""))</f>
        <v/>
      </c>
      <c r="F423" s="28">
        <f>IF($C423="","",IFERROR(INDEX('Topic Plan'!$E$5:$E$115,MATCH($C423,'Topic Plan'!$B$5:$B$115,0)),""))</f>
        <v/>
      </c>
      <c r="G423" s="23" t="n"/>
      <c r="H423" s="27" t="n"/>
      <c r="I423" s="27" t="n"/>
      <c r="J423" s="27" t="n"/>
      <c r="K423" s="27" t="n"/>
      <c r="L423" s="27" t="n"/>
      <c r="M423" s="27" t="n"/>
      <c r="N423" s="23" t="n"/>
      <c r="O423" s="29" t="n"/>
      <c r="P423" s="29" t="n"/>
      <c r="Q423" s="29" t="n"/>
      <c r="R423" s="29" t="n"/>
      <c r="S423" s="29" t="n"/>
      <c r="T423" s="29" t="n"/>
      <c r="U423" s="29" t="n"/>
      <c r="V423" s="30">
        <f>IF(OR($A423="",$U423=""),"",IF($S423&lt;&gt;"",MAX(0,$S423-$U423),MAX(0,TODAY()-$U423)))</f>
        <v/>
      </c>
      <c r="W423" s="30">
        <f>IF($A423="","",IF(OR($N423="Live",$N423="Retired"),"",TODAY()-MAX($O423,$P423,$Q423,$R423)))</f>
        <v/>
      </c>
      <c r="X423" s="23" t="n"/>
      <c r="Y423" s="30">
        <f>IF($A423="","",COUNTIFS('Issues Log'!$C$5:$C$504,$A423,'Issues Log'!$K$5:$K$504,"Open")+COUNTIFS('Issues Log'!$C$5:$C$504,$A423,'Issues Log'!$K$5:$K$504,"In progress"))</f>
        <v/>
      </c>
      <c r="Z423" s="27" t="n"/>
    </row>
    <row r="424">
      <c r="A424" s="27" t="n"/>
      <c r="B424" s="27" t="n"/>
      <c r="C424" s="27" t="n"/>
      <c r="D424" s="28">
        <f>IF($C424="","",IFERROR(INDEX('Topic Plan'!$C$5:$C$115,MATCH($C424,'Topic Plan'!$B$5:$B$115,0)),"UNKNOWN TOPIC ID"))</f>
        <v/>
      </c>
      <c r="E424" s="28">
        <f>IF($C424="","",IFERROR(INDEX('Topic Plan'!$D$5:$D$115,MATCH($C424,'Topic Plan'!$B$5:$B$115,0)),""))</f>
        <v/>
      </c>
      <c r="F424" s="28">
        <f>IF($C424="","",IFERROR(INDEX('Topic Plan'!$E$5:$E$115,MATCH($C424,'Topic Plan'!$B$5:$B$115,0)),""))</f>
        <v/>
      </c>
      <c r="G424" s="23" t="n"/>
      <c r="H424" s="27" t="n"/>
      <c r="I424" s="27" t="n"/>
      <c r="J424" s="27" t="n"/>
      <c r="K424" s="27" t="n"/>
      <c r="L424" s="27" t="n"/>
      <c r="M424" s="27" t="n"/>
      <c r="N424" s="23" t="n"/>
      <c r="O424" s="29" t="n"/>
      <c r="P424" s="29" t="n"/>
      <c r="Q424" s="29" t="n"/>
      <c r="R424" s="29" t="n"/>
      <c r="S424" s="29" t="n"/>
      <c r="T424" s="29" t="n"/>
      <c r="U424" s="29" t="n"/>
      <c r="V424" s="30">
        <f>IF(OR($A424="",$U424=""),"",IF($S424&lt;&gt;"",MAX(0,$S424-$U424),MAX(0,TODAY()-$U424)))</f>
        <v/>
      </c>
      <c r="W424" s="30">
        <f>IF($A424="","",IF(OR($N424="Live",$N424="Retired"),"",TODAY()-MAX($O424,$P424,$Q424,$R424)))</f>
        <v/>
      </c>
      <c r="X424" s="23" t="n"/>
      <c r="Y424" s="30">
        <f>IF($A424="","",COUNTIFS('Issues Log'!$C$5:$C$504,$A424,'Issues Log'!$K$5:$K$504,"Open")+COUNTIFS('Issues Log'!$C$5:$C$504,$A424,'Issues Log'!$K$5:$K$504,"In progress"))</f>
        <v/>
      </c>
      <c r="Z424" s="27" t="n"/>
    </row>
    <row r="425">
      <c r="A425" s="27" t="n"/>
      <c r="B425" s="27" t="n"/>
      <c r="C425" s="27" t="n"/>
      <c r="D425" s="28">
        <f>IF($C425="","",IFERROR(INDEX('Topic Plan'!$C$5:$C$115,MATCH($C425,'Topic Plan'!$B$5:$B$115,0)),"UNKNOWN TOPIC ID"))</f>
        <v/>
      </c>
      <c r="E425" s="28">
        <f>IF($C425="","",IFERROR(INDEX('Topic Plan'!$D$5:$D$115,MATCH($C425,'Topic Plan'!$B$5:$B$115,0)),""))</f>
        <v/>
      </c>
      <c r="F425" s="28">
        <f>IF($C425="","",IFERROR(INDEX('Topic Plan'!$E$5:$E$115,MATCH($C425,'Topic Plan'!$B$5:$B$115,0)),""))</f>
        <v/>
      </c>
      <c r="G425" s="23" t="n"/>
      <c r="H425" s="27" t="n"/>
      <c r="I425" s="27" t="n"/>
      <c r="J425" s="27" t="n"/>
      <c r="K425" s="27" t="n"/>
      <c r="L425" s="27" t="n"/>
      <c r="M425" s="27" t="n"/>
      <c r="N425" s="23" t="n"/>
      <c r="O425" s="29" t="n"/>
      <c r="P425" s="29" t="n"/>
      <c r="Q425" s="29" t="n"/>
      <c r="R425" s="29" t="n"/>
      <c r="S425" s="29" t="n"/>
      <c r="T425" s="29" t="n"/>
      <c r="U425" s="29" t="n"/>
      <c r="V425" s="30">
        <f>IF(OR($A425="",$U425=""),"",IF($S425&lt;&gt;"",MAX(0,$S425-$U425),MAX(0,TODAY()-$U425)))</f>
        <v/>
      </c>
      <c r="W425" s="30">
        <f>IF($A425="","",IF(OR($N425="Live",$N425="Retired"),"",TODAY()-MAX($O425,$P425,$Q425,$R425)))</f>
        <v/>
      </c>
      <c r="X425" s="23" t="n"/>
      <c r="Y425" s="30">
        <f>IF($A425="","",COUNTIFS('Issues Log'!$C$5:$C$504,$A425,'Issues Log'!$K$5:$K$504,"Open")+COUNTIFS('Issues Log'!$C$5:$C$504,$A425,'Issues Log'!$K$5:$K$504,"In progress"))</f>
        <v/>
      </c>
      <c r="Z425" s="27" t="n"/>
    </row>
    <row r="426">
      <c r="A426" s="27" t="n"/>
      <c r="B426" s="27" t="n"/>
      <c r="C426" s="27" t="n"/>
      <c r="D426" s="28">
        <f>IF($C426="","",IFERROR(INDEX('Topic Plan'!$C$5:$C$115,MATCH($C426,'Topic Plan'!$B$5:$B$115,0)),"UNKNOWN TOPIC ID"))</f>
        <v/>
      </c>
      <c r="E426" s="28">
        <f>IF($C426="","",IFERROR(INDEX('Topic Plan'!$D$5:$D$115,MATCH($C426,'Topic Plan'!$B$5:$B$115,0)),""))</f>
        <v/>
      </c>
      <c r="F426" s="28">
        <f>IF($C426="","",IFERROR(INDEX('Topic Plan'!$E$5:$E$115,MATCH($C426,'Topic Plan'!$B$5:$B$115,0)),""))</f>
        <v/>
      </c>
      <c r="G426" s="23" t="n"/>
      <c r="H426" s="27" t="n"/>
      <c r="I426" s="27" t="n"/>
      <c r="J426" s="27" t="n"/>
      <c r="K426" s="27" t="n"/>
      <c r="L426" s="27" t="n"/>
      <c r="M426" s="27" t="n"/>
      <c r="N426" s="23" t="n"/>
      <c r="O426" s="29" t="n"/>
      <c r="P426" s="29" t="n"/>
      <c r="Q426" s="29" t="n"/>
      <c r="R426" s="29" t="n"/>
      <c r="S426" s="29" t="n"/>
      <c r="T426" s="29" t="n"/>
      <c r="U426" s="29" t="n"/>
      <c r="V426" s="30">
        <f>IF(OR($A426="",$U426=""),"",IF($S426&lt;&gt;"",MAX(0,$S426-$U426),MAX(0,TODAY()-$U426)))</f>
        <v/>
      </c>
      <c r="W426" s="30">
        <f>IF($A426="","",IF(OR($N426="Live",$N426="Retired"),"",TODAY()-MAX($O426,$P426,$Q426,$R426)))</f>
        <v/>
      </c>
      <c r="X426" s="23" t="n"/>
      <c r="Y426" s="30">
        <f>IF($A426="","",COUNTIFS('Issues Log'!$C$5:$C$504,$A426,'Issues Log'!$K$5:$K$504,"Open")+COUNTIFS('Issues Log'!$C$5:$C$504,$A426,'Issues Log'!$K$5:$K$504,"In progress"))</f>
        <v/>
      </c>
      <c r="Z426" s="27" t="n"/>
    </row>
    <row r="427">
      <c r="A427" s="27" t="n"/>
      <c r="B427" s="27" t="n"/>
      <c r="C427" s="27" t="n"/>
      <c r="D427" s="28">
        <f>IF($C427="","",IFERROR(INDEX('Topic Plan'!$C$5:$C$115,MATCH($C427,'Topic Plan'!$B$5:$B$115,0)),"UNKNOWN TOPIC ID"))</f>
        <v/>
      </c>
      <c r="E427" s="28">
        <f>IF($C427="","",IFERROR(INDEX('Topic Plan'!$D$5:$D$115,MATCH($C427,'Topic Plan'!$B$5:$B$115,0)),""))</f>
        <v/>
      </c>
      <c r="F427" s="28">
        <f>IF($C427="","",IFERROR(INDEX('Topic Plan'!$E$5:$E$115,MATCH($C427,'Topic Plan'!$B$5:$B$115,0)),""))</f>
        <v/>
      </c>
      <c r="G427" s="23" t="n"/>
      <c r="H427" s="27" t="n"/>
      <c r="I427" s="27" t="n"/>
      <c r="J427" s="27" t="n"/>
      <c r="K427" s="27" t="n"/>
      <c r="L427" s="27" t="n"/>
      <c r="M427" s="27" t="n"/>
      <c r="N427" s="23" t="n"/>
      <c r="O427" s="29" t="n"/>
      <c r="P427" s="29" t="n"/>
      <c r="Q427" s="29" t="n"/>
      <c r="R427" s="29" t="n"/>
      <c r="S427" s="29" t="n"/>
      <c r="T427" s="29" t="n"/>
      <c r="U427" s="29" t="n"/>
      <c r="V427" s="30">
        <f>IF(OR($A427="",$U427=""),"",IF($S427&lt;&gt;"",MAX(0,$S427-$U427),MAX(0,TODAY()-$U427)))</f>
        <v/>
      </c>
      <c r="W427" s="30">
        <f>IF($A427="","",IF(OR($N427="Live",$N427="Retired"),"",TODAY()-MAX($O427,$P427,$Q427,$R427)))</f>
        <v/>
      </c>
      <c r="X427" s="23" t="n"/>
      <c r="Y427" s="30">
        <f>IF($A427="","",COUNTIFS('Issues Log'!$C$5:$C$504,$A427,'Issues Log'!$K$5:$K$504,"Open")+COUNTIFS('Issues Log'!$C$5:$C$504,$A427,'Issues Log'!$K$5:$K$504,"In progress"))</f>
        <v/>
      </c>
      <c r="Z427" s="27" t="n"/>
    </row>
    <row r="428">
      <c r="A428" s="27" t="n"/>
      <c r="B428" s="27" t="n"/>
      <c r="C428" s="27" t="n"/>
      <c r="D428" s="28">
        <f>IF($C428="","",IFERROR(INDEX('Topic Plan'!$C$5:$C$115,MATCH($C428,'Topic Plan'!$B$5:$B$115,0)),"UNKNOWN TOPIC ID"))</f>
        <v/>
      </c>
      <c r="E428" s="28">
        <f>IF($C428="","",IFERROR(INDEX('Topic Plan'!$D$5:$D$115,MATCH($C428,'Topic Plan'!$B$5:$B$115,0)),""))</f>
        <v/>
      </c>
      <c r="F428" s="28">
        <f>IF($C428="","",IFERROR(INDEX('Topic Plan'!$E$5:$E$115,MATCH($C428,'Topic Plan'!$B$5:$B$115,0)),""))</f>
        <v/>
      </c>
      <c r="G428" s="23" t="n"/>
      <c r="H428" s="27" t="n"/>
      <c r="I428" s="27" t="n"/>
      <c r="J428" s="27" t="n"/>
      <c r="K428" s="27" t="n"/>
      <c r="L428" s="27" t="n"/>
      <c r="M428" s="27" t="n"/>
      <c r="N428" s="23" t="n"/>
      <c r="O428" s="29" t="n"/>
      <c r="P428" s="29" t="n"/>
      <c r="Q428" s="29" t="n"/>
      <c r="R428" s="29" t="n"/>
      <c r="S428" s="29" t="n"/>
      <c r="T428" s="29" t="n"/>
      <c r="U428" s="29" t="n"/>
      <c r="V428" s="30">
        <f>IF(OR($A428="",$U428=""),"",IF($S428&lt;&gt;"",MAX(0,$S428-$U428),MAX(0,TODAY()-$U428)))</f>
        <v/>
      </c>
      <c r="W428" s="30">
        <f>IF($A428="","",IF(OR($N428="Live",$N428="Retired"),"",TODAY()-MAX($O428,$P428,$Q428,$R428)))</f>
        <v/>
      </c>
      <c r="X428" s="23" t="n"/>
      <c r="Y428" s="30">
        <f>IF($A428="","",COUNTIFS('Issues Log'!$C$5:$C$504,$A428,'Issues Log'!$K$5:$K$504,"Open")+COUNTIFS('Issues Log'!$C$5:$C$504,$A428,'Issues Log'!$K$5:$K$504,"In progress"))</f>
        <v/>
      </c>
      <c r="Z428" s="27" t="n"/>
    </row>
    <row r="429">
      <c r="A429" s="27" t="n"/>
      <c r="B429" s="27" t="n"/>
      <c r="C429" s="27" t="n"/>
      <c r="D429" s="28">
        <f>IF($C429="","",IFERROR(INDEX('Topic Plan'!$C$5:$C$115,MATCH($C429,'Topic Plan'!$B$5:$B$115,0)),"UNKNOWN TOPIC ID"))</f>
        <v/>
      </c>
      <c r="E429" s="28">
        <f>IF($C429="","",IFERROR(INDEX('Topic Plan'!$D$5:$D$115,MATCH($C429,'Topic Plan'!$B$5:$B$115,0)),""))</f>
        <v/>
      </c>
      <c r="F429" s="28">
        <f>IF($C429="","",IFERROR(INDEX('Topic Plan'!$E$5:$E$115,MATCH($C429,'Topic Plan'!$B$5:$B$115,0)),""))</f>
        <v/>
      </c>
      <c r="G429" s="23" t="n"/>
      <c r="H429" s="27" t="n"/>
      <c r="I429" s="27" t="n"/>
      <c r="J429" s="27" t="n"/>
      <c r="K429" s="27" t="n"/>
      <c r="L429" s="27" t="n"/>
      <c r="M429" s="27" t="n"/>
      <c r="N429" s="23" t="n"/>
      <c r="O429" s="29" t="n"/>
      <c r="P429" s="29" t="n"/>
      <c r="Q429" s="29" t="n"/>
      <c r="R429" s="29" t="n"/>
      <c r="S429" s="29" t="n"/>
      <c r="T429" s="29" t="n"/>
      <c r="U429" s="29" t="n"/>
      <c r="V429" s="30">
        <f>IF(OR($A429="",$U429=""),"",IF($S429&lt;&gt;"",MAX(0,$S429-$U429),MAX(0,TODAY()-$U429)))</f>
        <v/>
      </c>
      <c r="W429" s="30">
        <f>IF($A429="","",IF(OR($N429="Live",$N429="Retired"),"",TODAY()-MAX($O429,$P429,$Q429,$R429)))</f>
        <v/>
      </c>
      <c r="X429" s="23" t="n"/>
      <c r="Y429" s="30">
        <f>IF($A429="","",COUNTIFS('Issues Log'!$C$5:$C$504,$A429,'Issues Log'!$K$5:$K$504,"Open")+COUNTIFS('Issues Log'!$C$5:$C$504,$A429,'Issues Log'!$K$5:$K$504,"In progress"))</f>
        <v/>
      </c>
      <c r="Z429" s="27" t="n"/>
    </row>
    <row r="430">
      <c r="A430" s="27" t="n"/>
      <c r="B430" s="27" t="n"/>
      <c r="C430" s="27" t="n"/>
      <c r="D430" s="28">
        <f>IF($C430="","",IFERROR(INDEX('Topic Plan'!$C$5:$C$115,MATCH($C430,'Topic Plan'!$B$5:$B$115,0)),"UNKNOWN TOPIC ID"))</f>
        <v/>
      </c>
      <c r="E430" s="28">
        <f>IF($C430="","",IFERROR(INDEX('Topic Plan'!$D$5:$D$115,MATCH($C430,'Topic Plan'!$B$5:$B$115,0)),""))</f>
        <v/>
      </c>
      <c r="F430" s="28">
        <f>IF($C430="","",IFERROR(INDEX('Topic Plan'!$E$5:$E$115,MATCH($C430,'Topic Plan'!$B$5:$B$115,0)),""))</f>
        <v/>
      </c>
      <c r="G430" s="23" t="n"/>
      <c r="H430" s="27" t="n"/>
      <c r="I430" s="27" t="n"/>
      <c r="J430" s="27" t="n"/>
      <c r="K430" s="27" t="n"/>
      <c r="L430" s="27" t="n"/>
      <c r="M430" s="27" t="n"/>
      <c r="N430" s="23" t="n"/>
      <c r="O430" s="29" t="n"/>
      <c r="P430" s="29" t="n"/>
      <c r="Q430" s="29" t="n"/>
      <c r="R430" s="29" t="n"/>
      <c r="S430" s="29" t="n"/>
      <c r="T430" s="29" t="n"/>
      <c r="U430" s="29" t="n"/>
      <c r="V430" s="30">
        <f>IF(OR($A430="",$U430=""),"",IF($S430&lt;&gt;"",MAX(0,$S430-$U430),MAX(0,TODAY()-$U430)))</f>
        <v/>
      </c>
      <c r="W430" s="30">
        <f>IF($A430="","",IF(OR($N430="Live",$N430="Retired"),"",TODAY()-MAX($O430,$P430,$Q430,$R430)))</f>
        <v/>
      </c>
      <c r="X430" s="23" t="n"/>
      <c r="Y430" s="30">
        <f>IF($A430="","",COUNTIFS('Issues Log'!$C$5:$C$504,$A430,'Issues Log'!$K$5:$K$504,"Open")+COUNTIFS('Issues Log'!$C$5:$C$504,$A430,'Issues Log'!$K$5:$K$504,"In progress"))</f>
        <v/>
      </c>
      <c r="Z430" s="27" t="n"/>
    </row>
    <row r="431">
      <c r="A431" s="27" t="n"/>
      <c r="B431" s="27" t="n"/>
      <c r="C431" s="27" t="n"/>
      <c r="D431" s="28">
        <f>IF($C431="","",IFERROR(INDEX('Topic Plan'!$C$5:$C$115,MATCH($C431,'Topic Plan'!$B$5:$B$115,0)),"UNKNOWN TOPIC ID"))</f>
        <v/>
      </c>
      <c r="E431" s="28">
        <f>IF($C431="","",IFERROR(INDEX('Topic Plan'!$D$5:$D$115,MATCH($C431,'Topic Plan'!$B$5:$B$115,0)),""))</f>
        <v/>
      </c>
      <c r="F431" s="28">
        <f>IF($C431="","",IFERROR(INDEX('Topic Plan'!$E$5:$E$115,MATCH($C431,'Topic Plan'!$B$5:$B$115,0)),""))</f>
        <v/>
      </c>
      <c r="G431" s="23" t="n"/>
      <c r="H431" s="27" t="n"/>
      <c r="I431" s="27" t="n"/>
      <c r="J431" s="27" t="n"/>
      <c r="K431" s="27" t="n"/>
      <c r="L431" s="27" t="n"/>
      <c r="M431" s="27" t="n"/>
      <c r="N431" s="23" t="n"/>
      <c r="O431" s="29" t="n"/>
      <c r="P431" s="29" t="n"/>
      <c r="Q431" s="29" t="n"/>
      <c r="R431" s="29" t="n"/>
      <c r="S431" s="29" t="n"/>
      <c r="T431" s="29" t="n"/>
      <c r="U431" s="29" t="n"/>
      <c r="V431" s="30">
        <f>IF(OR($A431="",$U431=""),"",IF($S431&lt;&gt;"",MAX(0,$S431-$U431),MAX(0,TODAY()-$U431)))</f>
        <v/>
      </c>
      <c r="W431" s="30">
        <f>IF($A431="","",IF(OR($N431="Live",$N431="Retired"),"",TODAY()-MAX($O431,$P431,$Q431,$R431)))</f>
        <v/>
      </c>
      <c r="X431" s="23" t="n"/>
      <c r="Y431" s="30">
        <f>IF($A431="","",COUNTIFS('Issues Log'!$C$5:$C$504,$A431,'Issues Log'!$K$5:$K$504,"Open")+COUNTIFS('Issues Log'!$C$5:$C$504,$A431,'Issues Log'!$K$5:$K$504,"In progress"))</f>
        <v/>
      </c>
      <c r="Z431" s="27" t="n"/>
    </row>
    <row r="432">
      <c r="A432" s="27" t="n"/>
      <c r="B432" s="27" t="n"/>
      <c r="C432" s="27" t="n"/>
      <c r="D432" s="28">
        <f>IF($C432="","",IFERROR(INDEX('Topic Plan'!$C$5:$C$115,MATCH($C432,'Topic Plan'!$B$5:$B$115,0)),"UNKNOWN TOPIC ID"))</f>
        <v/>
      </c>
      <c r="E432" s="28">
        <f>IF($C432="","",IFERROR(INDEX('Topic Plan'!$D$5:$D$115,MATCH($C432,'Topic Plan'!$B$5:$B$115,0)),""))</f>
        <v/>
      </c>
      <c r="F432" s="28">
        <f>IF($C432="","",IFERROR(INDEX('Topic Plan'!$E$5:$E$115,MATCH($C432,'Topic Plan'!$B$5:$B$115,0)),""))</f>
        <v/>
      </c>
      <c r="G432" s="23" t="n"/>
      <c r="H432" s="27" t="n"/>
      <c r="I432" s="27" t="n"/>
      <c r="J432" s="27" t="n"/>
      <c r="K432" s="27" t="n"/>
      <c r="L432" s="27" t="n"/>
      <c r="M432" s="27" t="n"/>
      <c r="N432" s="23" t="n"/>
      <c r="O432" s="29" t="n"/>
      <c r="P432" s="29" t="n"/>
      <c r="Q432" s="29" t="n"/>
      <c r="R432" s="29" t="n"/>
      <c r="S432" s="29" t="n"/>
      <c r="T432" s="29" t="n"/>
      <c r="U432" s="29" t="n"/>
      <c r="V432" s="30">
        <f>IF(OR($A432="",$U432=""),"",IF($S432&lt;&gt;"",MAX(0,$S432-$U432),MAX(0,TODAY()-$U432)))</f>
        <v/>
      </c>
      <c r="W432" s="30">
        <f>IF($A432="","",IF(OR($N432="Live",$N432="Retired"),"",TODAY()-MAX($O432,$P432,$Q432,$R432)))</f>
        <v/>
      </c>
      <c r="X432" s="23" t="n"/>
      <c r="Y432" s="30">
        <f>IF($A432="","",COUNTIFS('Issues Log'!$C$5:$C$504,$A432,'Issues Log'!$K$5:$K$504,"Open")+COUNTIFS('Issues Log'!$C$5:$C$504,$A432,'Issues Log'!$K$5:$K$504,"In progress"))</f>
        <v/>
      </c>
      <c r="Z432" s="27" t="n"/>
    </row>
    <row r="433">
      <c r="A433" s="27" t="n"/>
      <c r="B433" s="27" t="n"/>
      <c r="C433" s="27" t="n"/>
      <c r="D433" s="28">
        <f>IF($C433="","",IFERROR(INDEX('Topic Plan'!$C$5:$C$115,MATCH($C433,'Topic Plan'!$B$5:$B$115,0)),"UNKNOWN TOPIC ID"))</f>
        <v/>
      </c>
      <c r="E433" s="28">
        <f>IF($C433="","",IFERROR(INDEX('Topic Plan'!$D$5:$D$115,MATCH($C433,'Topic Plan'!$B$5:$B$115,0)),""))</f>
        <v/>
      </c>
      <c r="F433" s="28">
        <f>IF($C433="","",IFERROR(INDEX('Topic Plan'!$E$5:$E$115,MATCH($C433,'Topic Plan'!$B$5:$B$115,0)),""))</f>
        <v/>
      </c>
      <c r="G433" s="23" t="n"/>
      <c r="H433" s="27" t="n"/>
      <c r="I433" s="27" t="n"/>
      <c r="J433" s="27" t="n"/>
      <c r="K433" s="27" t="n"/>
      <c r="L433" s="27" t="n"/>
      <c r="M433" s="27" t="n"/>
      <c r="N433" s="23" t="n"/>
      <c r="O433" s="29" t="n"/>
      <c r="P433" s="29" t="n"/>
      <c r="Q433" s="29" t="n"/>
      <c r="R433" s="29" t="n"/>
      <c r="S433" s="29" t="n"/>
      <c r="T433" s="29" t="n"/>
      <c r="U433" s="29" t="n"/>
      <c r="V433" s="30">
        <f>IF(OR($A433="",$U433=""),"",IF($S433&lt;&gt;"",MAX(0,$S433-$U433),MAX(0,TODAY()-$U433)))</f>
        <v/>
      </c>
      <c r="W433" s="30">
        <f>IF($A433="","",IF(OR($N433="Live",$N433="Retired"),"",TODAY()-MAX($O433,$P433,$Q433,$R433)))</f>
        <v/>
      </c>
      <c r="X433" s="23" t="n"/>
      <c r="Y433" s="30">
        <f>IF($A433="","",COUNTIFS('Issues Log'!$C$5:$C$504,$A433,'Issues Log'!$K$5:$K$504,"Open")+COUNTIFS('Issues Log'!$C$5:$C$504,$A433,'Issues Log'!$K$5:$K$504,"In progress"))</f>
        <v/>
      </c>
      <c r="Z433" s="27" t="n"/>
    </row>
    <row r="434">
      <c r="A434" s="27" t="n"/>
      <c r="B434" s="27" t="n"/>
      <c r="C434" s="27" t="n"/>
      <c r="D434" s="28">
        <f>IF($C434="","",IFERROR(INDEX('Topic Plan'!$C$5:$C$115,MATCH($C434,'Topic Plan'!$B$5:$B$115,0)),"UNKNOWN TOPIC ID"))</f>
        <v/>
      </c>
      <c r="E434" s="28">
        <f>IF($C434="","",IFERROR(INDEX('Topic Plan'!$D$5:$D$115,MATCH($C434,'Topic Plan'!$B$5:$B$115,0)),""))</f>
        <v/>
      </c>
      <c r="F434" s="28">
        <f>IF($C434="","",IFERROR(INDEX('Topic Plan'!$E$5:$E$115,MATCH($C434,'Topic Plan'!$B$5:$B$115,0)),""))</f>
        <v/>
      </c>
      <c r="G434" s="23" t="n"/>
      <c r="H434" s="27" t="n"/>
      <c r="I434" s="27" t="n"/>
      <c r="J434" s="27" t="n"/>
      <c r="K434" s="27" t="n"/>
      <c r="L434" s="27" t="n"/>
      <c r="M434" s="27" t="n"/>
      <c r="N434" s="23" t="n"/>
      <c r="O434" s="29" t="n"/>
      <c r="P434" s="29" t="n"/>
      <c r="Q434" s="29" t="n"/>
      <c r="R434" s="29" t="n"/>
      <c r="S434" s="29" t="n"/>
      <c r="T434" s="29" t="n"/>
      <c r="U434" s="29" t="n"/>
      <c r="V434" s="30">
        <f>IF(OR($A434="",$U434=""),"",IF($S434&lt;&gt;"",MAX(0,$S434-$U434),MAX(0,TODAY()-$U434)))</f>
        <v/>
      </c>
      <c r="W434" s="30">
        <f>IF($A434="","",IF(OR($N434="Live",$N434="Retired"),"",TODAY()-MAX($O434,$P434,$Q434,$R434)))</f>
        <v/>
      </c>
      <c r="X434" s="23" t="n"/>
      <c r="Y434" s="30">
        <f>IF($A434="","",COUNTIFS('Issues Log'!$C$5:$C$504,$A434,'Issues Log'!$K$5:$K$504,"Open")+COUNTIFS('Issues Log'!$C$5:$C$504,$A434,'Issues Log'!$K$5:$K$504,"In progress"))</f>
        <v/>
      </c>
      <c r="Z434" s="27" t="n"/>
    </row>
    <row r="435">
      <c r="A435" s="27" t="n"/>
      <c r="B435" s="27" t="n"/>
      <c r="C435" s="27" t="n"/>
      <c r="D435" s="28">
        <f>IF($C435="","",IFERROR(INDEX('Topic Plan'!$C$5:$C$115,MATCH($C435,'Topic Plan'!$B$5:$B$115,0)),"UNKNOWN TOPIC ID"))</f>
        <v/>
      </c>
      <c r="E435" s="28">
        <f>IF($C435="","",IFERROR(INDEX('Topic Plan'!$D$5:$D$115,MATCH($C435,'Topic Plan'!$B$5:$B$115,0)),""))</f>
        <v/>
      </c>
      <c r="F435" s="28">
        <f>IF($C435="","",IFERROR(INDEX('Topic Plan'!$E$5:$E$115,MATCH($C435,'Topic Plan'!$B$5:$B$115,0)),""))</f>
        <v/>
      </c>
      <c r="G435" s="23" t="n"/>
      <c r="H435" s="27" t="n"/>
      <c r="I435" s="27" t="n"/>
      <c r="J435" s="27" t="n"/>
      <c r="K435" s="27" t="n"/>
      <c r="L435" s="27" t="n"/>
      <c r="M435" s="27" t="n"/>
      <c r="N435" s="23" t="n"/>
      <c r="O435" s="29" t="n"/>
      <c r="P435" s="29" t="n"/>
      <c r="Q435" s="29" t="n"/>
      <c r="R435" s="29" t="n"/>
      <c r="S435" s="29" t="n"/>
      <c r="T435" s="29" t="n"/>
      <c r="U435" s="29" t="n"/>
      <c r="V435" s="30">
        <f>IF(OR($A435="",$U435=""),"",IF($S435&lt;&gt;"",MAX(0,$S435-$U435),MAX(0,TODAY()-$U435)))</f>
        <v/>
      </c>
      <c r="W435" s="30">
        <f>IF($A435="","",IF(OR($N435="Live",$N435="Retired"),"",TODAY()-MAX($O435,$P435,$Q435,$R435)))</f>
        <v/>
      </c>
      <c r="X435" s="23" t="n"/>
      <c r="Y435" s="30">
        <f>IF($A435="","",COUNTIFS('Issues Log'!$C$5:$C$504,$A435,'Issues Log'!$K$5:$K$504,"Open")+COUNTIFS('Issues Log'!$C$5:$C$504,$A435,'Issues Log'!$K$5:$K$504,"In progress"))</f>
        <v/>
      </c>
      <c r="Z435" s="27" t="n"/>
    </row>
    <row r="436">
      <c r="A436" s="27" t="n"/>
      <c r="B436" s="27" t="n"/>
      <c r="C436" s="27" t="n"/>
      <c r="D436" s="28">
        <f>IF($C436="","",IFERROR(INDEX('Topic Plan'!$C$5:$C$115,MATCH($C436,'Topic Plan'!$B$5:$B$115,0)),"UNKNOWN TOPIC ID"))</f>
        <v/>
      </c>
      <c r="E436" s="28">
        <f>IF($C436="","",IFERROR(INDEX('Topic Plan'!$D$5:$D$115,MATCH($C436,'Topic Plan'!$B$5:$B$115,0)),""))</f>
        <v/>
      </c>
      <c r="F436" s="28">
        <f>IF($C436="","",IFERROR(INDEX('Topic Plan'!$E$5:$E$115,MATCH($C436,'Topic Plan'!$B$5:$B$115,0)),""))</f>
        <v/>
      </c>
      <c r="G436" s="23" t="n"/>
      <c r="H436" s="27" t="n"/>
      <c r="I436" s="27" t="n"/>
      <c r="J436" s="27" t="n"/>
      <c r="K436" s="27" t="n"/>
      <c r="L436" s="27" t="n"/>
      <c r="M436" s="27" t="n"/>
      <c r="N436" s="23" t="n"/>
      <c r="O436" s="29" t="n"/>
      <c r="P436" s="29" t="n"/>
      <c r="Q436" s="29" t="n"/>
      <c r="R436" s="29" t="n"/>
      <c r="S436" s="29" t="n"/>
      <c r="T436" s="29" t="n"/>
      <c r="U436" s="29" t="n"/>
      <c r="V436" s="30">
        <f>IF(OR($A436="",$U436=""),"",IF($S436&lt;&gt;"",MAX(0,$S436-$U436),MAX(0,TODAY()-$U436)))</f>
        <v/>
      </c>
      <c r="W436" s="30">
        <f>IF($A436="","",IF(OR($N436="Live",$N436="Retired"),"",TODAY()-MAX($O436,$P436,$Q436,$R436)))</f>
        <v/>
      </c>
      <c r="X436" s="23" t="n"/>
      <c r="Y436" s="30">
        <f>IF($A436="","",COUNTIFS('Issues Log'!$C$5:$C$504,$A436,'Issues Log'!$K$5:$K$504,"Open")+COUNTIFS('Issues Log'!$C$5:$C$504,$A436,'Issues Log'!$K$5:$K$504,"In progress"))</f>
        <v/>
      </c>
      <c r="Z436" s="27" t="n"/>
    </row>
    <row r="437">
      <c r="A437" s="27" t="n"/>
      <c r="B437" s="27" t="n"/>
      <c r="C437" s="27" t="n"/>
      <c r="D437" s="28">
        <f>IF($C437="","",IFERROR(INDEX('Topic Plan'!$C$5:$C$115,MATCH($C437,'Topic Plan'!$B$5:$B$115,0)),"UNKNOWN TOPIC ID"))</f>
        <v/>
      </c>
      <c r="E437" s="28">
        <f>IF($C437="","",IFERROR(INDEX('Topic Plan'!$D$5:$D$115,MATCH($C437,'Topic Plan'!$B$5:$B$115,0)),""))</f>
        <v/>
      </c>
      <c r="F437" s="28">
        <f>IF($C437="","",IFERROR(INDEX('Topic Plan'!$E$5:$E$115,MATCH($C437,'Topic Plan'!$B$5:$B$115,0)),""))</f>
        <v/>
      </c>
      <c r="G437" s="23" t="n"/>
      <c r="H437" s="27" t="n"/>
      <c r="I437" s="27" t="n"/>
      <c r="J437" s="27" t="n"/>
      <c r="K437" s="27" t="n"/>
      <c r="L437" s="27" t="n"/>
      <c r="M437" s="27" t="n"/>
      <c r="N437" s="23" t="n"/>
      <c r="O437" s="29" t="n"/>
      <c r="P437" s="29" t="n"/>
      <c r="Q437" s="29" t="n"/>
      <c r="R437" s="29" t="n"/>
      <c r="S437" s="29" t="n"/>
      <c r="T437" s="29" t="n"/>
      <c r="U437" s="29" t="n"/>
      <c r="V437" s="30">
        <f>IF(OR($A437="",$U437=""),"",IF($S437&lt;&gt;"",MAX(0,$S437-$U437),MAX(0,TODAY()-$U437)))</f>
        <v/>
      </c>
      <c r="W437" s="30">
        <f>IF($A437="","",IF(OR($N437="Live",$N437="Retired"),"",TODAY()-MAX($O437,$P437,$Q437,$R437)))</f>
        <v/>
      </c>
      <c r="X437" s="23" t="n"/>
      <c r="Y437" s="30">
        <f>IF($A437="","",COUNTIFS('Issues Log'!$C$5:$C$504,$A437,'Issues Log'!$K$5:$K$504,"Open")+COUNTIFS('Issues Log'!$C$5:$C$504,$A437,'Issues Log'!$K$5:$K$504,"In progress"))</f>
        <v/>
      </c>
      <c r="Z437" s="27" t="n"/>
    </row>
    <row r="438">
      <c r="A438" s="27" t="n"/>
      <c r="B438" s="27" t="n"/>
      <c r="C438" s="27" t="n"/>
      <c r="D438" s="28">
        <f>IF($C438="","",IFERROR(INDEX('Topic Plan'!$C$5:$C$115,MATCH($C438,'Topic Plan'!$B$5:$B$115,0)),"UNKNOWN TOPIC ID"))</f>
        <v/>
      </c>
      <c r="E438" s="28">
        <f>IF($C438="","",IFERROR(INDEX('Topic Plan'!$D$5:$D$115,MATCH($C438,'Topic Plan'!$B$5:$B$115,0)),""))</f>
        <v/>
      </c>
      <c r="F438" s="28">
        <f>IF($C438="","",IFERROR(INDEX('Topic Plan'!$E$5:$E$115,MATCH($C438,'Topic Plan'!$B$5:$B$115,0)),""))</f>
        <v/>
      </c>
      <c r="G438" s="23" t="n"/>
      <c r="H438" s="27" t="n"/>
      <c r="I438" s="27" t="n"/>
      <c r="J438" s="27" t="n"/>
      <c r="K438" s="27" t="n"/>
      <c r="L438" s="27" t="n"/>
      <c r="M438" s="27" t="n"/>
      <c r="N438" s="23" t="n"/>
      <c r="O438" s="29" t="n"/>
      <c r="P438" s="29" t="n"/>
      <c r="Q438" s="29" t="n"/>
      <c r="R438" s="29" t="n"/>
      <c r="S438" s="29" t="n"/>
      <c r="T438" s="29" t="n"/>
      <c r="U438" s="29" t="n"/>
      <c r="V438" s="30">
        <f>IF(OR($A438="",$U438=""),"",IF($S438&lt;&gt;"",MAX(0,$S438-$U438),MAX(0,TODAY()-$U438)))</f>
        <v/>
      </c>
      <c r="W438" s="30">
        <f>IF($A438="","",IF(OR($N438="Live",$N438="Retired"),"",TODAY()-MAX($O438,$P438,$Q438,$R438)))</f>
        <v/>
      </c>
      <c r="X438" s="23" t="n"/>
      <c r="Y438" s="30">
        <f>IF($A438="","",COUNTIFS('Issues Log'!$C$5:$C$504,$A438,'Issues Log'!$K$5:$K$504,"Open")+COUNTIFS('Issues Log'!$C$5:$C$504,$A438,'Issues Log'!$K$5:$K$504,"In progress"))</f>
        <v/>
      </c>
      <c r="Z438" s="27" t="n"/>
    </row>
    <row r="439">
      <c r="A439" s="27" t="n"/>
      <c r="B439" s="27" t="n"/>
      <c r="C439" s="27" t="n"/>
      <c r="D439" s="28">
        <f>IF($C439="","",IFERROR(INDEX('Topic Plan'!$C$5:$C$115,MATCH($C439,'Topic Plan'!$B$5:$B$115,0)),"UNKNOWN TOPIC ID"))</f>
        <v/>
      </c>
      <c r="E439" s="28">
        <f>IF($C439="","",IFERROR(INDEX('Topic Plan'!$D$5:$D$115,MATCH($C439,'Topic Plan'!$B$5:$B$115,0)),""))</f>
        <v/>
      </c>
      <c r="F439" s="28">
        <f>IF($C439="","",IFERROR(INDEX('Topic Plan'!$E$5:$E$115,MATCH($C439,'Topic Plan'!$B$5:$B$115,0)),""))</f>
        <v/>
      </c>
      <c r="G439" s="23" t="n"/>
      <c r="H439" s="27" t="n"/>
      <c r="I439" s="27" t="n"/>
      <c r="J439" s="27" t="n"/>
      <c r="K439" s="27" t="n"/>
      <c r="L439" s="27" t="n"/>
      <c r="M439" s="27" t="n"/>
      <c r="N439" s="23" t="n"/>
      <c r="O439" s="29" t="n"/>
      <c r="P439" s="29" t="n"/>
      <c r="Q439" s="29" t="n"/>
      <c r="R439" s="29" t="n"/>
      <c r="S439" s="29" t="n"/>
      <c r="T439" s="29" t="n"/>
      <c r="U439" s="29" t="n"/>
      <c r="V439" s="30">
        <f>IF(OR($A439="",$U439=""),"",IF($S439&lt;&gt;"",MAX(0,$S439-$U439),MAX(0,TODAY()-$U439)))</f>
        <v/>
      </c>
      <c r="W439" s="30">
        <f>IF($A439="","",IF(OR($N439="Live",$N439="Retired"),"",TODAY()-MAX($O439,$P439,$Q439,$R439)))</f>
        <v/>
      </c>
      <c r="X439" s="23" t="n"/>
      <c r="Y439" s="30">
        <f>IF($A439="","",COUNTIFS('Issues Log'!$C$5:$C$504,$A439,'Issues Log'!$K$5:$K$504,"Open")+COUNTIFS('Issues Log'!$C$5:$C$504,$A439,'Issues Log'!$K$5:$K$504,"In progress"))</f>
        <v/>
      </c>
      <c r="Z439" s="27" t="n"/>
    </row>
    <row r="440">
      <c r="A440" s="27" t="n"/>
      <c r="B440" s="27" t="n"/>
      <c r="C440" s="27" t="n"/>
      <c r="D440" s="28">
        <f>IF($C440="","",IFERROR(INDEX('Topic Plan'!$C$5:$C$115,MATCH($C440,'Topic Plan'!$B$5:$B$115,0)),"UNKNOWN TOPIC ID"))</f>
        <v/>
      </c>
      <c r="E440" s="28">
        <f>IF($C440="","",IFERROR(INDEX('Topic Plan'!$D$5:$D$115,MATCH($C440,'Topic Plan'!$B$5:$B$115,0)),""))</f>
        <v/>
      </c>
      <c r="F440" s="28">
        <f>IF($C440="","",IFERROR(INDEX('Topic Plan'!$E$5:$E$115,MATCH($C440,'Topic Plan'!$B$5:$B$115,0)),""))</f>
        <v/>
      </c>
      <c r="G440" s="23" t="n"/>
      <c r="H440" s="27" t="n"/>
      <c r="I440" s="27" t="n"/>
      <c r="J440" s="27" t="n"/>
      <c r="K440" s="27" t="n"/>
      <c r="L440" s="27" t="n"/>
      <c r="M440" s="27" t="n"/>
      <c r="N440" s="23" t="n"/>
      <c r="O440" s="29" t="n"/>
      <c r="P440" s="29" t="n"/>
      <c r="Q440" s="29" t="n"/>
      <c r="R440" s="29" t="n"/>
      <c r="S440" s="29" t="n"/>
      <c r="T440" s="29" t="n"/>
      <c r="U440" s="29" t="n"/>
      <c r="V440" s="30">
        <f>IF(OR($A440="",$U440=""),"",IF($S440&lt;&gt;"",MAX(0,$S440-$U440),MAX(0,TODAY()-$U440)))</f>
        <v/>
      </c>
      <c r="W440" s="30">
        <f>IF($A440="","",IF(OR($N440="Live",$N440="Retired"),"",TODAY()-MAX($O440,$P440,$Q440,$R440)))</f>
        <v/>
      </c>
      <c r="X440" s="23" t="n"/>
      <c r="Y440" s="30">
        <f>IF($A440="","",COUNTIFS('Issues Log'!$C$5:$C$504,$A440,'Issues Log'!$K$5:$K$504,"Open")+COUNTIFS('Issues Log'!$C$5:$C$504,$A440,'Issues Log'!$K$5:$K$504,"In progress"))</f>
        <v/>
      </c>
      <c r="Z440" s="27" t="n"/>
    </row>
    <row r="441">
      <c r="A441" s="27" t="n"/>
      <c r="B441" s="27" t="n"/>
      <c r="C441" s="27" t="n"/>
      <c r="D441" s="28">
        <f>IF($C441="","",IFERROR(INDEX('Topic Plan'!$C$5:$C$115,MATCH($C441,'Topic Plan'!$B$5:$B$115,0)),"UNKNOWN TOPIC ID"))</f>
        <v/>
      </c>
      <c r="E441" s="28">
        <f>IF($C441="","",IFERROR(INDEX('Topic Plan'!$D$5:$D$115,MATCH($C441,'Topic Plan'!$B$5:$B$115,0)),""))</f>
        <v/>
      </c>
      <c r="F441" s="28">
        <f>IF($C441="","",IFERROR(INDEX('Topic Plan'!$E$5:$E$115,MATCH($C441,'Topic Plan'!$B$5:$B$115,0)),""))</f>
        <v/>
      </c>
      <c r="G441" s="23" t="n"/>
      <c r="H441" s="27" t="n"/>
      <c r="I441" s="27" t="n"/>
      <c r="J441" s="27" t="n"/>
      <c r="K441" s="27" t="n"/>
      <c r="L441" s="27" t="n"/>
      <c r="M441" s="27" t="n"/>
      <c r="N441" s="23" t="n"/>
      <c r="O441" s="29" t="n"/>
      <c r="P441" s="29" t="n"/>
      <c r="Q441" s="29" t="n"/>
      <c r="R441" s="29" t="n"/>
      <c r="S441" s="29" t="n"/>
      <c r="T441" s="29" t="n"/>
      <c r="U441" s="29" t="n"/>
      <c r="V441" s="30">
        <f>IF(OR($A441="",$U441=""),"",IF($S441&lt;&gt;"",MAX(0,$S441-$U441),MAX(0,TODAY()-$U441)))</f>
        <v/>
      </c>
      <c r="W441" s="30">
        <f>IF($A441="","",IF(OR($N441="Live",$N441="Retired"),"",TODAY()-MAX($O441,$P441,$Q441,$R441)))</f>
        <v/>
      </c>
      <c r="X441" s="23" t="n"/>
      <c r="Y441" s="30">
        <f>IF($A441="","",COUNTIFS('Issues Log'!$C$5:$C$504,$A441,'Issues Log'!$K$5:$K$504,"Open")+COUNTIFS('Issues Log'!$C$5:$C$504,$A441,'Issues Log'!$K$5:$K$504,"In progress"))</f>
        <v/>
      </c>
      <c r="Z441" s="27" t="n"/>
    </row>
    <row r="442">
      <c r="A442" s="27" t="n"/>
      <c r="B442" s="27" t="n"/>
      <c r="C442" s="27" t="n"/>
      <c r="D442" s="28">
        <f>IF($C442="","",IFERROR(INDEX('Topic Plan'!$C$5:$C$115,MATCH($C442,'Topic Plan'!$B$5:$B$115,0)),"UNKNOWN TOPIC ID"))</f>
        <v/>
      </c>
      <c r="E442" s="28">
        <f>IF($C442="","",IFERROR(INDEX('Topic Plan'!$D$5:$D$115,MATCH($C442,'Topic Plan'!$B$5:$B$115,0)),""))</f>
        <v/>
      </c>
      <c r="F442" s="28">
        <f>IF($C442="","",IFERROR(INDEX('Topic Plan'!$E$5:$E$115,MATCH($C442,'Topic Plan'!$B$5:$B$115,0)),""))</f>
        <v/>
      </c>
      <c r="G442" s="23" t="n"/>
      <c r="H442" s="27" t="n"/>
      <c r="I442" s="27" t="n"/>
      <c r="J442" s="27" t="n"/>
      <c r="K442" s="27" t="n"/>
      <c r="L442" s="27" t="n"/>
      <c r="M442" s="27" t="n"/>
      <c r="N442" s="23" t="n"/>
      <c r="O442" s="29" t="n"/>
      <c r="P442" s="29" t="n"/>
      <c r="Q442" s="29" t="n"/>
      <c r="R442" s="29" t="n"/>
      <c r="S442" s="29" t="n"/>
      <c r="T442" s="29" t="n"/>
      <c r="U442" s="29" t="n"/>
      <c r="V442" s="30">
        <f>IF(OR($A442="",$U442=""),"",IF($S442&lt;&gt;"",MAX(0,$S442-$U442),MAX(0,TODAY()-$U442)))</f>
        <v/>
      </c>
      <c r="W442" s="30">
        <f>IF($A442="","",IF(OR($N442="Live",$N442="Retired"),"",TODAY()-MAX($O442,$P442,$Q442,$R442)))</f>
        <v/>
      </c>
      <c r="X442" s="23" t="n"/>
      <c r="Y442" s="30">
        <f>IF($A442="","",COUNTIFS('Issues Log'!$C$5:$C$504,$A442,'Issues Log'!$K$5:$K$504,"Open")+COUNTIFS('Issues Log'!$C$5:$C$504,$A442,'Issues Log'!$K$5:$K$504,"In progress"))</f>
        <v/>
      </c>
      <c r="Z442" s="27" t="n"/>
    </row>
    <row r="443">
      <c r="A443" s="27" t="n"/>
      <c r="B443" s="27" t="n"/>
      <c r="C443" s="27" t="n"/>
      <c r="D443" s="28">
        <f>IF($C443="","",IFERROR(INDEX('Topic Plan'!$C$5:$C$115,MATCH($C443,'Topic Plan'!$B$5:$B$115,0)),"UNKNOWN TOPIC ID"))</f>
        <v/>
      </c>
      <c r="E443" s="28">
        <f>IF($C443="","",IFERROR(INDEX('Topic Plan'!$D$5:$D$115,MATCH($C443,'Topic Plan'!$B$5:$B$115,0)),""))</f>
        <v/>
      </c>
      <c r="F443" s="28">
        <f>IF($C443="","",IFERROR(INDEX('Topic Plan'!$E$5:$E$115,MATCH($C443,'Topic Plan'!$B$5:$B$115,0)),""))</f>
        <v/>
      </c>
      <c r="G443" s="23" t="n"/>
      <c r="H443" s="27" t="n"/>
      <c r="I443" s="27" t="n"/>
      <c r="J443" s="27" t="n"/>
      <c r="K443" s="27" t="n"/>
      <c r="L443" s="27" t="n"/>
      <c r="M443" s="27" t="n"/>
      <c r="N443" s="23" t="n"/>
      <c r="O443" s="29" t="n"/>
      <c r="P443" s="29" t="n"/>
      <c r="Q443" s="29" t="n"/>
      <c r="R443" s="29" t="n"/>
      <c r="S443" s="29" t="n"/>
      <c r="T443" s="29" t="n"/>
      <c r="U443" s="29" t="n"/>
      <c r="V443" s="30">
        <f>IF(OR($A443="",$U443=""),"",IF($S443&lt;&gt;"",MAX(0,$S443-$U443),MAX(0,TODAY()-$U443)))</f>
        <v/>
      </c>
      <c r="W443" s="30">
        <f>IF($A443="","",IF(OR($N443="Live",$N443="Retired"),"",TODAY()-MAX($O443,$P443,$Q443,$R443)))</f>
        <v/>
      </c>
      <c r="X443" s="23" t="n"/>
      <c r="Y443" s="30">
        <f>IF($A443="","",COUNTIFS('Issues Log'!$C$5:$C$504,$A443,'Issues Log'!$K$5:$K$504,"Open")+COUNTIFS('Issues Log'!$C$5:$C$504,$A443,'Issues Log'!$K$5:$K$504,"In progress"))</f>
        <v/>
      </c>
      <c r="Z443" s="27" t="n"/>
    </row>
    <row r="444">
      <c r="A444" s="27" t="n"/>
      <c r="B444" s="27" t="n"/>
      <c r="C444" s="27" t="n"/>
      <c r="D444" s="28">
        <f>IF($C444="","",IFERROR(INDEX('Topic Plan'!$C$5:$C$115,MATCH($C444,'Topic Plan'!$B$5:$B$115,0)),"UNKNOWN TOPIC ID"))</f>
        <v/>
      </c>
      <c r="E444" s="28">
        <f>IF($C444="","",IFERROR(INDEX('Topic Plan'!$D$5:$D$115,MATCH($C444,'Topic Plan'!$B$5:$B$115,0)),""))</f>
        <v/>
      </c>
      <c r="F444" s="28">
        <f>IF($C444="","",IFERROR(INDEX('Topic Plan'!$E$5:$E$115,MATCH($C444,'Topic Plan'!$B$5:$B$115,0)),""))</f>
        <v/>
      </c>
      <c r="G444" s="23" t="n"/>
      <c r="H444" s="27" t="n"/>
      <c r="I444" s="27" t="n"/>
      <c r="J444" s="27" t="n"/>
      <c r="K444" s="27" t="n"/>
      <c r="L444" s="27" t="n"/>
      <c r="M444" s="27" t="n"/>
      <c r="N444" s="23" t="n"/>
      <c r="O444" s="29" t="n"/>
      <c r="P444" s="29" t="n"/>
      <c r="Q444" s="29" t="n"/>
      <c r="R444" s="29" t="n"/>
      <c r="S444" s="29" t="n"/>
      <c r="T444" s="29" t="n"/>
      <c r="U444" s="29" t="n"/>
      <c r="V444" s="30">
        <f>IF(OR($A444="",$U444=""),"",IF($S444&lt;&gt;"",MAX(0,$S444-$U444),MAX(0,TODAY()-$U444)))</f>
        <v/>
      </c>
      <c r="W444" s="30">
        <f>IF($A444="","",IF(OR($N444="Live",$N444="Retired"),"",TODAY()-MAX($O444,$P444,$Q444,$R444)))</f>
        <v/>
      </c>
      <c r="X444" s="23" t="n"/>
      <c r="Y444" s="30">
        <f>IF($A444="","",COUNTIFS('Issues Log'!$C$5:$C$504,$A444,'Issues Log'!$K$5:$K$504,"Open")+COUNTIFS('Issues Log'!$C$5:$C$504,$A444,'Issues Log'!$K$5:$K$504,"In progress"))</f>
        <v/>
      </c>
      <c r="Z444" s="27" t="n"/>
    </row>
    <row r="445">
      <c r="A445" s="27" t="n"/>
      <c r="B445" s="27" t="n"/>
      <c r="C445" s="27" t="n"/>
      <c r="D445" s="28">
        <f>IF($C445="","",IFERROR(INDEX('Topic Plan'!$C$5:$C$115,MATCH($C445,'Topic Plan'!$B$5:$B$115,0)),"UNKNOWN TOPIC ID"))</f>
        <v/>
      </c>
      <c r="E445" s="28">
        <f>IF($C445="","",IFERROR(INDEX('Topic Plan'!$D$5:$D$115,MATCH($C445,'Topic Plan'!$B$5:$B$115,0)),""))</f>
        <v/>
      </c>
      <c r="F445" s="28">
        <f>IF($C445="","",IFERROR(INDEX('Topic Plan'!$E$5:$E$115,MATCH($C445,'Topic Plan'!$B$5:$B$115,0)),""))</f>
        <v/>
      </c>
      <c r="G445" s="23" t="n"/>
      <c r="H445" s="27" t="n"/>
      <c r="I445" s="27" t="n"/>
      <c r="J445" s="27" t="n"/>
      <c r="K445" s="27" t="n"/>
      <c r="L445" s="27" t="n"/>
      <c r="M445" s="27" t="n"/>
      <c r="N445" s="23" t="n"/>
      <c r="O445" s="29" t="n"/>
      <c r="P445" s="29" t="n"/>
      <c r="Q445" s="29" t="n"/>
      <c r="R445" s="29" t="n"/>
      <c r="S445" s="29" t="n"/>
      <c r="T445" s="29" t="n"/>
      <c r="U445" s="29" t="n"/>
      <c r="V445" s="30">
        <f>IF(OR($A445="",$U445=""),"",IF($S445&lt;&gt;"",MAX(0,$S445-$U445),MAX(0,TODAY()-$U445)))</f>
        <v/>
      </c>
      <c r="W445" s="30">
        <f>IF($A445="","",IF(OR($N445="Live",$N445="Retired"),"",TODAY()-MAX($O445,$P445,$Q445,$R445)))</f>
        <v/>
      </c>
      <c r="X445" s="23" t="n"/>
      <c r="Y445" s="30">
        <f>IF($A445="","",COUNTIFS('Issues Log'!$C$5:$C$504,$A445,'Issues Log'!$K$5:$K$504,"Open")+COUNTIFS('Issues Log'!$C$5:$C$504,$A445,'Issues Log'!$K$5:$K$504,"In progress"))</f>
        <v/>
      </c>
      <c r="Z445" s="27" t="n"/>
    </row>
    <row r="446">
      <c r="A446" s="27" t="n"/>
      <c r="B446" s="27" t="n"/>
      <c r="C446" s="27" t="n"/>
      <c r="D446" s="28">
        <f>IF($C446="","",IFERROR(INDEX('Topic Plan'!$C$5:$C$115,MATCH($C446,'Topic Plan'!$B$5:$B$115,0)),"UNKNOWN TOPIC ID"))</f>
        <v/>
      </c>
      <c r="E446" s="28">
        <f>IF($C446="","",IFERROR(INDEX('Topic Plan'!$D$5:$D$115,MATCH($C446,'Topic Plan'!$B$5:$B$115,0)),""))</f>
        <v/>
      </c>
      <c r="F446" s="28">
        <f>IF($C446="","",IFERROR(INDEX('Topic Plan'!$E$5:$E$115,MATCH($C446,'Topic Plan'!$B$5:$B$115,0)),""))</f>
        <v/>
      </c>
      <c r="G446" s="23" t="n"/>
      <c r="H446" s="27" t="n"/>
      <c r="I446" s="27" t="n"/>
      <c r="J446" s="27" t="n"/>
      <c r="K446" s="27" t="n"/>
      <c r="L446" s="27" t="n"/>
      <c r="M446" s="27" t="n"/>
      <c r="N446" s="23" t="n"/>
      <c r="O446" s="29" t="n"/>
      <c r="P446" s="29" t="n"/>
      <c r="Q446" s="29" t="n"/>
      <c r="R446" s="29" t="n"/>
      <c r="S446" s="29" t="n"/>
      <c r="T446" s="29" t="n"/>
      <c r="U446" s="29" t="n"/>
      <c r="V446" s="30">
        <f>IF(OR($A446="",$U446=""),"",IF($S446&lt;&gt;"",MAX(0,$S446-$U446),MAX(0,TODAY()-$U446)))</f>
        <v/>
      </c>
      <c r="W446" s="30">
        <f>IF($A446="","",IF(OR($N446="Live",$N446="Retired"),"",TODAY()-MAX($O446,$P446,$Q446,$R446)))</f>
        <v/>
      </c>
      <c r="X446" s="23" t="n"/>
      <c r="Y446" s="30">
        <f>IF($A446="","",COUNTIFS('Issues Log'!$C$5:$C$504,$A446,'Issues Log'!$K$5:$K$504,"Open")+COUNTIFS('Issues Log'!$C$5:$C$504,$A446,'Issues Log'!$K$5:$K$504,"In progress"))</f>
        <v/>
      </c>
      <c r="Z446" s="27" t="n"/>
    </row>
    <row r="447">
      <c r="A447" s="27" t="n"/>
      <c r="B447" s="27" t="n"/>
      <c r="C447" s="27" t="n"/>
      <c r="D447" s="28">
        <f>IF($C447="","",IFERROR(INDEX('Topic Plan'!$C$5:$C$115,MATCH($C447,'Topic Plan'!$B$5:$B$115,0)),"UNKNOWN TOPIC ID"))</f>
        <v/>
      </c>
      <c r="E447" s="28">
        <f>IF($C447="","",IFERROR(INDEX('Topic Plan'!$D$5:$D$115,MATCH($C447,'Topic Plan'!$B$5:$B$115,0)),""))</f>
        <v/>
      </c>
      <c r="F447" s="28">
        <f>IF($C447="","",IFERROR(INDEX('Topic Plan'!$E$5:$E$115,MATCH($C447,'Topic Plan'!$B$5:$B$115,0)),""))</f>
        <v/>
      </c>
      <c r="G447" s="23" t="n"/>
      <c r="H447" s="27" t="n"/>
      <c r="I447" s="27" t="n"/>
      <c r="J447" s="27" t="n"/>
      <c r="K447" s="27" t="n"/>
      <c r="L447" s="27" t="n"/>
      <c r="M447" s="27" t="n"/>
      <c r="N447" s="23" t="n"/>
      <c r="O447" s="29" t="n"/>
      <c r="P447" s="29" t="n"/>
      <c r="Q447" s="29" t="n"/>
      <c r="R447" s="29" t="n"/>
      <c r="S447" s="29" t="n"/>
      <c r="T447" s="29" t="n"/>
      <c r="U447" s="29" t="n"/>
      <c r="V447" s="30">
        <f>IF(OR($A447="",$U447=""),"",IF($S447&lt;&gt;"",MAX(0,$S447-$U447),MAX(0,TODAY()-$U447)))</f>
        <v/>
      </c>
      <c r="W447" s="30">
        <f>IF($A447="","",IF(OR($N447="Live",$N447="Retired"),"",TODAY()-MAX($O447,$P447,$Q447,$R447)))</f>
        <v/>
      </c>
      <c r="X447" s="23" t="n"/>
      <c r="Y447" s="30">
        <f>IF($A447="","",COUNTIFS('Issues Log'!$C$5:$C$504,$A447,'Issues Log'!$K$5:$K$504,"Open")+COUNTIFS('Issues Log'!$C$5:$C$504,$A447,'Issues Log'!$K$5:$K$504,"In progress"))</f>
        <v/>
      </c>
      <c r="Z447" s="27" t="n"/>
    </row>
    <row r="448">
      <c r="A448" s="27" t="n"/>
      <c r="B448" s="27" t="n"/>
      <c r="C448" s="27" t="n"/>
      <c r="D448" s="28">
        <f>IF($C448="","",IFERROR(INDEX('Topic Plan'!$C$5:$C$115,MATCH($C448,'Topic Plan'!$B$5:$B$115,0)),"UNKNOWN TOPIC ID"))</f>
        <v/>
      </c>
      <c r="E448" s="28">
        <f>IF($C448="","",IFERROR(INDEX('Topic Plan'!$D$5:$D$115,MATCH($C448,'Topic Plan'!$B$5:$B$115,0)),""))</f>
        <v/>
      </c>
      <c r="F448" s="28">
        <f>IF($C448="","",IFERROR(INDEX('Topic Plan'!$E$5:$E$115,MATCH($C448,'Topic Plan'!$B$5:$B$115,0)),""))</f>
        <v/>
      </c>
      <c r="G448" s="23" t="n"/>
      <c r="H448" s="27" t="n"/>
      <c r="I448" s="27" t="n"/>
      <c r="J448" s="27" t="n"/>
      <c r="K448" s="27" t="n"/>
      <c r="L448" s="27" t="n"/>
      <c r="M448" s="27" t="n"/>
      <c r="N448" s="23" t="n"/>
      <c r="O448" s="29" t="n"/>
      <c r="P448" s="29" t="n"/>
      <c r="Q448" s="29" t="n"/>
      <c r="R448" s="29" t="n"/>
      <c r="S448" s="29" t="n"/>
      <c r="T448" s="29" t="n"/>
      <c r="U448" s="29" t="n"/>
      <c r="V448" s="30">
        <f>IF(OR($A448="",$U448=""),"",IF($S448&lt;&gt;"",MAX(0,$S448-$U448),MAX(0,TODAY()-$U448)))</f>
        <v/>
      </c>
      <c r="W448" s="30">
        <f>IF($A448="","",IF(OR($N448="Live",$N448="Retired"),"",TODAY()-MAX($O448,$P448,$Q448,$R448)))</f>
        <v/>
      </c>
      <c r="X448" s="23" t="n"/>
      <c r="Y448" s="30">
        <f>IF($A448="","",COUNTIFS('Issues Log'!$C$5:$C$504,$A448,'Issues Log'!$K$5:$K$504,"Open")+COUNTIFS('Issues Log'!$C$5:$C$504,$A448,'Issues Log'!$K$5:$K$504,"In progress"))</f>
        <v/>
      </c>
      <c r="Z448" s="27" t="n"/>
    </row>
    <row r="449">
      <c r="A449" s="27" t="n"/>
      <c r="B449" s="27" t="n"/>
      <c r="C449" s="27" t="n"/>
      <c r="D449" s="28">
        <f>IF($C449="","",IFERROR(INDEX('Topic Plan'!$C$5:$C$115,MATCH($C449,'Topic Plan'!$B$5:$B$115,0)),"UNKNOWN TOPIC ID"))</f>
        <v/>
      </c>
      <c r="E449" s="28">
        <f>IF($C449="","",IFERROR(INDEX('Topic Plan'!$D$5:$D$115,MATCH($C449,'Topic Plan'!$B$5:$B$115,0)),""))</f>
        <v/>
      </c>
      <c r="F449" s="28">
        <f>IF($C449="","",IFERROR(INDEX('Topic Plan'!$E$5:$E$115,MATCH($C449,'Topic Plan'!$B$5:$B$115,0)),""))</f>
        <v/>
      </c>
      <c r="G449" s="23" t="n"/>
      <c r="H449" s="27" t="n"/>
      <c r="I449" s="27" t="n"/>
      <c r="J449" s="27" t="n"/>
      <c r="K449" s="27" t="n"/>
      <c r="L449" s="27" t="n"/>
      <c r="M449" s="27" t="n"/>
      <c r="N449" s="23" t="n"/>
      <c r="O449" s="29" t="n"/>
      <c r="P449" s="29" t="n"/>
      <c r="Q449" s="29" t="n"/>
      <c r="R449" s="29" t="n"/>
      <c r="S449" s="29" t="n"/>
      <c r="T449" s="29" t="n"/>
      <c r="U449" s="29" t="n"/>
      <c r="V449" s="30">
        <f>IF(OR($A449="",$U449=""),"",IF($S449&lt;&gt;"",MAX(0,$S449-$U449),MAX(0,TODAY()-$U449)))</f>
        <v/>
      </c>
      <c r="W449" s="30">
        <f>IF($A449="","",IF(OR($N449="Live",$N449="Retired"),"",TODAY()-MAX($O449,$P449,$Q449,$R449)))</f>
        <v/>
      </c>
      <c r="X449" s="23" t="n"/>
      <c r="Y449" s="30">
        <f>IF($A449="","",COUNTIFS('Issues Log'!$C$5:$C$504,$A449,'Issues Log'!$K$5:$K$504,"Open")+COUNTIFS('Issues Log'!$C$5:$C$504,$A449,'Issues Log'!$K$5:$K$504,"In progress"))</f>
        <v/>
      </c>
      <c r="Z449" s="27" t="n"/>
    </row>
    <row r="450">
      <c r="A450" s="27" t="n"/>
      <c r="B450" s="27" t="n"/>
      <c r="C450" s="27" t="n"/>
      <c r="D450" s="28">
        <f>IF($C450="","",IFERROR(INDEX('Topic Plan'!$C$5:$C$115,MATCH($C450,'Topic Plan'!$B$5:$B$115,0)),"UNKNOWN TOPIC ID"))</f>
        <v/>
      </c>
      <c r="E450" s="28">
        <f>IF($C450="","",IFERROR(INDEX('Topic Plan'!$D$5:$D$115,MATCH($C450,'Topic Plan'!$B$5:$B$115,0)),""))</f>
        <v/>
      </c>
      <c r="F450" s="28">
        <f>IF($C450="","",IFERROR(INDEX('Topic Plan'!$E$5:$E$115,MATCH($C450,'Topic Plan'!$B$5:$B$115,0)),""))</f>
        <v/>
      </c>
      <c r="G450" s="23" t="n"/>
      <c r="H450" s="27" t="n"/>
      <c r="I450" s="27" t="n"/>
      <c r="J450" s="27" t="n"/>
      <c r="K450" s="27" t="n"/>
      <c r="L450" s="27" t="n"/>
      <c r="M450" s="27" t="n"/>
      <c r="N450" s="23" t="n"/>
      <c r="O450" s="29" t="n"/>
      <c r="P450" s="29" t="n"/>
      <c r="Q450" s="29" t="n"/>
      <c r="R450" s="29" t="n"/>
      <c r="S450" s="29" t="n"/>
      <c r="T450" s="29" t="n"/>
      <c r="U450" s="29" t="n"/>
      <c r="V450" s="30">
        <f>IF(OR($A450="",$U450=""),"",IF($S450&lt;&gt;"",MAX(0,$S450-$U450),MAX(0,TODAY()-$U450)))</f>
        <v/>
      </c>
      <c r="W450" s="30">
        <f>IF($A450="","",IF(OR($N450="Live",$N450="Retired"),"",TODAY()-MAX($O450,$P450,$Q450,$R450)))</f>
        <v/>
      </c>
      <c r="X450" s="23" t="n"/>
      <c r="Y450" s="30">
        <f>IF($A450="","",COUNTIFS('Issues Log'!$C$5:$C$504,$A450,'Issues Log'!$K$5:$K$504,"Open")+COUNTIFS('Issues Log'!$C$5:$C$504,$A450,'Issues Log'!$K$5:$K$504,"In progress"))</f>
        <v/>
      </c>
      <c r="Z450" s="27" t="n"/>
    </row>
    <row r="451">
      <c r="A451" s="27" t="n"/>
      <c r="B451" s="27" t="n"/>
      <c r="C451" s="27" t="n"/>
      <c r="D451" s="28">
        <f>IF($C451="","",IFERROR(INDEX('Topic Plan'!$C$5:$C$115,MATCH($C451,'Topic Plan'!$B$5:$B$115,0)),"UNKNOWN TOPIC ID"))</f>
        <v/>
      </c>
      <c r="E451" s="28">
        <f>IF($C451="","",IFERROR(INDEX('Topic Plan'!$D$5:$D$115,MATCH($C451,'Topic Plan'!$B$5:$B$115,0)),""))</f>
        <v/>
      </c>
      <c r="F451" s="28">
        <f>IF($C451="","",IFERROR(INDEX('Topic Plan'!$E$5:$E$115,MATCH($C451,'Topic Plan'!$B$5:$B$115,0)),""))</f>
        <v/>
      </c>
      <c r="G451" s="23" t="n"/>
      <c r="H451" s="27" t="n"/>
      <c r="I451" s="27" t="n"/>
      <c r="J451" s="27" t="n"/>
      <c r="K451" s="27" t="n"/>
      <c r="L451" s="27" t="n"/>
      <c r="M451" s="27" t="n"/>
      <c r="N451" s="23" t="n"/>
      <c r="O451" s="29" t="n"/>
      <c r="P451" s="29" t="n"/>
      <c r="Q451" s="29" t="n"/>
      <c r="R451" s="29" t="n"/>
      <c r="S451" s="29" t="n"/>
      <c r="T451" s="29" t="n"/>
      <c r="U451" s="29" t="n"/>
      <c r="V451" s="30">
        <f>IF(OR($A451="",$U451=""),"",IF($S451&lt;&gt;"",MAX(0,$S451-$U451),MAX(0,TODAY()-$U451)))</f>
        <v/>
      </c>
      <c r="W451" s="30">
        <f>IF($A451="","",IF(OR($N451="Live",$N451="Retired"),"",TODAY()-MAX($O451,$P451,$Q451,$R451)))</f>
        <v/>
      </c>
      <c r="X451" s="23" t="n"/>
      <c r="Y451" s="30">
        <f>IF($A451="","",COUNTIFS('Issues Log'!$C$5:$C$504,$A451,'Issues Log'!$K$5:$K$504,"Open")+COUNTIFS('Issues Log'!$C$5:$C$504,$A451,'Issues Log'!$K$5:$K$504,"In progress"))</f>
        <v/>
      </c>
      <c r="Z451" s="27" t="n"/>
    </row>
    <row r="452">
      <c r="A452" s="27" t="n"/>
      <c r="B452" s="27" t="n"/>
      <c r="C452" s="27" t="n"/>
      <c r="D452" s="28">
        <f>IF($C452="","",IFERROR(INDEX('Topic Plan'!$C$5:$C$115,MATCH($C452,'Topic Plan'!$B$5:$B$115,0)),"UNKNOWN TOPIC ID"))</f>
        <v/>
      </c>
      <c r="E452" s="28">
        <f>IF($C452="","",IFERROR(INDEX('Topic Plan'!$D$5:$D$115,MATCH($C452,'Topic Plan'!$B$5:$B$115,0)),""))</f>
        <v/>
      </c>
      <c r="F452" s="28">
        <f>IF($C452="","",IFERROR(INDEX('Topic Plan'!$E$5:$E$115,MATCH($C452,'Topic Plan'!$B$5:$B$115,0)),""))</f>
        <v/>
      </c>
      <c r="G452" s="23" t="n"/>
      <c r="H452" s="27" t="n"/>
      <c r="I452" s="27" t="n"/>
      <c r="J452" s="27" t="n"/>
      <c r="K452" s="27" t="n"/>
      <c r="L452" s="27" t="n"/>
      <c r="M452" s="27" t="n"/>
      <c r="N452" s="23" t="n"/>
      <c r="O452" s="29" t="n"/>
      <c r="P452" s="29" t="n"/>
      <c r="Q452" s="29" t="n"/>
      <c r="R452" s="29" t="n"/>
      <c r="S452" s="29" t="n"/>
      <c r="T452" s="29" t="n"/>
      <c r="U452" s="29" t="n"/>
      <c r="V452" s="30">
        <f>IF(OR($A452="",$U452=""),"",IF($S452&lt;&gt;"",MAX(0,$S452-$U452),MAX(0,TODAY()-$U452)))</f>
        <v/>
      </c>
      <c r="W452" s="30">
        <f>IF($A452="","",IF(OR($N452="Live",$N452="Retired"),"",TODAY()-MAX($O452,$P452,$Q452,$R452)))</f>
        <v/>
      </c>
      <c r="X452" s="23" t="n"/>
      <c r="Y452" s="30">
        <f>IF($A452="","",COUNTIFS('Issues Log'!$C$5:$C$504,$A452,'Issues Log'!$K$5:$K$504,"Open")+COUNTIFS('Issues Log'!$C$5:$C$504,$A452,'Issues Log'!$K$5:$K$504,"In progress"))</f>
        <v/>
      </c>
      <c r="Z452" s="27" t="n"/>
    </row>
    <row r="453">
      <c r="A453" s="27" t="n"/>
      <c r="B453" s="27" t="n"/>
      <c r="C453" s="27" t="n"/>
      <c r="D453" s="28">
        <f>IF($C453="","",IFERROR(INDEX('Topic Plan'!$C$5:$C$115,MATCH($C453,'Topic Plan'!$B$5:$B$115,0)),"UNKNOWN TOPIC ID"))</f>
        <v/>
      </c>
      <c r="E453" s="28">
        <f>IF($C453="","",IFERROR(INDEX('Topic Plan'!$D$5:$D$115,MATCH($C453,'Topic Plan'!$B$5:$B$115,0)),""))</f>
        <v/>
      </c>
      <c r="F453" s="28">
        <f>IF($C453="","",IFERROR(INDEX('Topic Plan'!$E$5:$E$115,MATCH($C453,'Topic Plan'!$B$5:$B$115,0)),""))</f>
        <v/>
      </c>
      <c r="G453" s="23" t="n"/>
      <c r="H453" s="27" t="n"/>
      <c r="I453" s="27" t="n"/>
      <c r="J453" s="27" t="n"/>
      <c r="K453" s="27" t="n"/>
      <c r="L453" s="27" t="n"/>
      <c r="M453" s="27" t="n"/>
      <c r="N453" s="23" t="n"/>
      <c r="O453" s="29" t="n"/>
      <c r="P453" s="29" t="n"/>
      <c r="Q453" s="29" t="n"/>
      <c r="R453" s="29" t="n"/>
      <c r="S453" s="29" t="n"/>
      <c r="T453" s="29" t="n"/>
      <c r="U453" s="29" t="n"/>
      <c r="V453" s="30">
        <f>IF(OR($A453="",$U453=""),"",IF($S453&lt;&gt;"",MAX(0,$S453-$U453),MAX(0,TODAY()-$U453)))</f>
        <v/>
      </c>
      <c r="W453" s="30">
        <f>IF($A453="","",IF(OR($N453="Live",$N453="Retired"),"",TODAY()-MAX($O453,$P453,$Q453,$R453)))</f>
        <v/>
      </c>
      <c r="X453" s="23" t="n"/>
      <c r="Y453" s="30">
        <f>IF($A453="","",COUNTIFS('Issues Log'!$C$5:$C$504,$A453,'Issues Log'!$K$5:$K$504,"Open")+COUNTIFS('Issues Log'!$C$5:$C$504,$A453,'Issues Log'!$K$5:$K$504,"In progress"))</f>
        <v/>
      </c>
      <c r="Z453" s="27" t="n"/>
    </row>
    <row r="454">
      <c r="A454" s="27" t="n"/>
      <c r="B454" s="27" t="n"/>
      <c r="C454" s="27" t="n"/>
      <c r="D454" s="28">
        <f>IF($C454="","",IFERROR(INDEX('Topic Plan'!$C$5:$C$115,MATCH($C454,'Topic Plan'!$B$5:$B$115,0)),"UNKNOWN TOPIC ID"))</f>
        <v/>
      </c>
      <c r="E454" s="28">
        <f>IF($C454="","",IFERROR(INDEX('Topic Plan'!$D$5:$D$115,MATCH($C454,'Topic Plan'!$B$5:$B$115,0)),""))</f>
        <v/>
      </c>
      <c r="F454" s="28">
        <f>IF($C454="","",IFERROR(INDEX('Topic Plan'!$E$5:$E$115,MATCH($C454,'Topic Plan'!$B$5:$B$115,0)),""))</f>
        <v/>
      </c>
      <c r="G454" s="23" t="n"/>
      <c r="H454" s="27" t="n"/>
      <c r="I454" s="27" t="n"/>
      <c r="J454" s="27" t="n"/>
      <c r="K454" s="27" t="n"/>
      <c r="L454" s="27" t="n"/>
      <c r="M454" s="27" t="n"/>
      <c r="N454" s="23" t="n"/>
      <c r="O454" s="29" t="n"/>
      <c r="P454" s="29" t="n"/>
      <c r="Q454" s="29" t="n"/>
      <c r="R454" s="29" t="n"/>
      <c r="S454" s="29" t="n"/>
      <c r="T454" s="29" t="n"/>
      <c r="U454" s="29" t="n"/>
      <c r="V454" s="30">
        <f>IF(OR($A454="",$U454=""),"",IF($S454&lt;&gt;"",MAX(0,$S454-$U454),MAX(0,TODAY()-$U454)))</f>
        <v/>
      </c>
      <c r="W454" s="30">
        <f>IF($A454="","",IF(OR($N454="Live",$N454="Retired"),"",TODAY()-MAX($O454,$P454,$Q454,$R454)))</f>
        <v/>
      </c>
      <c r="X454" s="23" t="n"/>
      <c r="Y454" s="30">
        <f>IF($A454="","",COUNTIFS('Issues Log'!$C$5:$C$504,$A454,'Issues Log'!$K$5:$K$504,"Open")+COUNTIFS('Issues Log'!$C$5:$C$504,$A454,'Issues Log'!$K$5:$K$504,"In progress"))</f>
        <v/>
      </c>
      <c r="Z454" s="27" t="n"/>
    </row>
    <row r="455">
      <c r="A455" s="27" t="n"/>
      <c r="B455" s="27" t="n"/>
      <c r="C455" s="27" t="n"/>
      <c r="D455" s="28">
        <f>IF($C455="","",IFERROR(INDEX('Topic Plan'!$C$5:$C$115,MATCH($C455,'Topic Plan'!$B$5:$B$115,0)),"UNKNOWN TOPIC ID"))</f>
        <v/>
      </c>
      <c r="E455" s="28">
        <f>IF($C455="","",IFERROR(INDEX('Topic Plan'!$D$5:$D$115,MATCH($C455,'Topic Plan'!$B$5:$B$115,0)),""))</f>
        <v/>
      </c>
      <c r="F455" s="28">
        <f>IF($C455="","",IFERROR(INDEX('Topic Plan'!$E$5:$E$115,MATCH($C455,'Topic Plan'!$B$5:$B$115,0)),""))</f>
        <v/>
      </c>
      <c r="G455" s="23" t="n"/>
      <c r="H455" s="27" t="n"/>
      <c r="I455" s="27" t="n"/>
      <c r="J455" s="27" t="n"/>
      <c r="K455" s="27" t="n"/>
      <c r="L455" s="27" t="n"/>
      <c r="M455" s="27" t="n"/>
      <c r="N455" s="23" t="n"/>
      <c r="O455" s="29" t="n"/>
      <c r="P455" s="29" t="n"/>
      <c r="Q455" s="29" t="n"/>
      <c r="R455" s="29" t="n"/>
      <c r="S455" s="29" t="n"/>
      <c r="T455" s="29" t="n"/>
      <c r="U455" s="29" t="n"/>
      <c r="V455" s="30">
        <f>IF(OR($A455="",$U455=""),"",IF($S455&lt;&gt;"",MAX(0,$S455-$U455),MAX(0,TODAY()-$U455)))</f>
        <v/>
      </c>
      <c r="W455" s="30">
        <f>IF($A455="","",IF(OR($N455="Live",$N455="Retired"),"",TODAY()-MAX($O455,$P455,$Q455,$R455)))</f>
        <v/>
      </c>
      <c r="X455" s="23" t="n"/>
      <c r="Y455" s="30">
        <f>IF($A455="","",COUNTIFS('Issues Log'!$C$5:$C$504,$A455,'Issues Log'!$K$5:$K$504,"Open")+COUNTIFS('Issues Log'!$C$5:$C$504,$A455,'Issues Log'!$K$5:$K$504,"In progress"))</f>
        <v/>
      </c>
      <c r="Z455" s="27" t="n"/>
    </row>
    <row r="456">
      <c r="A456" s="27" t="n"/>
      <c r="B456" s="27" t="n"/>
      <c r="C456" s="27" t="n"/>
      <c r="D456" s="28">
        <f>IF($C456="","",IFERROR(INDEX('Topic Plan'!$C$5:$C$115,MATCH($C456,'Topic Plan'!$B$5:$B$115,0)),"UNKNOWN TOPIC ID"))</f>
        <v/>
      </c>
      <c r="E456" s="28">
        <f>IF($C456="","",IFERROR(INDEX('Topic Plan'!$D$5:$D$115,MATCH($C456,'Topic Plan'!$B$5:$B$115,0)),""))</f>
        <v/>
      </c>
      <c r="F456" s="28">
        <f>IF($C456="","",IFERROR(INDEX('Topic Plan'!$E$5:$E$115,MATCH($C456,'Topic Plan'!$B$5:$B$115,0)),""))</f>
        <v/>
      </c>
      <c r="G456" s="23" t="n"/>
      <c r="H456" s="27" t="n"/>
      <c r="I456" s="27" t="n"/>
      <c r="J456" s="27" t="n"/>
      <c r="K456" s="27" t="n"/>
      <c r="L456" s="27" t="n"/>
      <c r="M456" s="27" t="n"/>
      <c r="N456" s="23" t="n"/>
      <c r="O456" s="29" t="n"/>
      <c r="P456" s="29" t="n"/>
      <c r="Q456" s="29" t="n"/>
      <c r="R456" s="29" t="n"/>
      <c r="S456" s="29" t="n"/>
      <c r="T456" s="29" t="n"/>
      <c r="U456" s="29" t="n"/>
      <c r="V456" s="30">
        <f>IF(OR($A456="",$U456=""),"",IF($S456&lt;&gt;"",MAX(0,$S456-$U456),MAX(0,TODAY()-$U456)))</f>
        <v/>
      </c>
      <c r="W456" s="30">
        <f>IF($A456="","",IF(OR($N456="Live",$N456="Retired"),"",TODAY()-MAX($O456,$P456,$Q456,$R456)))</f>
        <v/>
      </c>
      <c r="X456" s="23" t="n"/>
      <c r="Y456" s="30">
        <f>IF($A456="","",COUNTIFS('Issues Log'!$C$5:$C$504,$A456,'Issues Log'!$K$5:$K$504,"Open")+COUNTIFS('Issues Log'!$C$5:$C$504,$A456,'Issues Log'!$K$5:$K$504,"In progress"))</f>
        <v/>
      </c>
      <c r="Z456" s="27" t="n"/>
    </row>
    <row r="457">
      <c r="A457" s="27" t="n"/>
      <c r="B457" s="27" t="n"/>
      <c r="C457" s="27" t="n"/>
      <c r="D457" s="28">
        <f>IF($C457="","",IFERROR(INDEX('Topic Plan'!$C$5:$C$115,MATCH($C457,'Topic Plan'!$B$5:$B$115,0)),"UNKNOWN TOPIC ID"))</f>
        <v/>
      </c>
      <c r="E457" s="28">
        <f>IF($C457="","",IFERROR(INDEX('Topic Plan'!$D$5:$D$115,MATCH($C457,'Topic Plan'!$B$5:$B$115,0)),""))</f>
        <v/>
      </c>
      <c r="F457" s="28">
        <f>IF($C457="","",IFERROR(INDEX('Topic Plan'!$E$5:$E$115,MATCH($C457,'Topic Plan'!$B$5:$B$115,0)),""))</f>
        <v/>
      </c>
      <c r="G457" s="23" t="n"/>
      <c r="H457" s="27" t="n"/>
      <c r="I457" s="27" t="n"/>
      <c r="J457" s="27" t="n"/>
      <c r="K457" s="27" t="n"/>
      <c r="L457" s="27" t="n"/>
      <c r="M457" s="27" t="n"/>
      <c r="N457" s="23" t="n"/>
      <c r="O457" s="29" t="n"/>
      <c r="P457" s="29" t="n"/>
      <c r="Q457" s="29" t="n"/>
      <c r="R457" s="29" t="n"/>
      <c r="S457" s="29" t="n"/>
      <c r="T457" s="29" t="n"/>
      <c r="U457" s="29" t="n"/>
      <c r="V457" s="30">
        <f>IF(OR($A457="",$U457=""),"",IF($S457&lt;&gt;"",MAX(0,$S457-$U457),MAX(0,TODAY()-$U457)))</f>
        <v/>
      </c>
      <c r="W457" s="30">
        <f>IF($A457="","",IF(OR($N457="Live",$N457="Retired"),"",TODAY()-MAX($O457,$P457,$Q457,$R457)))</f>
        <v/>
      </c>
      <c r="X457" s="23" t="n"/>
      <c r="Y457" s="30">
        <f>IF($A457="","",COUNTIFS('Issues Log'!$C$5:$C$504,$A457,'Issues Log'!$K$5:$K$504,"Open")+COUNTIFS('Issues Log'!$C$5:$C$504,$A457,'Issues Log'!$K$5:$K$504,"In progress"))</f>
        <v/>
      </c>
      <c r="Z457" s="27" t="n"/>
    </row>
    <row r="458">
      <c r="A458" s="27" t="n"/>
      <c r="B458" s="27" t="n"/>
      <c r="C458" s="27" t="n"/>
      <c r="D458" s="28">
        <f>IF($C458="","",IFERROR(INDEX('Topic Plan'!$C$5:$C$115,MATCH($C458,'Topic Plan'!$B$5:$B$115,0)),"UNKNOWN TOPIC ID"))</f>
        <v/>
      </c>
      <c r="E458" s="28">
        <f>IF($C458="","",IFERROR(INDEX('Topic Plan'!$D$5:$D$115,MATCH($C458,'Topic Plan'!$B$5:$B$115,0)),""))</f>
        <v/>
      </c>
      <c r="F458" s="28">
        <f>IF($C458="","",IFERROR(INDEX('Topic Plan'!$E$5:$E$115,MATCH($C458,'Topic Plan'!$B$5:$B$115,0)),""))</f>
        <v/>
      </c>
      <c r="G458" s="23" t="n"/>
      <c r="H458" s="27" t="n"/>
      <c r="I458" s="27" t="n"/>
      <c r="J458" s="27" t="n"/>
      <c r="K458" s="27" t="n"/>
      <c r="L458" s="27" t="n"/>
      <c r="M458" s="27" t="n"/>
      <c r="N458" s="23" t="n"/>
      <c r="O458" s="29" t="n"/>
      <c r="P458" s="29" t="n"/>
      <c r="Q458" s="29" t="n"/>
      <c r="R458" s="29" t="n"/>
      <c r="S458" s="29" t="n"/>
      <c r="T458" s="29" t="n"/>
      <c r="U458" s="29" t="n"/>
      <c r="V458" s="30">
        <f>IF(OR($A458="",$U458=""),"",IF($S458&lt;&gt;"",MAX(0,$S458-$U458),MAX(0,TODAY()-$U458)))</f>
        <v/>
      </c>
      <c r="W458" s="30">
        <f>IF($A458="","",IF(OR($N458="Live",$N458="Retired"),"",TODAY()-MAX($O458,$P458,$Q458,$R458)))</f>
        <v/>
      </c>
      <c r="X458" s="23" t="n"/>
      <c r="Y458" s="30">
        <f>IF($A458="","",COUNTIFS('Issues Log'!$C$5:$C$504,$A458,'Issues Log'!$K$5:$K$504,"Open")+COUNTIFS('Issues Log'!$C$5:$C$504,$A458,'Issues Log'!$K$5:$K$504,"In progress"))</f>
        <v/>
      </c>
      <c r="Z458" s="27" t="n"/>
    </row>
    <row r="459">
      <c r="A459" s="27" t="n"/>
      <c r="B459" s="27" t="n"/>
      <c r="C459" s="27" t="n"/>
      <c r="D459" s="28">
        <f>IF($C459="","",IFERROR(INDEX('Topic Plan'!$C$5:$C$115,MATCH($C459,'Topic Plan'!$B$5:$B$115,0)),"UNKNOWN TOPIC ID"))</f>
        <v/>
      </c>
      <c r="E459" s="28">
        <f>IF($C459="","",IFERROR(INDEX('Topic Plan'!$D$5:$D$115,MATCH($C459,'Topic Plan'!$B$5:$B$115,0)),""))</f>
        <v/>
      </c>
      <c r="F459" s="28">
        <f>IF($C459="","",IFERROR(INDEX('Topic Plan'!$E$5:$E$115,MATCH($C459,'Topic Plan'!$B$5:$B$115,0)),""))</f>
        <v/>
      </c>
      <c r="G459" s="23" t="n"/>
      <c r="H459" s="27" t="n"/>
      <c r="I459" s="27" t="n"/>
      <c r="J459" s="27" t="n"/>
      <c r="K459" s="27" t="n"/>
      <c r="L459" s="27" t="n"/>
      <c r="M459" s="27" t="n"/>
      <c r="N459" s="23" t="n"/>
      <c r="O459" s="29" t="n"/>
      <c r="P459" s="29" t="n"/>
      <c r="Q459" s="29" t="n"/>
      <c r="R459" s="29" t="n"/>
      <c r="S459" s="29" t="n"/>
      <c r="T459" s="29" t="n"/>
      <c r="U459" s="29" t="n"/>
      <c r="V459" s="30">
        <f>IF(OR($A459="",$U459=""),"",IF($S459&lt;&gt;"",MAX(0,$S459-$U459),MAX(0,TODAY()-$U459)))</f>
        <v/>
      </c>
      <c r="W459" s="30">
        <f>IF($A459="","",IF(OR($N459="Live",$N459="Retired"),"",TODAY()-MAX($O459,$P459,$Q459,$R459)))</f>
        <v/>
      </c>
      <c r="X459" s="23" t="n"/>
      <c r="Y459" s="30">
        <f>IF($A459="","",COUNTIFS('Issues Log'!$C$5:$C$504,$A459,'Issues Log'!$K$5:$K$504,"Open")+COUNTIFS('Issues Log'!$C$5:$C$504,$A459,'Issues Log'!$K$5:$K$504,"In progress"))</f>
        <v/>
      </c>
      <c r="Z459" s="27" t="n"/>
    </row>
    <row r="460">
      <c r="A460" s="27" t="n"/>
      <c r="B460" s="27" t="n"/>
      <c r="C460" s="27" t="n"/>
      <c r="D460" s="28">
        <f>IF($C460="","",IFERROR(INDEX('Topic Plan'!$C$5:$C$115,MATCH($C460,'Topic Plan'!$B$5:$B$115,0)),"UNKNOWN TOPIC ID"))</f>
        <v/>
      </c>
      <c r="E460" s="28">
        <f>IF($C460="","",IFERROR(INDEX('Topic Plan'!$D$5:$D$115,MATCH($C460,'Topic Plan'!$B$5:$B$115,0)),""))</f>
        <v/>
      </c>
      <c r="F460" s="28">
        <f>IF($C460="","",IFERROR(INDEX('Topic Plan'!$E$5:$E$115,MATCH($C460,'Topic Plan'!$B$5:$B$115,0)),""))</f>
        <v/>
      </c>
      <c r="G460" s="23" t="n"/>
      <c r="H460" s="27" t="n"/>
      <c r="I460" s="27" t="n"/>
      <c r="J460" s="27" t="n"/>
      <c r="K460" s="27" t="n"/>
      <c r="L460" s="27" t="n"/>
      <c r="M460" s="27" t="n"/>
      <c r="N460" s="23" t="n"/>
      <c r="O460" s="29" t="n"/>
      <c r="P460" s="29" t="n"/>
      <c r="Q460" s="29" t="n"/>
      <c r="R460" s="29" t="n"/>
      <c r="S460" s="29" t="n"/>
      <c r="T460" s="29" t="n"/>
      <c r="U460" s="29" t="n"/>
      <c r="V460" s="30">
        <f>IF(OR($A460="",$U460=""),"",IF($S460&lt;&gt;"",MAX(0,$S460-$U460),MAX(0,TODAY()-$U460)))</f>
        <v/>
      </c>
      <c r="W460" s="30">
        <f>IF($A460="","",IF(OR($N460="Live",$N460="Retired"),"",TODAY()-MAX($O460,$P460,$Q460,$R460)))</f>
        <v/>
      </c>
      <c r="X460" s="23" t="n"/>
      <c r="Y460" s="30">
        <f>IF($A460="","",COUNTIFS('Issues Log'!$C$5:$C$504,$A460,'Issues Log'!$K$5:$K$504,"Open")+COUNTIFS('Issues Log'!$C$5:$C$504,$A460,'Issues Log'!$K$5:$K$504,"In progress"))</f>
        <v/>
      </c>
      <c r="Z460" s="27" t="n"/>
    </row>
    <row r="461">
      <c r="A461" s="27" t="n"/>
      <c r="B461" s="27" t="n"/>
      <c r="C461" s="27" t="n"/>
      <c r="D461" s="28">
        <f>IF($C461="","",IFERROR(INDEX('Topic Plan'!$C$5:$C$115,MATCH($C461,'Topic Plan'!$B$5:$B$115,0)),"UNKNOWN TOPIC ID"))</f>
        <v/>
      </c>
      <c r="E461" s="28">
        <f>IF($C461="","",IFERROR(INDEX('Topic Plan'!$D$5:$D$115,MATCH($C461,'Topic Plan'!$B$5:$B$115,0)),""))</f>
        <v/>
      </c>
      <c r="F461" s="28">
        <f>IF($C461="","",IFERROR(INDEX('Topic Plan'!$E$5:$E$115,MATCH($C461,'Topic Plan'!$B$5:$B$115,0)),""))</f>
        <v/>
      </c>
      <c r="G461" s="23" t="n"/>
      <c r="H461" s="27" t="n"/>
      <c r="I461" s="27" t="n"/>
      <c r="J461" s="27" t="n"/>
      <c r="K461" s="27" t="n"/>
      <c r="L461" s="27" t="n"/>
      <c r="M461" s="27" t="n"/>
      <c r="N461" s="23" t="n"/>
      <c r="O461" s="29" t="n"/>
      <c r="P461" s="29" t="n"/>
      <c r="Q461" s="29" t="n"/>
      <c r="R461" s="29" t="n"/>
      <c r="S461" s="29" t="n"/>
      <c r="T461" s="29" t="n"/>
      <c r="U461" s="29" t="n"/>
      <c r="V461" s="30">
        <f>IF(OR($A461="",$U461=""),"",IF($S461&lt;&gt;"",MAX(0,$S461-$U461),MAX(0,TODAY()-$U461)))</f>
        <v/>
      </c>
      <c r="W461" s="30">
        <f>IF($A461="","",IF(OR($N461="Live",$N461="Retired"),"",TODAY()-MAX($O461,$P461,$Q461,$R461)))</f>
        <v/>
      </c>
      <c r="X461" s="23" t="n"/>
      <c r="Y461" s="30">
        <f>IF($A461="","",COUNTIFS('Issues Log'!$C$5:$C$504,$A461,'Issues Log'!$K$5:$K$504,"Open")+COUNTIFS('Issues Log'!$C$5:$C$504,$A461,'Issues Log'!$K$5:$K$504,"In progress"))</f>
        <v/>
      </c>
      <c r="Z461" s="27" t="n"/>
    </row>
    <row r="462">
      <c r="A462" s="27" t="n"/>
      <c r="B462" s="27" t="n"/>
      <c r="C462" s="27" t="n"/>
      <c r="D462" s="28">
        <f>IF($C462="","",IFERROR(INDEX('Topic Plan'!$C$5:$C$115,MATCH($C462,'Topic Plan'!$B$5:$B$115,0)),"UNKNOWN TOPIC ID"))</f>
        <v/>
      </c>
      <c r="E462" s="28">
        <f>IF($C462="","",IFERROR(INDEX('Topic Plan'!$D$5:$D$115,MATCH($C462,'Topic Plan'!$B$5:$B$115,0)),""))</f>
        <v/>
      </c>
      <c r="F462" s="28">
        <f>IF($C462="","",IFERROR(INDEX('Topic Plan'!$E$5:$E$115,MATCH($C462,'Topic Plan'!$B$5:$B$115,0)),""))</f>
        <v/>
      </c>
      <c r="G462" s="23" t="n"/>
      <c r="H462" s="27" t="n"/>
      <c r="I462" s="27" t="n"/>
      <c r="J462" s="27" t="n"/>
      <c r="K462" s="27" t="n"/>
      <c r="L462" s="27" t="n"/>
      <c r="M462" s="27" t="n"/>
      <c r="N462" s="23" t="n"/>
      <c r="O462" s="29" t="n"/>
      <c r="P462" s="29" t="n"/>
      <c r="Q462" s="29" t="n"/>
      <c r="R462" s="29" t="n"/>
      <c r="S462" s="29" t="n"/>
      <c r="T462" s="29" t="n"/>
      <c r="U462" s="29" t="n"/>
      <c r="V462" s="30">
        <f>IF(OR($A462="",$U462=""),"",IF($S462&lt;&gt;"",MAX(0,$S462-$U462),MAX(0,TODAY()-$U462)))</f>
        <v/>
      </c>
      <c r="W462" s="30">
        <f>IF($A462="","",IF(OR($N462="Live",$N462="Retired"),"",TODAY()-MAX($O462,$P462,$Q462,$R462)))</f>
        <v/>
      </c>
      <c r="X462" s="23" t="n"/>
      <c r="Y462" s="30">
        <f>IF($A462="","",COUNTIFS('Issues Log'!$C$5:$C$504,$A462,'Issues Log'!$K$5:$K$504,"Open")+COUNTIFS('Issues Log'!$C$5:$C$504,$A462,'Issues Log'!$K$5:$K$504,"In progress"))</f>
        <v/>
      </c>
      <c r="Z462" s="27" t="n"/>
    </row>
    <row r="463">
      <c r="A463" s="27" t="n"/>
      <c r="B463" s="27" t="n"/>
      <c r="C463" s="27" t="n"/>
      <c r="D463" s="28">
        <f>IF($C463="","",IFERROR(INDEX('Topic Plan'!$C$5:$C$115,MATCH($C463,'Topic Plan'!$B$5:$B$115,0)),"UNKNOWN TOPIC ID"))</f>
        <v/>
      </c>
      <c r="E463" s="28">
        <f>IF($C463="","",IFERROR(INDEX('Topic Plan'!$D$5:$D$115,MATCH($C463,'Topic Plan'!$B$5:$B$115,0)),""))</f>
        <v/>
      </c>
      <c r="F463" s="28">
        <f>IF($C463="","",IFERROR(INDEX('Topic Plan'!$E$5:$E$115,MATCH($C463,'Topic Plan'!$B$5:$B$115,0)),""))</f>
        <v/>
      </c>
      <c r="G463" s="23" t="n"/>
      <c r="H463" s="27" t="n"/>
      <c r="I463" s="27" t="n"/>
      <c r="J463" s="27" t="n"/>
      <c r="K463" s="27" t="n"/>
      <c r="L463" s="27" t="n"/>
      <c r="M463" s="27" t="n"/>
      <c r="N463" s="23" t="n"/>
      <c r="O463" s="29" t="n"/>
      <c r="P463" s="29" t="n"/>
      <c r="Q463" s="29" t="n"/>
      <c r="R463" s="29" t="n"/>
      <c r="S463" s="29" t="n"/>
      <c r="T463" s="29" t="n"/>
      <c r="U463" s="29" t="n"/>
      <c r="V463" s="30">
        <f>IF(OR($A463="",$U463=""),"",IF($S463&lt;&gt;"",MAX(0,$S463-$U463),MAX(0,TODAY()-$U463)))</f>
        <v/>
      </c>
      <c r="W463" s="30">
        <f>IF($A463="","",IF(OR($N463="Live",$N463="Retired"),"",TODAY()-MAX($O463,$P463,$Q463,$R463)))</f>
        <v/>
      </c>
      <c r="X463" s="23" t="n"/>
      <c r="Y463" s="30">
        <f>IF($A463="","",COUNTIFS('Issues Log'!$C$5:$C$504,$A463,'Issues Log'!$K$5:$K$504,"Open")+COUNTIFS('Issues Log'!$C$5:$C$504,$A463,'Issues Log'!$K$5:$K$504,"In progress"))</f>
        <v/>
      </c>
      <c r="Z463" s="27" t="n"/>
    </row>
    <row r="464">
      <c r="A464" s="27" t="n"/>
      <c r="B464" s="27" t="n"/>
      <c r="C464" s="27" t="n"/>
      <c r="D464" s="28">
        <f>IF($C464="","",IFERROR(INDEX('Topic Plan'!$C$5:$C$115,MATCH($C464,'Topic Plan'!$B$5:$B$115,0)),"UNKNOWN TOPIC ID"))</f>
        <v/>
      </c>
      <c r="E464" s="28">
        <f>IF($C464="","",IFERROR(INDEX('Topic Plan'!$D$5:$D$115,MATCH($C464,'Topic Plan'!$B$5:$B$115,0)),""))</f>
        <v/>
      </c>
      <c r="F464" s="28">
        <f>IF($C464="","",IFERROR(INDEX('Topic Plan'!$E$5:$E$115,MATCH($C464,'Topic Plan'!$B$5:$B$115,0)),""))</f>
        <v/>
      </c>
      <c r="G464" s="23" t="n"/>
      <c r="H464" s="27" t="n"/>
      <c r="I464" s="27" t="n"/>
      <c r="J464" s="27" t="n"/>
      <c r="K464" s="27" t="n"/>
      <c r="L464" s="27" t="n"/>
      <c r="M464" s="27" t="n"/>
      <c r="N464" s="23" t="n"/>
      <c r="O464" s="29" t="n"/>
      <c r="P464" s="29" t="n"/>
      <c r="Q464" s="29" t="n"/>
      <c r="R464" s="29" t="n"/>
      <c r="S464" s="29" t="n"/>
      <c r="T464" s="29" t="n"/>
      <c r="U464" s="29" t="n"/>
      <c r="V464" s="30">
        <f>IF(OR($A464="",$U464=""),"",IF($S464&lt;&gt;"",MAX(0,$S464-$U464),MAX(0,TODAY()-$U464)))</f>
        <v/>
      </c>
      <c r="W464" s="30">
        <f>IF($A464="","",IF(OR($N464="Live",$N464="Retired"),"",TODAY()-MAX($O464,$P464,$Q464,$R464)))</f>
        <v/>
      </c>
      <c r="X464" s="23" t="n"/>
      <c r="Y464" s="30">
        <f>IF($A464="","",COUNTIFS('Issues Log'!$C$5:$C$504,$A464,'Issues Log'!$K$5:$K$504,"Open")+COUNTIFS('Issues Log'!$C$5:$C$504,$A464,'Issues Log'!$K$5:$K$504,"In progress"))</f>
        <v/>
      </c>
      <c r="Z464" s="27" t="n"/>
    </row>
    <row r="465">
      <c r="A465" s="27" t="n"/>
      <c r="B465" s="27" t="n"/>
      <c r="C465" s="27" t="n"/>
      <c r="D465" s="28">
        <f>IF($C465="","",IFERROR(INDEX('Topic Plan'!$C$5:$C$115,MATCH($C465,'Topic Plan'!$B$5:$B$115,0)),"UNKNOWN TOPIC ID"))</f>
        <v/>
      </c>
      <c r="E465" s="28">
        <f>IF($C465="","",IFERROR(INDEX('Topic Plan'!$D$5:$D$115,MATCH($C465,'Topic Plan'!$B$5:$B$115,0)),""))</f>
        <v/>
      </c>
      <c r="F465" s="28">
        <f>IF($C465="","",IFERROR(INDEX('Topic Plan'!$E$5:$E$115,MATCH($C465,'Topic Plan'!$B$5:$B$115,0)),""))</f>
        <v/>
      </c>
      <c r="G465" s="23" t="n"/>
      <c r="H465" s="27" t="n"/>
      <c r="I465" s="27" t="n"/>
      <c r="J465" s="27" t="n"/>
      <c r="K465" s="27" t="n"/>
      <c r="L465" s="27" t="n"/>
      <c r="M465" s="27" t="n"/>
      <c r="N465" s="23" t="n"/>
      <c r="O465" s="29" t="n"/>
      <c r="P465" s="29" t="n"/>
      <c r="Q465" s="29" t="n"/>
      <c r="R465" s="29" t="n"/>
      <c r="S465" s="29" t="n"/>
      <c r="T465" s="29" t="n"/>
      <c r="U465" s="29" t="n"/>
      <c r="V465" s="30">
        <f>IF(OR($A465="",$U465=""),"",IF($S465&lt;&gt;"",MAX(0,$S465-$U465),MAX(0,TODAY()-$U465)))</f>
        <v/>
      </c>
      <c r="W465" s="30">
        <f>IF($A465="","",IF(OR($N465="Live",$N465="Retired"),"",TODAY()-MAX($O465,$P465,$Q465,$R465)))</f>
        <v/>
      </c>
      <c r="X465" s="23" t="n"/>
      <c r="Y465" s="30">
        <f>IF($A465="","",COUNTIFS('Issues Log'!$C$5:$C$504,$A465,'Issues Log'!$K$5:$K$504,"Open")+COUNTIFS('Issues Log'!$C$5:$C$504,$A465,'Issues Log'!$K$5:$K$504,"In progress"))</f>
        <v/>
      </c>
      <c r="Z465" s="27" t="n"/>
    </row>
    <row r="466">
      <c r="A466" s="27" t="n"/>
      <c r="B466" s="27" t="n"/>
      <c r="C466" s="27" t="n"/>
      <c r="D466" s="28">
        <f>IF($C466="","",IFERROR(INDEX('Topic Plan'!$C$5:$C$115,MATCH($C466,'Topic Plan'!$B$5:$B$115,0)),"UNKNOWN TOPIC ID"))</f>
        <v/>
      </c>
      <c r="E466" s="28">
        <f>IF($C466="","",IFERROR(INDEX('Topic Plan'!$D$5:$D$115,MATCH($C466,'Topic Plan'!$B$5:$B$115,0)),""))</f>
        <v/>
      </c>
      <c r="F466" s="28">
        <f>IF($C466="","",IFERROR(INDEX('Topic Plan'!$E$5:$E$115,MATCH($C466,'Topic Plan'!$B$5:$B$115,0)),""))</f>
        <v/>
      </c>
      <c r="G466" s="23" t="n"/>
      <c r="H466" s="27" t="n"/>
      <c r="I466" s="27" t="n"/>
      <c r="J466" s="27" t="n"/>
      <c r="K466" s="27" t="n"/>
      <c r="L466" s="27" t="n"/>
      <c r="M466" s="27" t="n"/>
      <c r="N466" s="23" t="n"/>
      <c r="O466" s="29" t="n"/>
      <c r="P466" s="29" t="n"/>
      <c r="Q466" s="29" t="n"/>
      <c r="R466" s="29" t="n"/>
      <c r="S466" s="29" t="n"/>
      <c r="T466" s="29" t="n"/>
      <c r="U466" s="29" t="n"/>
      <c r="V466" s="30">
        <f>IF(OR($A466="",$U466=""),"",IF($S466&lt;&gt;"",MAX(0,$S466-$U466),MAX(0,TODAY()-$U466)))</f>
        <v/>
      </c>
      <c r="W466" s="30">
        <f>IF($A466="","",IF(OR($N466="Live",$N466="Retired"),"",TODAY()-MAX($O466,$P466,$Q466,$R466)))</f>
        <v/>
      </c>
      <c r="X466" s="23" t="n"/>
      <c r="Y466" s="30">
        <f>IF($A466="","",COUNTIFS('Issues Log'!$C$5:$C$504,$A466,'Issues Log'!$K$5:$K$504,"Open")+COUNTIFS('Issues Log'!$C$5:$C$504,$A466,'Issues Log'!$K$5:$K$504,"In progress"))</f>
        <v/>
      </c>
      <c r="Z466" s="27" t="n"/>
    </row>
    <row r="467">
      <c r="A467" s="27" t="n"/>
      <c r="B467" s="27" t="n"/>
      <c r="C467" s="27" t="n"/>
      <c r="D467" s="28">
        <f>IF($C467="","",IFERROR(INDEX('Topic Plan'!$C$5:$C$115,MATCH($C467,'Topic Plan'!$B$5:$B$115,0)),"UNKNOWN TOPIC ID"))</f>
        <v/>
      </c>
      <c r="E467" s="28">
        <f>IF($C467="","",IFERROR(INDEX('Topic Plan'!$D$5:$D$115,MATCH($C467,'Topic Plan'!$B$5:$B$115,0)),""))</f>
        <v/>
      </c>
      <c r="F467" s="28">
        <f>IF($C467="","",IFERROR(INDEX('Topic Plan'!$E$5:$E$115,MATCH($C467,'Topic Plan'!$B$5:$B$115,0)),""))</f>
        <v/>
      </c>
      <c r="G467" s="23" t="n"/>
      <c r="H467" s="27" t="n"/>
      <c r="I467" s="27" t="n"/>
      <c r="J467" s="27" t="n"/>
      <c r="K467" s="27" t="n"/>
      <c r="L467" s="27" t="n"/>
      <c r="M467" s="27" t="n"/>
      <c r="N467" s="23" t="n"/>
      <c r="O467" s="29" t="n"/>
      <c r="P467" s="29" t="n"/>
      <c r="Q467" s="29" t="n"/>
      <c r="R467" s="29" t="n"/>
      <c r="S467" s="29" t="n"/>
      <c r="T467" s="29" t="n"/>
      <c r="U467" s="29" t="n"/>
      <c r="V467" s="30">
        <f>IF(OR($A467="",$U467=""),"",IF($S467&lt;&gt;"",MAX(0,$S467-$U467),MAX(0,TODAY()-$U467)))</f>
        <v/>
      </c>
      <c r="W467" s="30">
        <f>IF($A467="","",IF(OR($N467="Live",$N467="Retired"),"",TODAY()-MAX($O467,$P467,$Q467,$R467)))</f>
        <v/>
      </c>
      <c r="X467" s="23" t="n"/>
      <c r="Y467" s="30">
        <f>IF($A467="","",COUNTIFS('Issues Log'!$C$5:$C$504,$A467,'Issues Log'!$K$5:$K$504,"Open")+COUNTIFS('Issues Log'!$C$5:$C$504,$A467,'Issues Log'!$K$5:$K$504,"In progress"))</f>
        <v/>
      </c>
      <c r="Z467" s="27" t="n"/>
    </row>
    <row r="468">
      <c r="A468" s="27" t="n"/>
      <c r="B468" s="27" t="n"/>
      <c r="C468" s="27" t="n"/>
      <c r="D468" s="28">
        <f>IF($C468="","",IFERROR(INDEX('Topic Plan'!$C$5:$C$115,MATCH($C468,'Topic Plan'!$B$5:$B$115,0)),"UNKNOWN TOPIC ID"))</f>
        <v/>
      </c>
      <c r="E468" s="28">
        <f>IF($C468="","",IFERROR(INDEX('Topic Plan'!$D$5:$D$115,MATCH($C468,'Topic Plan'!$B$5:$B$115,0)),""))</f>
        <v/>
      </c>
      <c r="F468" s="28">
        <f>IF($C468="","",IFERROR(INDEX('Topic Plan'!$E$5:$E$115,MATCH($C468,'Topic Plan'!$B$5:$B$115,0)),""))</f>
        <v/>
      </c>
      <c r="G468" s="23" t="n"/>
      <c r="H468" s="27" t="n"/>
      <c r="I468" s="27" t="n"/>
      <c r="J468" s="27" t="n"/>
      <c r="K468" s="27" t="n"/>
      <c r="L468" s="27" t="n"/>
      <c r="M468" s="27" t="n"/>
      <c r="N468" s="23" t="n"/>
      <c r="O468" s="29" t="n"/>
      <c r="P468" s="29" t="n"/>
      <c r="Q468" s="29" t="n"/>
      <c r="R468" s="29" t="n"/>
      <c r="S468" s="29" t="n"/>
      <c r="T468" s="29" t="n"/>
      <c r="U468" s="29" t="n"/>
      <c r="V468" s="30">
        <f>IF(OR($A468="",$U468=""),"",IF($S468&lt;&gt;"",MAX(0,$S468-$U468),MAX(0,TODAY()-$U468)))</f>
        <v/>
      </c>
      <c r="W468" s="30">
        <f>IF($A468="","",IF(OR($N468="Live",$N468="Retired"),"",TODAY()-MAX($O468,$P468,$Q468,$R468)))</f>
        <v/>
      </c>
      <c r="X468" s="23" t="n"/>
      <c r="Y468" s="30">
        <f>IF($A468="","",COUNTIFS('Issues Log'!$C$5:$C$504,$A468,'Issues Log'!$K$5:$K$504,"Open")+COUNTIFS('Issues Log'!$C$5:$C$504,$A468,'Issues Log'!$K$5:$K$504,"In progress"))</f>
        <v/>
      </c>
      <c r="Z468" s="27" t="n"/>
    </row>
    <row r="469">
      <c r="A469" s="27" t="n"/>
      <c r="B469" s="27" t="n"/>
      <c r="C469" s="27" t="n"/>
      <c r="D469" s="28">
        <f>IF($C469="","",IFERROR(INDEX('Topic Plan'!$C$5:$C$115,MATCH($C469,'Topic Plan'!$B$5:$B$115,0)),"UNKNOWN TOPIC ID"))</f>
        <v/>
      </c>
      <c r="E469" s="28">
        <f>IF($C469="","",IFERROR(INDEX('Topic Plan'!$D$5:$D$115,MATCH($C469,'Topic Plan'!$B$5:$B$115,0)),""))</f>
        <v/>
      </c>
      <c r="F469" s="28">
        <f>IF($C469="","",IFERROR(INDEX('Topic Plan'!$E$5:$E$115,MATCH($C469,'Topic Plan'!$B$5:$B$115,0)),""))</f>
        <v/>
      </c>
      <c r="G469" s="23" t="n"/>
      <c r="H469" s="27" t="n"/>
      <c r="I469" s="27" t="n"/>
      <c r="J469" s="27" t="n"/>
      <c r="K469" s="27" t="n"/>
      <c r="L469" s="27" t="n"/>
      <c r="M469" s="27" t="n"/>
      <c r="N469" s="23" t="n"/>
      <c r="O469" s="29" t="n"/>
      <c r="P469" s="29" t="n"/>
      <c r="Q469" s="29" t="n"/>
      <c r="R469" s="29" t="n"/>
      <c r="S469" s="29" t="n"/>
      <c r="T469" s="29" t="n"/>
      <c r="U469" s="29" t="n"/>
      <c r="V469" s="30">
        <f>IF(OR($A469="",$U469=""),"",IF($S469&lt;&gt;"",MAX(0,$S469-$U469),MAX(0,TODAY()-$U469)))</f>
        <v/>
      </c>
      <c r="W469" s="30">
        <f>IF($A469="","",IF(OR($N469="Live",$N469="Retired"),"",TODAY()-MAX($O469,$P469,$Q469,$R469)))</f>
        <v/>
      </c>
      <c r="X469" s="23" t="n"/>
      <c r="Y469" s="30">
        <f>IF($A469="","",COUNTIFS('Issues Log'!$C$5:$C$504,$A469,'Issues Log'!$K$5:$K$504,"Open")+COUNTIFS('Issues Log'!$C$5:$C$504,$A469,'Issues Log'!$K$5:$K$504,"In progress"))</f>
        <v/>
      </c>
      <c r="Z469" s="27" t="n"/>
    </row>
    <row r="470">
      <c r="A470" s="27" t="n"/>
      <c r="B470" s="27" t="n"/>
      <c r="C470" s="27" t="n"/>
      <c r="D470" s="28">
        <f>IF($C470="","",IFERROR(INDEX('Topic Plan'!$C$5:$C$115,MATCH($C470,'Topic Plan'!$B$5:$B$115,0)),"UNKNOWN TOPIC ID"))</f>
        <v/>
      </c>
      <c r="E470" s="28">
        <f>IF($C470="","",IFERROR(INDEX('Topic Plan'!$D$5:$D$115,MATCH($C470,'Topic Plan'!$B$5:$B$115,0)),""))</f>
        <v/>
      </c>
      <c r="F470" s="28">
        <f>IF($C470="","",IFERROR(INDEX('Topic Plan'!$E$5:$E$115,MATCH($C470,'Topic Plan'!$B$5:$B$115,0)),""))</f>
        <v/>
      </c>
      <c r="G470" s="23" t="n"/>
      <c r="H470" s="27" t="n"/>
      <c r="I470" s="27" t="n"/>
      <c r="J470" s="27" t="n"/>
      <c r="K470" s="27" t="n"/>
      <c r="L470" s="27" t="n"/>
      <c r="M470" s="27" t="n"/>
      <c r="N470" s="23" t="n"/>
      <c r="O470" s="29" t="n"/>
      <c r="P470" s="29" t="n"/>
      <c r="Q470" s="29" t="n"/>
      <c r="R470" s="29" t="n"/>
      <c r="S470" s="29" t="n"/>
      <c r="T470" s="29" t="n"/>
      <c r="U470" s="29" t="n"/>
      <c r="V470" s="30">
        <f>IF(OR($A470="",$U470=""),"",IF($S470&lt;&gt;"",MAX(0,$S470-$U470),MAX(0,TODAY()-$U470)))</f>
        <v/>
      </c>
      <c r="W470" s="30">
        <f>IF($A470="","",IF(OR($N470="Live",$N470="Retired"),"",TODAY()-MAX($O470,$P470,$Q470,$R470)))</f>
        <v/>
      </c>
      <c r="X470" s="23" t="n"/>
      <c r="Y470" s="30">
        <f>IF($A470="","",COUNTIFS('Issues Log'!$C$5:$C$504,$A470,'Issues Log'!$K$5:$K$504,"Open")+COUNTIFS('Issues Log'!$C$5:$C$504,$A470,'Issues Log'!$K$5:$K$504,"In progress"))</f>
        <v/>
      </c>
      <c r="Z470" s="27" t="n"/>
    </row>
    <row r="471">
      <c r="A471" s="27" t="n"/>
      <c r="B471" s="27" t="n"/>
      <c r="C471" s="27" t="n"/>
      <c r="D471" s="28">
        <f>IF($C471="","",IFERROR(INDEX('Topic Plan'!$C$5:$C$115,MATCH($C471,'Topic Plan'!$B$5:$B$115,0)),"UNKNOWN TOPIC ID"))</f>
        <v/>
      </c>
      <c r="E471" s="28">
        <f>IF($C471="","",IFERROR(INDEX('Topic Plan'!$D$5:$D$115,MATCH($C471,'Topic Plan'!$B$5:$B$115,0)),""))</f>
        <v/>
      </c>
      <c r="F471" s="28">
        <f>IF($C471="","",IFERROR(INDEX('Topic Plan'!$E$5:$E$115,MATCH($C471,'Topic Plan'!$B$5:$B$115,0)),""))</f>
        <v/>
      </c>
      <c r="G471" s="23" t="n"/>
      <c r="H471" s="27" t="n"/>
      <c r="I471" s="27" t="n"/>
      <c r="J471" s="27" t="n"/>
      <c r="K471" s="27" t="n"/>
      <c r="L471" s="27" t="n"/>
      <c r="M471" s="27" t="n"/>
      <c r="N471" s="23" t="n"/>
      <c r="O471" s="29" t="n"/>
      <c r="P471" s="29" t="n"/>
      <c r="Q471" s="29" t="n"/>
      <c r="R471" s="29" t="n"/>
      <c r="S471" s="29" t="n"/>
      <c r="T471" s="29" t="n"/>
      <c r="U471" s="29" t="n"/>
      <c r="V471" s="30">
        <f>IF(OR($A471="",$U471=""),"",IF($S471&lt;&gt;"",MAX(0,$S471-$U471),MAX(0,TODAY()-$U471)))</f>
        <v/>
      </c>
      <c r="W471" s="30">
        <f>IF($A471="","",IF(OR($N471="Live",$N471="Retired"),"",TODAY()-MAX($O471,$P471,$Q471,$R471)))</f>
        <v/>
      </c>
      <c r="X471" s="23" t="n"/>
      <c r="Y471" s="30">
        <f>IF($A471="","",COUNTIFS('Issues Log'!$C$5:$C$504,$A471,'Issues Log'!$K$5:$K$504,"Open")+COUNTIFS('Issues Log'!$C$5:$C$504,$A471,'Issues Log'!$K$5:$K$504,"In progress"))</f>
        <v/>
      </c>
      <c r="Z471" s="27" t="n"/>
    </row>
    <row r="472">
      <c r="A472" s="27" t="n"/>
      <c r="B472" s="27" t="n"/>
      <c r="C472" s="27" t="n"/>
      <c r="D472" s="28">
        <f>IF($C472="","",IFERROR(INDEX('Topic Plan'!$C$5:$C$115,MATCH($C472,'Topic Plan'!$B$5:$B$115,0)),"UNKNOWN TOPIC ID"))</f>
        <v/>
      </c>
      <c r="E472" s="28">
        <f>IF($C472="","",IFERROR(INDEX('Topic Plan'!$D$5:$D$115,MATCH($C472,'Topic Plan'!$B$5:$B$115,0)),""))</f>
        <v/>
      </c>
      <c r="F472" s="28">
        <f>IF($C472="","",IFERROR(INDEX('Topic Plan'!$E$5:$E$115,MATCH($C472,'Topic Plan'!$B$5:$B$115,0)),""))</f>
        <v/>
      </c>
      <c r="G472" s="23" t="n"/>
      <c r="H472" s="27" t="n"/>
      <c r="I472" s="27" t="n"/>
      <c r="J472" s="27" t="n"/>
      <c r="K472" s="27" t="n"/>
      <c r="L472" s="27" t="n"/>
      <c r="M472" s="27" t="n"/>
      <c r="N472" s="23" t="n"/>
      <c r="O472" s="29" t="n"/>
      <c r="P472" s="29" t="n"/>
      <c r="Q472" s="29" t="n"/>
      <c r="R472" s="29" t="n"/>
      <c r="S472" s="29" t="n"/>
      <c r="T472" s="29" t="n"/>
      <c r="U472" s="29" t="n"/>
      <c r="V472" s="30">
        <f>IF(OR($A472="",$U472=""),"",IF($S472&lt;&gt;"",MAX(0,$S472-$U472),MAX(0,TODAY()-$U472)))</f>
        <v/>
      </c>
      <c r="W472" s="30">
        <f>IF($A472="","",IF(OR($N472="Live",$N472="Retired"),"",TODAY()-MAX($O472,$P472,$Q472,$R472)))</f>
        <v/>
      </c>
      <c r="X472" s="23" t="n"/>
      <c r="Y472" s="30">
        <f>IF($A472="","",COUNTIFS('Issues Log'!$C$5:$C$504,$A472,'Issues Log'!$K$5:$K$504,"Open")+COUNTIFS('Issues Log'!$C$5:$C$504,$A472,'Issues Log'!$K$5:$K$504,"In progress"))</f>
        <v/>
      </c>
      <c r="Z472" s="27" t="n"/>
    </row>
    <row r="473">
      <c r="A473" s="27" t="n"/>
      <c r="B473" s="27" t="n"/>
      <c r="C473" s="27" t="n"/>
      <c r="D473" s="28">
        <f>IF($C473="","",IFERROR(INDEX('Topic Plan'!$C$5:$C$115,MATCH($C473,'Topic Plan'!$B$5:$B$115,0)),"UNKNOWN TOPIC ID"))</f>
        <v/>
      </c>
      <c r="E473" s="28">
        <f>IF($C473="","",IFERROR(INDEX('Topic Plan'!$D$5:$D$115,MATCH($C473,'Topic Plan'!$B$5:$B$115,0)),""))</f>
        <v/>
      </c>
      <c r="F473" s="28">
        <f>IF($C473="","",IFERROR(INDEX('Topic Plan'!$E$5:$E$115,MATCH($C473,'Topic Plan'!$B$5:$B$115,0)),""))</f>
        <v/>
      </c>
      <c r="G473" s="23" t="n"/>
      <c r="H473" s="27" t="n"/>
      <c r="I473" s="27" t="n"/>
      <c r="J473" s="27" t="n"/>
      <c r="K473" s="27" t="n"/>
      <c r="L473" s="27" t="n"/>
      <c r="M473" s="27" t="n"/>
      <c r="N473" s="23" t="n"/>
      <c r="O473" s="29" t="n"/>
      <c r="P473" s="29" t="n"/>
      <c r="Q473" s="29" t="n"/>
      <c r="R473" s="29" t="n"/>
      <c r="S473" s="29" t="n"/>
      <c r="T473" s="29" t="n"/>
      <c r="U473" s="29" t="n"/>
      <c r="V473" s="30">
        <f>IF(OR($A473="",$U473=""),"",IF($S473&lt;&gt;"",MAX(0,$S473-$U473),MAX(0,TODAY()-$U473)))</f>
        <v/>
      </c>
      <c r="W473" s="30">
        <f>IF($A473="","",IF(OR($N473="Live",$N473="Retired"),"",TODAY()-MAX($O473,$P473,$Q473,$R473)))</f>
        <v/>
      </c>
      <c r="X473" s="23" t="n"/>
      <c r="Y473" s="30">
        <f>IF($A473="","",COUNTIFS('Issues Log'!$C$5:$C$504,$A473,'Issues Log'!$K$5:$K$504,"Open")+COUNTIFS('Issues Log'!$C$5:$C$504,$A473,'Issues Log'!$K$5:$K$504,"In progress"))</f>
        <v/>
      </c>
      <c r="Z473" s="27" t="n"/>
    </row>
    <row r="474">
      <c r="A474" s="27" t="n"/>
      <c r="B474" s="27" t="n"/>
      <c r="C474" s="27" t="n"/>
      <c r="D474" s="28">
        <f>IF($C474="","",IFERROR(INDEX('Topic Plan'!$C$5:$C$115,MATCH($C474,'Topic Plan'!$B$5:$B$115,0)),"UNKNOWN TOPIC ID"))</f>
        <v/>
      </c>
      <c r="E474" s="28">
        <f>IF($C474="","",IFERROR(INDEX('Topic Plan'!$D$5:$D$115,MATCH($C474,'Topic Plan'!$B$5:$B$115,0)),""))</f>
        <v/>
      </c>
      <c r="F474" s="28">
        <f>IF($C474="","",IFERROR(INDEX('Topic Plan'!$E$5:$E$115,MATCH($C474,'Topic Plan'!$B$5:$B$115,0)),""))</f>
        <v/>
      </c>
      <c r="G474" s="23" t="n"/>
      <c r="H474" s="27" t="n"/>
      <c r="I474" s="27" t="n"/>
      <c r="J474" s="27" t="n"/>
      <c r="K474" s="27" t="n"/>
      <c r="L474" s="27" t="n"/>
      <c r="M474" s="27" t="n"/>
      <c r="N474" s="23" t="n"/>
      <c r="O474" s="29" t="n"/>
      <c r="P474" s="29" t="n"/>
      <c r="Q474" s="29" t="n"/>
      <c r="R474" s="29" t="n"/>
      <c r="S474" s="29" t="n"/>
      <c r="T474" s="29" t="n"/>
      <c r="U474" s="29" t="n"/>
      <c r="V474" s="30">
        <f>IF(OR($A474="",$U474=""),"",IF($S474&lt;&gt;"",MAX(0,$S474-$U474),MAX(0,TODAY()-$U474)))</f>
        <v/>
      </c>
      <c r="W474" s="30">
        <f>IF($A474="","",IF(OR($N474="Live",$N474="Retired"),"",TODAY()-MAX($O474,$P474,$Q474,$R474)))</f>
        <v/>
      </c>
      <c r="X474" s="23" t="n"/>
      <c r="Y474" s="30">
        <f>IF($A474="","",COUNTIFS('Issues Log'!$C$5:$C$504,$A474,'Issues Log'!$K$5:$K$504,"Open")+COUNTIFS('Issues Log'!$C$5:$C$504,$A474,'Issues Log'!$K$5:$K$504,"In progress"))</f>
        <v/>
      </c>
      <c r="Z474" s="27" t="n"/>
    </row>
    <row r="475">
      <c r="A475" s="27" t="n"/>
      <c r="B475" s="27" t="n"/>
      <c r="C475" s="27" t="n"/>
      <c r="D475" s="28">
        <f>IF($C475="","",IFERROR(INDEX('Topic Plan'!$C$5:$C$115,MATCH($C475,'Topic Plan'!$B$5:$B$115,0)),"UNKNOWN TOPIC ID"))</f>
        <v/>
      </c>
      <c r="E475" s="28">
        <f>IF($C475="","",IFERROR(INDEX('Topic Plan'!$D$5:$D$115,MATCH($C475,'Topic Plan'!$B$5:$B$115,0)),""))</f>
        <v/>
      </c>
      <c r="F475" s="28">
        <f>IF($C475="","",IFERROR(INDEX('Topic Plan'!$E$5:$E$115,MATCH($C475,'Topic Plan'!$B$5:$B$115,0)),""))</f>
        <v/>
      </c>
      <c r="G475" s="23" t="n"/>
      <c r="H475" s="27" t="n"/>
      <c r="I475" s="27" t="n"/>
      <c r="J475" s="27" t="n"/>
      <c r="K475" s="27" t="n"/>
      <c r="L475" s="27" t="n"/>
      <c r="M475" s="27" t="n"/>
      <c r="N475" s="23" t="n"/>
      <c r="O475" s="29" t="n"/>
      <c r="P475" s="29" t="n"/>
      <c r="Q475" s="29" t="n"/>
      <c r="R475" s="29" t="n"/>
      <c r="S475" s="29" t="n"/>
      <c r="T475" s="29" t="n"/>
      <c r="U475" s="29" t="n"/>
      <c r="V475" s="30">
        <f>IF(OR($A475="",$U475=""),"",IF($S475&lt;&gt;"",MAX(0,$S475-$U475),MAX(0,TODAY()-$U475)))</f>
        <v/>
      </c>
      <c r="W475" s="30">
        <f>IF($A475="","",IF(OR($N475="Live",$N475="Retired"),"",TODAY()-MAX($O475,$P475,$Q475,$R475)))</f>
        <v/>
      </c>
      <c r="X475" s="23" t="n"/>
      <c r="Y475" s="30">
        <f>IF($A475="","",COUNTIFS('Issues Log'!$C$5:$C$504,$A475,'Issues Log'!$K$5:$K$504,"Open")+COUNTIFS('Issues Log'!$C$5:$C$504,$A475,'Issues Log'!$K$5:$K$504,"In progress"))</f>
        <v/>
      </c>
      <c r="Z475" s="27" t="n"/>
    </row>
    <row r="476">
      <c r="A476" s="27" t="n"/>
      <c r="B476" s="27" t="n"/>
      <c r="C476" s="27" t="n"/>
      <c r="D476" s="28">
        <f>IF($C476="","",IFERROR(INDEX('Topic Plan'!$C$5:$C$115,MATCH($C476,'Topic Plan'!$B$5:$B$115,0)),"UNKNOWN TOPIC ID"))</f>
        <v/>
      </c>
      <c r="E476" s="28">
        <f>IF($C476="","",IFERROR(INDEX('Topic Plan'!$D$5:$D$115,MATCH($C476,'Topic Plan'!$B$5:$B$115,0)),""))</f>
        <v/>
      </c>
      <c r="F476" s="28">
        <f>IF($C476="","",IFERROR(INDEX('Topic Plan'!$E$5:$E$115,MATCH($C476,'Topic Plan'!$B$5:$B$115,0)),""))</f>
        <v/>
      </c>
      <c r="G476" s="23" t="n"/>
      <c r="H476" s="27" t="n"/>
      <c r="I476" s="27" t="n"/>
      <c r="J476" s="27" t="n"/>
      <c r="K476" s="27" t="n"/>
      <c r="L476" s="27" t="n"/>
      <c r="M476" s="27" t="n"/>
      <c r="N476" s="23" t="n"/>
      <c r="O476" s="29" t="n"/>
      <c r="P476" s="29" t="n"/>
      <c r="Q476" s="29" t="n"/>
      <c r="R476" s="29" t="n"/>
      <c r="S476" s="29" t="n"/>
      <c r="T476" s="29" t="n"/>
      <c r="U476" s="29" t="n"/>
      <c r="V476" s="30">
        <f>IF(OR($A476="",$U476=""),"",IF($S476&lt;&gt;"",MAX(0,$S476-$U476),MAX(0,TODAY()-$U476)))</f>
        <v/>
      </c>
      <c r="W476" s="30">
        <f>IF($A476="","",IF(OR($N476="Live",$N476="Retired"),"",TODAY()-MAX($O476,$P476,$Q476,$R476)))</f>
        <v/>
      </c>
      <c r="X476" s="23" t="n"/>
      <c r="Y476" s="30">
        <f>IF($A476="","",COUNTIFS('Issues Log'!$C$5:$C$504,$A476,'Issues Log'!$K$5:$K$504,"Open")+COUNTIFS('Issues Log'!$C$5:$C$504,$A476,'Issues Log'!$K$5:$K$504,"In progress"))</f>
        <v/>
      </c>
      <c r="Z476" s="27" t="n"/>
    </row>
    <row r="477">
      <c r="A477" s="27" t="n"/>
      <c r="B477" s="27" t="n"/>
      <c r="C477" s="27" t="n"/>
      <c r="D477" s="28">
        <f>IF($C477="","",IFERROR(INDEX('Topic Plan'!$C$5:$C$115,MATCH($C477,'Topic Plan'!$B$5:$B$115,0)),"UNKNOWN TOPIC ID"))</f>
        <v/>
      </c>
      <c r="E477" s="28">
        <f>IF($C477="","",IFERROR(INDEX('Topic Plan'!$D$5:$D$115,MATCH($C477,'Topic Plan'!$B$5:$B$115,0)),""))</f>
        <v/>
      </c>
      <c r="F477" s="28">
        <f>IF($C477="","",IFERROR(INDEX('Topic Plan'!$E$5:$E$115,MATCH($C477,'Topic Plan'!$B$5:$B$115,0)),""))</f>
        <v/>
      </c>
      <c r="G477" s="23" t="n"/>
      <c r="H477" s="27" t="n"/>
      <c r="I477" s="27" t="n"/>
      <c r="J477" s="27" t="n"/>
      <c r="K477" s="27" t="n"/>
      <c r="L477" s="27" t="n"/>
      <c r="M477" s="27" t="n"/>
      <c r="N477" s="23" t="n"/>
      <c r="O477" s="29" t="n"/>
      <c r="P477" s="29" t="n"/>
      <c r="Q477" s="29" t="n"/>
      <c r="R477" s="29" t="n"/>
      <c r="S477" s="29" t="n"/>
      <c r="T477" s="29" t="n"/>
      <c r="U477" s="29" t="n"/>
      <c r="V477" s="30">
        <f>IF(OR($A477="",$U477=""),"",IF($S477&lt;&gt;"",MAX(0,$S477-$U477),MAX(0,TODAY()-$U477)))</f>
        <v/>
      </c>
      <c r="W477" s="30">
        <f>IF($A477="","",IF(OR($N477="Live",$N477="Retired"),"",TODAY()-MAX($O477,$P477,$Q477,$R477)))</f>
        <v/>
      </c>
      <c r="X477" s="23" t="n"/>
      <c r="Y477" s="30">
        <f>IF($A477="","",COUNTIFS('Issues Log'!$C$5:$C$504,$A477,'Issues Log'!$K$5:$K$504,"Open")+COUNTIFS('Issues Log'!$C$5:$C$504,$A477,'Issues Log'!$K$5:$K$504,"In progress"))</f>
        <v/>
      </c>
      <c r="Z477" s="27" t="n"/>
    </row>
    <row r="478">
      <c r="A478" s="27" t="n"/>
      <c r="B478" s="27" t="n"/>
      <c r="C478" s="27" t="n"/>
      <c r="D478" s="28">
        <f>IF($C478="","",IFERROR(INDEX('Topic Plan'!$C$5:$C$115,MATCH($C478,'Topic Plan'!$B$5:$B$115,0)),"UNKNOWN TOPIC ID"))</f>
        <v/>
      </c>
      <c r="E478" s="28">
        <f>IF($C478="","",IFERROR(INDEX('Topic Plan'!$D$5:$D$115,MATCH($C478,'Topic Plan'!$B$5:$B$115,0)),""))</f>
        <v/>
      </c>
      <c r="F478" s="28">
        <f>IF($C478="","",IFERROR(INDEX('Topic Plan'!$E$5:$E$115,MATCH($C478,'Topic Plan'!$B$5:$B$115,0)),""))</f>
        <v/>
      </c>
      <c r="G478" s="23" t="n"/>
      <c r="H478" s="27" t="n"/>
      <c r="I478" s="27" t="n"/>
      <c r="J478" s="27" t="n"/>
      <c r="K478" s="27" t="n"/>
      <c r="L478" s="27" t="n"/>
      <c r="M478" s="27" t="n"/>
      <c r="N478" s="23" t="n"/>
      <c r="O478" s="29" t="n"/>
      <c r="P478" s="29" t="n"/>
      <c r="Q478" s="29" t="n"/>
      <c r="R478" s="29" t="n"/>
      <c r="S478" s="29" t="n"/>
      <c r="T478" s="29" t="n"/>
      <c r="U478" s="29" t="n"/>
      <c r="V478" s="30">
        <f>IF(OR($A478="",$U478=""),"",IF($S478&lt;&gt;"",MAX(0,$S478-$U478),MAX(0,TODAY()-$U478)))</f>
        <v/>
      </c>
      <c r="W478" s="30">
        <f>IF($A478="","",IF(OR($N478="Live",$N478="Retired"),"",TODAY()-MAX($O478,$P478,$Q478,$R478)))</f>
        <v/>
      </c>
      <c r="X478" s="23" t="n"/>
      <c r="Y478" s="30">
        <f>IF($A478="","",COUNTIFS('Issues Log'!$C$5:$C$504,$A478,'Issues Log'!$K$5:$K$504,"Open")+COUNTIFS('Issues Log'!$C$5:$C$504,$A478,'Issues Log'!$K$5:$K$504,"In progress"))</f>
        <v/>
      </c>
      <c r="Z478" s="27" t="n"/>
    </row>
    <row r="479">
      <c r="A479" s="27" t="n"/>
      <c r="B479" s="27" t="n"/>
      <c r="C479" s="27" t="n"/>
      <c r="D479" s="28">
        <f>IF($C479="","",IFERROR(INDEX('Topic Plan'!$C$5:$C$115,MATCH($C479,'Topic Plan'!$B$5:$B$115,0)),"UNKNOWN TOPIC ID"))</f>
        <v/>
      </c>
      <c r="E479" s="28">
        <f>IF($C479="","",IFERROR(INDEX('Topic Plan'!$D$5:$D$115,MATCH($C479,'Topic Plan'!$B$5:$B$115,0)),""))</f>
        <v/>
      </c>
      <c r="F479" s="28">
        <f>IF($C479="","",IFERROR(INDEX('Topic Plan'!$E$5:$E$115,MATCH($C479,'Topic Plan'!$B$5:$B$115,0)),""))</f>
        <v/>
      </c>
      <c r="G479" s="23" t="n"/>
      <c r="H479" s="27" t="n"/>
      <c r="I479" s="27" t="n"/>
      <c r="J479" s="27" t="n"/>
      <c r="K479" s="27" t="n"/>
      <c r="L479" s="27" t="n"/>
      <c r="M479" s="27" t="n"/>
      <c r="N479" s="23" t="n"/>
      <c r="O479" s="29" t="n"/>
      <c r="P479" s="29" t="n"/>
      <c r="Q479" s="29" t="n"/>
      <c r="R479" s="29" t="n"/>
      <c r="S479" s="29" t="n"/>
      <c r="T479" s="29" t="n"/>
      <c r="U479" s="29" t="n"/>
      <c r="V479" s="30">
        <f>IF(OR($A479="",$U479=""),"",IF($S479&lt;&gt;"",MAX(0,$S479-$U479),MAX(0,TODAY()-$U479)))</f>
        <v/>
      </c>
      <c r="W479" s="30">
        <f>IF($A479="","",IF(OR($N479="Live",$N479="Retired"),"",TODAY()-MAX($O479,$P479,$Q479,$R479)))</f>
        <v/>
      </c>
      <c r="X479" s="23" t="n"/>
      <c r="Y479" s="30">
        <f>IF($A479="","",COUNTIFS('Issues Log'!$C$5:$C$504,$A479,'Issues Log'!$K$5:$K$504,"Open")+COUNTIFS('Issues Log'!$C$5:$C$504,$A479,'Issues Log'!$K$5:$K$504,"In progress"))</f>
        <v/>
      </c>
      <c r="Z479" s="27" t="n"/>
    </row>
    <row r="480">
      <c r="A480" s="27" t="n"/>
      <c r="B480" s="27" t="n"/>
      <c r="C480" s="27" t="n"/>
      <c r="D480" s="28">
        <f>IF($C480="","",IFERROR(INDEX('Topic Plan'!$C$5:$C$115,MATCH($C480,'Topic Plan'!$B$5:$B$115,0)),"UNKNOWN TOPIC ID"))</f>
        <v/>
      </c>
      <c r="E480" s="28">
        <f>IF($C480="","",IFERROR(INDEX('Topic Plan'!$D$5:$D$115,MATCH($C480,'Topic Plan'!$B$5:$B$115,0)),""))</f>
        <v/>
      </c>
      <c r="F480" s="28">
        <f>IF($C480="","",IFERROR(INDEX('Topic Plan'!$E$5:$E$115,MATCH($C480,'Topic Plan'!$B$5:$B$115,0)),""))</f>
        <v/>
      </c>
      <c r="G480" s="23" t="n"/>
      <c r="H480" s="27" t="n"/>
      <c r="I480" s="27" t="n"/>
      <c r="J480" s="27" t="n"/>
      <c r="K480" s="27" t="n"/>
      <c r="L480" s="27" t="n"/>
      <c r="M480" s="27" t="n"/>
      <c r="N480" s="23" t="n"/>
      <c r="O480" s="29" t="n"/>
      <c r="P480" s="29" t="n"/>
      <c r="Q480" s="29" t="n"/>
      <c r="R480" s="29" t="n"/>
      <c r="S480" s="29" t="n"/>
      <c r="T480" s="29" t="n"/>
      <c r="U480" s="29" t="n"/>
      <c r="V480" s="30">
        <f>IF(OR($A480="",$U480=""),"",IF($S480&lt;&gt;"",MAX(0,$S480-$U480),MAX(0,TODAY()-$U480)))</f>
        <v/>
      </c>
      <c r="W480" s="30">
        <f>IF($A480="","",IF(OR($N480="Live",$N480="Retired"),"",TODAY()-MAX($O480,$P480,$Q480,$R480)))</f>
        <v/>
      </c>
      <c r="X480" s="23" t="n"/>
      <c r="Y480" s="30">
        <f>IF($A480="","",COUNTIFS('Issues Log'!$C$5:$C$504,$A480,'Issues Log'!$K$5:$K$504,"Open")+COUNTIFS('Issues Log'!$C$5:$C$504,$A480,'Issues Log'!$K$5:$K$504,"In progress"))</f>
        <v/>
      </c>
      <c r="Z480" s="27" t="n"/>
    </row>
    <row r="481">
      <c r="A481" s="27" t="n"/>
      <c r="B481" s="27" t="n"/>
      <c r="C481" s="27" t="n"/>
      <c r="D481" s="28">
        <f>IF($C481="","",IFERROR(INDEX('Topic Plan'!$C$5:$C$115,MATCH($C481,'Topic Plan'!$B$5:$B$115,0)),"UNKNOWN TOPIC ID"))</f>
        <v/>
      </c>
      <c r="E481" s="28">
        <f>IF($C481="","",IFERROR(INDEX('Topic Plan'!$D$5:$D$115,MATCH($C481,'Topic Plan'!$B$5:$B$115,0)),""))</f>
        <v/>
      </c>
      <c r="F481" s="28">
        <f>IF($C481="","",IFERROR(INDEX('Topic Plan'!$E$5:$E$115,MATCH($C481,'Topic Plan'!$B$5:$B$115,0)),""))</f>
        <v/>
      </c>
      <c r="G481" s="23" t="n"/>
      <c r="H481" s="27" t="n"/>
      <c r="I481" s="27" t="n"/>
      <c r="J481" s="27" t="n"/>
      <c r="K481" s="27" t="n"/>
      <c r="L481" s="27" t="n"/>
      <c r="M481" s="27" t="n"/>
      <c r="N481" s="23" t="n"/>
      <c r="O481" s="29" t="n"/>
      <c r="P481" s="29" t="n"/>
      <c r="Q481" s="29" t="n"/>
      <c r="R481" s="29" t="n"/>
      <c r="S481" s="29" t="n"/>
      <c r="T481" s="29" t="n"/>
      <c r="U481" s="29" t="n"/>
      <c r="V481" s="30">
        <f>IF(OR($A481="",$U481=""),"",IF($S481&lt;&gt;"",MAX(0,$S481-$U481),MAX(0,TODAY()-$U481)))</f>
        <v/>
      </c>
      <c r="W481" s="30">
        <f>IF($A481="","",IF(OR($N481="Live",$N481="Retired"),"",TODAY()-MAX($O481,$P481,$Q481,$R481)))</f>
        <v/>
      </c>
      <c r="X481" s="23" t="n"/>
      <c r="Y481" s="30">
        <f>IF($A481="","",COUNTIFS('Issues Log'!$C$5:$C$504,$A481,'Issues Log'!$K$5:$K$504,"Open")+COUNTIFS('Issues Log'!$C$5:$C$504,$A481,'Issues Log'!$K$5:$K$504,"In progress"))</f>
        <v/>
      </c>
      <c r="Z481" s="27" t="n"/>
    </row>
    <row r="482">
      <c r="A482" s="27" t="n"/>
      <c r="B482" s="27" t="n"/>
      <c r="C482" s="27" t="n"/>
      <c r="D482" s="28">
        <f>IF($C482="","",IFERROR(INDEX('Topic Plan'!$C$5:$C$115,MATCH($C482,'Topic Plan'!$B$5:$B$115,0)),"UNKNOWN TOPIC ID"))</f>
        <v/>
      </c>
      <c r="E482" s="28">
        <f>IF($C482="","",IFERROR(INDEX('Topic Plan'!$D$5:$D$115,MATCH($C482,'Topic Plan'!$B$5:$B$115,0)),""))</f>
        <v/>
      </c>
      <c r="F482" s="28">
        <f>IF($C482="","",IFERROR(INDEX('Topic Plan'!$E$5:$E$115,MATCH($C482,'Topic Plan'!$B$5:$B$115,0)),""))</f>
        <v/>
      </c>
      <c r="G482" s="23" t="n"/>
      <c r="H482" s="27" t="n"/>
      <c r="I482" s="27" t="n"/>
      <c r="J482" s="27" t="n"/>
      <c r="K482" s="27" t="n"/>
      <c r="L482" s="27" t="n"/>
      <c r="M482" s="27" t="n"/>
      <c r="N482" s="23" t="n"/>
      <c r="O482" s="29" t="n"/>
      <c r="P482" s="29" t="n"/>
      <c r="Q482" s="29" t="n"/>
      <c r="R482" s="29" t="n"/>
      <c r="S482" s="29" t="n"/>
      <c r="T482" s="29" t="n"/>
      <c r="U482" s="29" t="n"/>
      <c r="V482" s="30">
        <f>IF(OR($A482="",$U482=""),"",IF($S482&lt;&gt;"",MAX(0,$S482-$U482),MAX(0,TODAY()-$U482)))</f>
        <v/>
      </c>
      <c r="W482" s="30">
        <f>IF($A482="","",IF(OR($N482="Live",$N482="Retired"),"",TODAY()-MAX($O482,$P482,$Q482,$R482)))</f>
        <v/>
      </c>
      <c r="X482" s="23" t="n"/>
      <c r="Y482" s="30">
        <f>IF($A482="","",COUNTIFS('Issues Log'!$C$5:$C$504,$A482,'Issues Log'!$K$5:$K$504,"Open")+COUNTIFS('Issues Log'!$C$5:$C$504,$A482,'Issues Log'!$K$5:$K$504,"In progress"))</f>
        <v/>
      </c>
      <c r="Z482" s="27" t="n"/>
    </row>
    <row r="483">
      <c r="A483" s="27" t="n"/>
      <c r="B483" s="27" t="n"/>
      <c r="C483" s="27" t="n"/>
      <c r="D483" s="28">
        <f>IF($C483="","",IFERROR(INDEX('Topic Plan'!$C$5:$C$115,MATCH($C483,'Topic Plan'!$B$5:$B$115,0)),"UNKNOWN TOPIC ID"))</f>
        <v/>
      </c>
      <c r="E483" s="28">
        <f>IF($C483="","",IFERROR(INDEX('Topic Plan'!$D$5:$D$115,MATCH($C483,'Topic Plan'!$B$5:$B$115,0)),""))</f>
        <v/>
      </c>
      <c r="F483" s="28">
        <f>IF($C483="","",IFERROR(INDEX('Topic Plan'!$E$5:$E$115,MATCH($C483,'Topic Plan'!$B$5:$B$115,0)),""))</f>
        <v/>
      </c>
      <c r="G483" s="23" t="n"/>
      <c r="H483" s="27" t="n"/>
      <c r="I483" s="27" t="n"/>
      <c r="J483" s="27" t="n"/>
      <c r="K483" s="27" t="n"/>
      <c r="L483" s="27" t="n"/>
      <c r="M483" s="27" t="n"/>
      <c r="N483" s="23" t="n"/>
      <c r="O483" s="29" t="n"/>
      <c r="P483" s="29" t="n"/>
      <c r="Q483" s="29" t="n"/>
      <c r="R483" s="29" t="n"/>
      <c r="S483" s="29" t="n"/>
      <c r="T483" s="29" t="n"/>
      <c r="U483" s="29" t="n"/>
      <c r="V483" s="30">
        <f>IF(OR($A483="",$U483=""),"",IF($S483&lt;&gt;"",MAX(0,$S483-$U483),MAX(0,TODAY()-$U483)))</f>
        <v/>
      </c>
      <c r="W483" s="30">
        <f>IF($A483="","",IF(OR($N483="Live",$N483="Retired"),"",TODAY()-MAX($O483,$P483,$Q483,$R483)))</f>
        <v/>
      </c>
      <c r="X483" s="23" t="n"/>
      <c r="Y483" s="30">
        <f>IF($A483="","",COUNTIFS('Issues Log'!$C$5:$C$504,$A483,'Issues Log'!$K$5:$K$504,"Open")+COUNTIFS('Issues Log'!$C$5:$C$504,$A483,'Issues Log'!$K$5:$K$504,"In progress"))</f>
        <v/>
      </c>
      <c r="Z483" s="27" t="n"/>
    </row>
    <row r="484">
      <c r="A484" s="27" t="n"/>
      <c r="B484" s="27" t="n"/>
      <c r="C484" s="27" t="n"/>
      <c r="D484" s="28">
        <f>IF($C484="","",IFERROR(INDEX('Topic Plan'!$C$5:$C$115,MATCH($C484,'Topic Plan'!$B$5:$B$115,0)),"UNKNOWN TOPIC ID"))</f>
        <v/>
      </c>
      <c r="E484" s="28">
        <f>IF($C484="","",IFERROR(INDEX('Topic Plan'!$D$5:$D$115,MATCH($C484,'Topic Plan'!$B$5:$B$115,0)),""))</f>
        <v/>
      </c>
      <c r="F484" s="28">
        <f>IF($C484="","",IFERROR(INDEX('Topic Plan'!$E$5:$E$115,MATCH($C484,'Topic Plan'!$B$5:$B$115,0)),""))</f>
        <v/>
      </c>
      <c r="G484" s="23" t="n"/>
      <c r="H484" s="27" t="n"/>
      <c r="I484" s="27" t="n"/>
      <c r="J484" s="27" t="n"/>
      <c r="K484" s="27" t="n"/>
      <c r="L484" s="27" t="n"/>
      <c r="M484" s="27" t="n"/>
      <c r="N484" s="23" t="n"/>
      <c r="O484" s="29" t="n"/>
      <c r="P484" s="29" t="n"/>
      <c r="Q484" s="29" t="n"/>
      <c r="R484" s="29" t="n"/>
      <c r="S484" s="29" t="n"/>
      <c r="T484" s="29" t="n"/>
      <c r="U484" s="29" t="n"/>
      <c r="V484" s="30">
        <f>IF(OR($A484="",$U484=""),"",IF($S484&lt;&gt;"",MAX(0,$S484-$U484),MAX(0,TODAY()-$U484)))</f>
        <v/>
      </c>
      <c r="W484" s="30">
        <f>IF($A484="","",IF(OR($N484="Live",$N484="Retired"),"",TODAY()-MAX($O484,$P484,$Q484,$R484)))</f>
        <v/>
      </c>
      <c r="X484" s="23" t="n"/>
      <c r="Y484" s="30">
        <f>IF($A484="","",COUNTIFS('Issues Log'!$C$5:$C$504,$A484,'Issues Log'!$K$5:$K$504,"Open")+COUNTIFS('Issues Log'!$C$5:$C$504,$A484,'Issues Log'!$K$5:$K$504,"In progress"))</f>
        <v/>
      </c>
      <c r="Z484" s="27" t="n"/>
    </row>
    <row r="485">
      <c r="A485" s="27" t="n"/>
      <c r="B485" s="27" t="n"/>
      <c r="C485" s="27" t="n"/>
      <c r="D485" s="28">
        <f>IF($C485="","",IFERROR(INDEX('Topic Plan'!$C$5:$C$115,MATCH($C485,'Topic Plan'!$B$5:$B$115,0)),"UNKNOWN TOPIC ID"))</f>
        <v/>
      </c>
      <c r="E485" s="28">
        <f>IF($C485="","",IFERROR(INDEX('Topic Plan'!$D$5:$D$115,MATCH($C485,'Topic Plan'!$B$5:$B$115,0)),""))</f>
        <v/>
      </c>
      <c r="F485" s="28">
        <f>IF($C485="","",IFERROR(INDEX('Topic Plan'!$E$5:$E$115,MATCH($C485,'Topic Plan'!$B$5:$B$115,0)),""))</f>
        <v/>
      </c>
      <c r="G485" s="23" t="n"/>
      <c r="H485" s="27" t="n"/>
      <c r="I485" s="27" t="n"/>
      <c r="J485" s="27" t="n"/>
      <c r="K485" s="27" t="n"/>
      <c r="L485" s="27" t="n"/>
      <c r="M485" s="27" t="n"/>
      <c r="N485" s="23" t="n"/>
      <c r="O485" s="29" t="n"/>
      <c r="P485" s="29" t="n"/>
      <c r="Q485" s="29" t="n"/>
      <c r="R485" s="29" t="n"/>
      <c r="S485" s="29" t="n"/>
      <c r="T485" s="29" t="n"/>
      <c r="U485" s="29" t="n"/>
      <c r="V485" s="30">
        <f>IF(OR($A485="",$U485=""),"",IF($S485&lt;&gt;"",MAX(0,$S485-$U485),MAX(0,TODAY()-$U485)))</f>
        <v/>
      </c>
      <c r="W485" s="30">
        <f>IF($A485="","",IF(OR($N485="Live",$N485="Retired"),"",TODAY()-MAX($O485,$P485,$Q485,$R485)))</f>
        <v/>
      </c>
      <c r="X485" s="23" t="n"/>
      <c r="Y485" s="30">
        <f>IF($A485="","",COUNTIFS('Issues Log'!$C$5:$C$504,$A485,'Issues Log'!$K$5:$K$504,"Open")+COUNTIFS('Issues Log'!$C$5:$C$504,$A485,'Issues Log'!$K$5:$K$504,"In progress"))</f>
        <v/>
      </c>
      <c r="Z485" s="27" t="n"/>
    </row>
    <row r="486">
      <c r="A486" s="27" t="n"/>
      <c r="B486" s="27" t="n"/>
      <c r="C486" s="27" t="n"/>
      <c r="D486" s="28">
        <f>IF($C486="","",IFERROR(INDEX('Topic Plan'!$C$5:$C$115,MATCH($C486,'Topic Plan'!$B$5:$B$115,0)),"UNKNOWN TOPIC ID"))</f>
        <v/>
      </c>
      <c r="E486" s="28">
        <f>IF($C486="","",IFERROR(INDEX('Topic Plan'!$D$5:$D$115,MATCH($C486,'Topic Plan'!$B$5:$B$115,0)),""))</f>
        <v/>
      </c>
      <c r="F486" s="28">
        <f>IF($C486="","",IFERROR(INDEX('Topic Plan'!$E$5:$E$115,MATCH($C486,'Topic Plan'!$B$5:$B$115,0)),""))</f>
        <v/>
      </c>
      <c r="G486" s="23" t="n"/>
      <c r="H486" s="27" t="n"/>
      <c r="I486" s="27" t="n"/>
      <c r="J486" s="27" t="n"/>
      <c r="K486" s="27" t="n"/>
      <c r="L486" s="27" t="n"/>
      <c r="M486" s="27" t="n"/>
      <c r="N486" s="23" t="n"/>
      <c r="O486" s="29" t="n"/>
      <c r="P486" s="29" t="n"/>
      <c r="Q486" s="29" t="n"/>
      <c r="R486" s="29" t="n"/>
      <c r="S486" s="29" t="n"/>
      <c r="T486" s="29" t="n"/>
      <c r="U486" s="29" t="n"/>
      <c r="V486" s="30">
        <f>IF(OR($A486="",$U486=""),"",IF($S486&lt;&gt;"",MAX(0,$S486-$U486),MAX(0,TODAY()-$U486)))</f>
        <v/>
      </c>
      <c r="W486" s="30">
        <f>IF($A486="","",IF(OR($N486="Live",$N486="Retired"),"",TODAY()-MAX($O486,$P486,$Q486,$R486)))</f>
        <v/>
      </c>
      <c r="X486" s="23" t="n"/>
      <c r="Y486" s="30">
        <f>IF($A486="","",COUNTIFS('Issues Log'!$C$5:$C$504,$A486,'Issues Log'!$K$5:$K$504,"Open")+COUNTIFS('Issues Log'!$C$5:$C$504,$A486,'Issues Log'!$K$5:$K$504,"In progress"))</f>
        <v/>
      </c>
      <c r="Z486" s="27" t="n"/>
    </row>
    <row r="487">
      <c r="A487" s="27" t="n"/>
      <c r="B487" s="27" t="n"/>
      <c r="C487" s="27" t="n"/>
      <c r="D487" s="28">
        <f>IF($C487="","",IFERROR(INDEX('Topic Plan'!$C$5:$C$115,MATCH($C487,'Topic Plan'!$B$5:$B$115,0)),"UNKNOWN TOPIC ID"))</f>
        <v/>
      </c>
      <c r="E487" s="28">
        <f>IF($C487="","",IFERROR(INDEX('Topic Plan'!$D$5:$D$115,MATCH($C487,'Topic Plan'!$B$5:$B$115,0)),""))</f>
        <v/>
      </c>
      <c r="F487" s="28">
        <f>IF($C487="","",IFERROR(INDEX('Topic Plan'!$E$5:$E$115,MATCH($C487,'Topic Plan'!$B$5:$B$115,0)),""))</f>
        <v/>
      </c>
      <c r="G487" s="23" t="n"/>
      <c r="H487" s="27" t="n"/>
      <c r="I487" s="27" t="n"/>
      <c r="J487" s="27" t="n"/>
      <c r="K487" s="27" t="n"/>
      <c r="L487" s="27" t="n"/>
      <c r="M487" s="27" t="n"/>
      <c r="N487" s="23" t="n"/>
      <c r="O487" s="29" t="n"/>
      <c r="P487" s="29" t="n"/>
      <c r="Q487" s="29" t="n"/>
      <c r="R487" s="29" t="n"/>
      <c r="S487" s="29" t="n"/>
      <c r="T487" s="29" t="n"/>
      <c r="U487" s="29" t="n"/>
      <c r="V487" s="30">
        <f>IF(OR($A487="",$U487=""),"",IF($S487&lt;&gt;"",MAX(0,$S487-$U487),MAX(0,TODAY()-$U487)))</f>
        <v/>
      </c>
      <c r="W487" s="30">
        <f>IF($A487="","",IF(OR($N487="Live",$N487="Retired"),"",TODAY()-MAX($O487,$P487,$Q487,$R487)))</f>
        <v/>
      </c>
      <c r="X487" s="23" t="n"/>
      <c r="Y487" s="30">
        <f>IF($A487="","",COUNTIFS('Issues Log'!$C$5:$C$504,$A487,'Issues Log'!$K$5:$K$504,"Open")+COUNTIFS('Issues Log'!$C$5:$C$504,$A487,'Issues Log'!$K$5:$K$504,"In progress"))</f>
        <v/>
      </c>
      <c r="Z487" s="27" t="n"/>
    </row>
    <row r="488">
      <c r="A488" s="27" t="n"/>
      <c r="B488" s="27" t="n"/>
      <c r="C488" s="27" t="n"/>
      <c r="D488" s="28">
        <f>IF($C488="","",IFERROR(INDEX('Topic Plan'!$C$5:$C$115,MATCH($C488,'Topic Plan'!$B$5:$B$115,0)),"UNKNOWN TOPIC ID"))</f>
        <v/>
      </c>
      <c r="E488" s="28">
        <f>IF($C488="","",IFERROR(INDEX('Topic Plan'!$D$5:$D$115,MATCH($C488,'Topic Plan'!$B$5:$B$115,0)),""))</f>
        <v/>
      </c>
      <c r="F488" s="28">
        <f>IF($C488="","",IFERROR(INDEX('Topic Plan'!$E$5:$E$115,MATCH($C488,'Topic Plan'!$B$5:$B$115,0)),""))</f>
        <v/>
      </c>
      <c r="G488" s="23" t="n"/>
      <c r="H488" s="27" t="n"/>
      <c r="I488" s="27" t="n"/>
      <c r="J488" s="27" t="n"/>
      <c r="K488" s="27" t="n"/>
      <c r="L488" s="27" t="n"/>
      <c r="M488" s="27" t="n"/>
      <c r="N488" s="23" t="n"/>
      <c r="O488" s="29" t="n"/>
      <c r="P488" s="29" t="n"/>
      <c r="Q488" s="29" t="n"/>
      <c r="R488" s="29" t="n"/>
      <c r="S488" s="29" t="n"/>
      <c r="T488" s="29" t="n"/>
      <c r="U488" s="29" t="n"/>
      <c r="V488" s="30">
        <f>IF(OR($A488="",$U488=""),"",IF($S488&lt;&gt;"",MAX(0,$S488-$U488),MAX(0,TODAY()-$U488)))</f>
        <v/>
      </c>
      <c r="W488" s="30">
        <f>IF($A488="","",IF(OR($N488="Live",$N488="Retired"),"",TODAY()-MAX($O488,$P488,$Q488,$R488)))</f>
        <v/>
      </c>
      <c r="X488" s="23" t="n"/>
      <c r="Y488" s="30">
        <f>IF($A488="","",COUNTIFS('Issues Log'!$C$5:$C$504,$A488,'Issues Log'!$K$5:$K$504,"Open")+COUNTIFS('Issues Log'!$C$5:$C$504,$A488,'Issues Log'!$K$5:$K$504,"In progress"))</f>
        <v/>
      </c>
      <c r="Z488" s="27" t="n"/>
    </row>
    <row r="489">
      <c r="A489" s="27" t="n"/>
      <c r="B489" s="27" t="n"/>
      <c r="C489" s="27" t="n"/>
      <c r="D489" s="28">
        <f>IF($C489="","",IFERROR(INDEX('Topic Plan'!$C$5:$C$115,MATCH($C489,'Topic Plan'!$B$5:$B$115,0)),"UNKNOWN TOPIC ID"))</f>
        <v/>
      </c>
      <c r="E489" s="28">
        <f>IF($C489="","",IFERROR(INDEX('Topic Plan'!$D$5:$D$115,MATCH($C489,'Topic Plan'!$B$5:$B$115,0)),""))</f>
        <v/>
      </c>
      <c r="F489" s="28">
        <f>IF($C489="","",IFERROR(INDEX('Topic Plan'!$E$5:$E$115,MATCH($C489,'Topic Plan'!$B$5:$B$115,0)),""))</f>
        <v/>
      </c>
      <c r="G489" s="23" t="n"/>
      <c r="H489" s="27" t="n"/>
      <c r="I489" s="27" t="n"/>
      <c r="J489" s="27" t="n"/>
      <c r="K489" s="27" t="n"/>
      <c r="L489" s="27" t="n"/>
      <c r="M489" s="27" t="n"/>
      <c r="N489" s="23" t="n"/>
      <c r="O489" s="29" t="n"/>
      <c r="P489" s="29" t="n"/>
      <c r="Q489" s="29" t="n"/>
      <c r="R489" s="29" t="n"/>
      <c r="S489" s="29" t="n"/>
      <c r="T489" s="29" t="n"/>
      <c r="U489" s="29" t="n"/>
      <c r="V489" s="30">
        <f>IF(OR($A489="",$U489=""),"",IF($S489&lt;&gt;"",MAX(0,$S489-$U489),MAX(0,TODAY()-$U489)))</f>
        <v/>
      </c>
      <c r="W489" s="30">
        <f>IF($A489="","",IF(OR($N489="Live",$N489="Retired"),"",TODAY()-MAX($O489,$P489,$Q489,$R489)))</f>
        <v/>
      </c>
      <c r="X489" s="23" t="n"/>
      <c r="Y489" s="30">
        <f>IF($A489="","",COUNTIFS('Issues Log'!$C$5:$C$504,$A489,'Issues Log'!$K$5:$K$504,"Open")+COUNTIFS('Issues Log'!$C$5:$C$504,$A489,'Issues Log'!$K$5:$K$504,"In progress"))</f>
        <v/>
      </c>
      <c r="Z489" s="27" t="n"/>
    </row>
    <row r="490">
      <c r="A490" s="27" t="n"/>
      <c r="B490" s="27" t="n"/>
      <c r="C490" s="27" t="n"/>
      <c r="D490" s="28">
        <f>IF($C490="","",IFERROR(INDEX('Topic Plan'!$C$5:$C$115,MATCH($C490,'Topic Plan'!$B$5:$B$115,0)),"UNKNOWN TOPIC ID"))</f>
        <v/>
      </c>
      <c r="E490" s="28">
        <f>IF($C490="","",IFERROR(INDEX('Topic Plan'!$D$5:$D$115,MATCH($C490,'Topic Plan'!$B$5:$B$115,0)),""))</f>
        <v/>
      </c>
      <c r="F490" s="28">
        <f>IF($C490="","",IFERROR(INDEX('Topic Plan'!$E$5:$E$115,MATCH($C490,'Topic Plan'!$B$5:$B$115,0)),""))</f>
        <v/>
      </c>
      <c r="G490" s="23" t="n"/>
      <c r="H490" s="27" t="n"/>
      <c r="I490" s="27" t="n"/>
      <c r="J490" s="27" t="n"/>
      <c r="K490" s="27" t="n"/>
      <c r="L490" s="27" t="n"/>
      <c r="M490" s="27" t="n"/>
      <c r="N490" s="23" t="n"/>
      <c r="O490" s="29" t="n"/>
      <c r="P490" s="29" t="n"/>
      <c r="Q490" s="29" t="n"/>
      <c r="R490" s="29" t="n"/>
      <c r="S490" s="29" t="n"/>
      <c r="T490" s="29" t="n"/>
      <c r="U490" s="29" t="n"/>
      <c r="V490" s="30">
        <f>IF(OR($A490="",$U490=""),"",IF($S490&lt;&gt;"",MAX(0,$S490-$U490),MAX(0,TODAY()-$U490)))</f>
        <v/>
      </c>
      <c r="W490" s="30">
        <f>IF($A490="","",IF(OR($N490="Live",$N490="Retired"),"",TODAY()-MAX($O490,$P490,$Q490,$R490)))</f>
        <v/>
      </c>
      <c r="X490" s="23" t="n"/>
      <c r="Y490" s="30">
        <f>IF($A490="","",COUNTIFS('Issues Log'!$C$5:$C$504,$A490,'Issues Log'!$K$5:$K$504,"Open")+COUNTIFS('Issues Log'!$C$5:$C$504,$A490,'Issues Log'!$K$5:$K$504,"In progress"))</f>
        <v/>
      </c>
      <c r="Z490" s="27" t="n"/>
    </row>
    <row r="491">
      <c r="A491" s="27" t="n"/>
      <c r="B491" s="27" t="n"/>
      <c r="C491" s="27" t="n"/>
      <c r="D491" s="28">
        <f>IF($C491="","",IFERROR(INDEX('Topic Plan'!$C$5:$C$115,MATCH($C491,'Topic Plan'!$B$5:$B$115,0)),"UNKNOWN TOPIC ID"))</f>
        <v/>
      </c>
      <c r="E491" s="28">
        <f>IF($C491="","",IFERROR(INDEX('Topic Plan'!$D$5:$D$115,MATCH($C491,'Topic Plan'!$B$5:$B$115,0)),""))</f>
        <v/>
      </c>
      <c r="F491" s="28">
        <f>IF($C491="","",IFERROR(INDEX('Topic Plan'!$E$5:$E$115,MATCH($C491,'Topic Plan'!$B$5:$B$115,0)),""))</f>
        <v/>
      </c>
      <c r="G491" s="23" t="n"/>
      <c r="H491" s="27" t="n"/>
      <c r="I491" s="27" t="n"/>
      <c r="J491" s="27" t="n"/>
      <c r="K491" s="27" t="n"/>
      <c r="L491" s="27" t="n"/>
      <c r="M491" s="27" t="n"/>
      <c r="N491" s="23" t="n"/>
      <c r="O491" s="29" t="n"/>
      <c r="P491" s="29" t="n"/>
      <c r="Q491" s="29" t="n"/>
      <c r="R491" s="29" t="n"/>
      <c r="S491" s="29" t="n"/>
      <c r="T491" s="29" t="n"/>
      <c r="U491" s="29" t="n"/>
      <c r="V491" s="30">
        <f>IF(OR($A491="",$U491=""),"",IF($S491&lt;&gt;"",MAX(0,$S491-$U491),MAX(0,TODAY()-$U491)))</f>
        <v/>
      </c>
      <c r="W491" s="30">
        <f>IF($A491="","",IF(OR($N491="Live",$N491="Retired"),"",TODAY()-MAX($O491,$P491,$Q491,$R491)))</f>
        <v/>
      </c>
      <c r="X491" s="23" t="n"/>
      <c r="Y491" s="30">
        <f>IF($A491="","",COUNTIFS('Issues Log'!$C$5:$C$504,$A491,'Issues Log'!$K$5:$K$504,"Open")+COUNTIFS('Issues Log'!$C$5:$C$504,$A491,'Issues Log'!$K$5:$K$504,"In progress"))</f>
        <v/>
      </c>
      <c r="Z491" s="27" t="n"/>
    </row>
    <row r="492">
      <c r="A492" s="27" t="n"/>
      <c r="B492" s="27" t="n"/>
      <c r="C492" s="27" t="n"/>
      <c r="D492" s="28">
        <f>IF($C492="","",IFERROR(INDEX('Topic Plan'!$C$5:$C$115,MATCH($C492,'Topic Plan'!$B$5:$B$115,0)),"UNKNOWN TOPIC ID"))</f>
        <v/>
      </c>
      <c r="E492" s="28">
        <f>IF($C492="","",IFERROR(INDEX('Topic Plan'!$D$5:$D$115,MATCH($C492,'Topic Plan'!$B$5:$B$115,0)),""))</f>
        <v/>
      </c>
      <c r="F492" s="28">
        <f>IF($C492="","",IFERROR(INDEX('Topic Plan'!$E$5:$E$115,MATCH($C492,'Topic Plan'!$B$5:$B$115,0)),""))</f>
        <v/>
      </c>
      <c r="G492" s="23" t="n"/>
      <c r="H492" s="27" t="n"/>
      <c r="I492" s="27" t="n"/>
      <c r="J492" s="27" t="n"/>
      <c r="K492" s="27" t="n"/>
      <c r="L492" s="27" t="n"/>
      <c r="M492" s="27" t="n"/>
      <c r="N492" s="23" t="n"/>
      <c r="O492" s="29" t="n"/>
      <c r="P492" s="29" t="n"/>
      <c r="Q492" s="29" t="n"/>
      <c r="R492" s="29" t="n"/>
      <c r="S492" s="29" t="n"/>
      <c r="T492" s="29" t="n"/>
      <c r="U492" s="29" t="n"/>
      <c r="V492" s="30">
        <f>IF(OR($A492="",$U492=""),"",IF($S492&lt;&gt;"",MAX(0,$S492-$U492),MAX(0,TODAY()-$U492)))</f>
        <v/>
      </c>
      <c r="W492" s="30">
        <f>IF($A492="","",IF(OR($N492="Live",$N492="Retired"),"",TODAY()-MAX($O492,$P492,$Q492,$R492)))</f>
        <v/>
      </c>
      <c r="X492" s="23" t="n"/>
      <c r="Y492" s="30">
        <f>IF($A492="","",COUNTIFS('Issues Log'!$C$5:$C$504,$A492,'Issues Log'!$K$5:$K$504,"Open")+COUNTIFS('Issues Log'!$C$5:$C$504,$A492,'Issues Log'!$K$5:$K$504,"In progress"))</f>
        <v/>
      </c>
      <c r="Z492" s="27" t="n"/>
    </row>
    <row r="493">
      <c r="A493" s="27" t="n"/>
      <c r="B493" s="27" t="n"/>
      <c r="C493" s="27" t="n"/>
      <c r="D493" s="28">
        <f>IF($C493="","",IFERROR(INDEX('Topic Plan'!$C$5:$C$115,MATCH($C493,'Topic Plan'!$B$5:$B$115,0)),"UNKNOWN TOPIC ID"))</f>
        <v/>
      </c>
      <c r="E493" s="28">
        <f>IF($C493="","",IFERROR(INDEX('Topic Plan'!$D$5:$D$115,MATCH($C493,'Topic Plan'!$B$5:$B$115,0)),""))</f>
        <v/>
      </c>
      <c r="F493" s="28">
        <f>IF($C493="","",IFERROR(INDEX('Topic Plan'!$E$5:$E$115,MATCH($C493,'Topic Plan'!$B$5:$B$115,0)),""))</f>
        <v/>
      </c>
      <c r="G493" s="23" t="n"/>
      <c r="H493" s="27" t="n"/>
      <c r="I493" s="27" t="n"/>
      <c r="J493" s="27" t="n"/>
      <c r="K493" s="27" t="n"/>
      <c r="L493" s="27" t="n"/>
      <c r="M493" s="27" t="n"/>
      <c r="N493" s="23" t="n"/>
      <c r="O493" s="29" t="n"/>
      <c r="P493" s="29" t="n"/>
      <c r="Q493" s="29" t="n"/>
      <c r="R493" s="29" t="n"/>
      <c r="S493" s="29" t="n"/>
      <c r="T493" s="29" t="n"/>
      <c r="U493" s="29" t="n"/>
      <c r="V493" s="30">
        <f>IF(OR($A493="",$U493=""),"",IF($S493&lt;&gt;"",MAX(0,$S493-$U493),MAX(0,TODAY()-$U493)))</f>
        <v/>
      </c>
      <c r="W493" s="30">
        <f>IF($A493="","",IF(OR($N493="Live",$N493="Retired"),"",TODAY()-MAX($O493,$P493,$Q493,$R493)))</f>
        <v/>
      </c>
      <c r="X493" s="23" t="n"/>
      <c r="Y493" s="30">
        <f>IF($A493="","",COUNTIFS('Issues Log'!$C$5:$C$504,$A493,'Issues Log'!$K$5:$K$504,"Open")+COUNTIFS('Issues Log'!$C$5:$C$504,$A493,'Issues Log'!$K$5:$K$504,"In progress"))</f>
        <v/>
      </c>
      <c r="Z493" s="27" t="n"/>
    </row>
    <row r="494">
      <c r="A494" s="27" t="n"/>
      <c r="B494" s="27" t="n"/>
      <c r="C494" s="27" t="n"/>
      <c r="D494" s="28">
        <f>IF($C494="","",IFERROR(INDEX('Topic Plan'!$C$5:$C$115,MATCH($C494,'Topic Plan'!$B$5:$B$115,0)),"UNKNOWN TOPIC ID"))</f>
        <v/>
      </c>
      <c r="E494" s="28">
        <f>IF($C494="","",IFERROR(INDEX('Topic Plan'!$D$5:$D$115,MATCH($C494,'Topic Plan'!$B$5:$B$115,0)),""))</f>
        <v/>
      </c>
      <c r="F494" s="28">
        <f>IF($C494="","",IFERROR(INDEX('Topic Plan'!$E$5:$E$115,MATCH($C494,'Topic Plan'!$B$5:$B$115,0)),""))</f>
        <v/>
      </c>
      <c r="G494" s="23" t="n"/>
      <c r="H494" s="27" t="n"/>
      <c r="I494" s="27" t="n"/>
      <c r="J494" s="27" t="n"/>
      <c r="K494" s="27" t="n"/>
      <c r="L494" s="27" t="n"/>
      <c r="M494" s="27" t="n"/>
      <c r="N494" s="23" t="n"/>
      <c r="O494" s="29" t="n"/>
      <c r="P494" s="29" t="n"/>
      <c r="Q494" s="29" t="n"/>
      <c r="R494" s="29" t="n"/>
      <c r="S494" s="29" t="n"/>
      <c r="T494" s="29" t="n"/>
      <c r="U494" s="29" t="n"/>
      <c r="V494" s="30">
        <f>IF(OR($A494="",$U494=""),"",IF($S494&lt;&gt;"",MAX(0,$S494-$U494),MAX(0,TODAY()-$U494)))</f>
        <v/>
      </c>
      <c r="W494" s="30">
        <f>IF($A494="","",IF(OR($N494="Live",$N494="Retired"),"",TODAY()-MAX($O494,$P494,$Q494,$R494)))</f>
        <v/>
      </c>
      <c r="X494" s="23" t="n"/>
      <c r="Y494" s="30">
        <f>IF($A494="","",COUNTIFS('Issues Log'!$C$5:$C$504,$A494,'Issues Log'!$K$5:$K$504,"Open")+COUNTIFS('Issues Log'!$C$5:$C$504,$A494,'Issues Log'!$K$5:$K$504,"In progress"))</f>
        <v/>
      </c>
      <c r="Z494" s="27" t="n"/>
    </row>
    <row r="495">
      <c r="A495" s="27" t="n"/>
      <c r="B495" s="27" t="n"/>
      <c r="C495" s="27" t="n"/>
      <c r="D495" s="28">
        <f>IF($C495="","",IFERROR(INDEX('Topic Plan'!$C$5:$C$115,MATCH($C495,'Topic Plan'!$B$5:$B$115,0)),"UNKNOWN TOPIC ID"))</f>
        <v/>
      </c>
      <c r="E495" s="28">
        <f>IF($C495="","",IFERROR(INDEX('Topic Plan'!$D$5:$D$115,MATCH($C495,'Topic Plan'!$B$5:$B$115,0)),""))</f>
        <v/>
      </c>
      <c r="F495" s="28">
        <f>IF($C495="","",IFERROR(INDEX('Topic Plan'!$E$5:$E$115,MATCH($C495,'Topic Plan'!$B$5:$B$115,0)),""))</f>
        <v/>
      </c>
      <c r="G495" s="23" t="n"/>
      <c r="H495" s="27" t="n"/>
      <c r="I495" s="27" t="n"/>
      <c r="J495" s="27" t="n"/>
      <c r="K495" s="27" t="n"/>
      <c r="L495" s="27" t="n"/>
      <c r="M495" s="27" t="n"/>
      <c r="N495" s="23" t="n"/>
      <c r="O495" s="29" t="n"/>
      <c r="P495" s="29" t="n"/>
      <c r="Q495" s="29" t="n"/>
      <c r="R495" s="29" t="n"/>
      <c r="S495" s="29" t="n"/>
      <c r="T495" s="29" t="n"/>
      <c r="U495" s="29" t="n"/>
      <c r="V495" s="30">
        <f>IF(OR($A495="",$U495=""),"",IF($S495&lt;&gt;"",MAX(0,$S495-$U495),MAX(0,TODAY()-$U495)))</f>
        <v/>
      </c>
      <c r="W495" s="30">
        <f>IF($A495="","",IF(OR($N495="Live",$N495="Retired"),"",TODAY()-MAX($O495,$P495,$Q495,$R495)))</f>
        <v/>
      </c>
      <c r="X495" s="23" t="n"/>
      <c r="Y495" s="30">
        <f>IF($A495="","",COUNTIFS('Issues Log'!$C$5:$C$504,$A495,'Issues Log'!$K$5:$K$504,"Open")+COUNTIFS('Issues Log'!$C$5:$C$504,$A495,'Issues Log'!$K$5:$K$504,"In progress"))</f>
        <v/>
      </c>
      <c r="Z495" s="27" t="n"/>
    </row>
    <row r="496">
      <c r="A496" s="27" t="n"/>
      <c r="B496" s="27" t="n"/>
      <c r="C496" s="27" t="n"/>
      <c r="D496" s="28">
        <f>IF($C496="","",IFERROR(INDEX('Topic Plan'!$C$5:$C$115,MATCH($C496,'Topic Plan'!$B$5:$B$115,0)),"UNKNOWN TOPIC ID"))</f>
        <v/>
      </c>
      <c r="E496" s="28">
        <f>IF($C496="","",IFERROR(INDEX('Topic Plan'!$D$5:$D$115,MATCH($C496,'Topic Plan'!$B$5:$B$115,0)),""))</f>
        <v/>
      </c>
      <c r="F496" s="28">
        <f>IF($C496="","",IFERROR(INDEX('Topic Plan'!$E$5:$E$115,MATCH($C496,'Topic Plan'!$B$5:$B$115,0)),""))</f>
        <v/>
      </c>
      <c r="G496" s="23" t="n"/>
      <c r="H496" s="27" t="n"/>
      <c r="I496" s="27" t="n"/>
      <c r="J496" s="27" t="n"/>
      <c r="K496" s="27" t="n"/>
      <c r="L496" s="27" t="n"/>
      <c r="M496" s="27" t="n"/>
      <c r="N496" s="23" t="n"/>
      <c r="O496" s="29" t="n"/>
      <c r="P496" s="29" t="n"/>
      <c r="Q496" s="29" t="n"/>
      <c r="R496" s="29" t="n"/>
      <c r="S496" s="29" t="n"/>
      <c r="T496" s="29" t="n"/>
      <c r="U496" s="29" t="n"/>
      <c r="V496" s="30">
        <f>IF(OR($A496="",$U496=""),"",IF($S496&lt;&gt;"",MAX(0,$S496-$U496),MAX(0,TODAY()-$U496)))</f>
        <v/>
      </c>
      <c r="W496" s="30">
        <f>IF($A496="","",IF(OR($N496="Live",$N496="Retired"),"",TODAY()-MAX($O496,$P496,$Q496,$R496)))</f>
        <v/>
      </c>
      <c r="X496" s="23" t="n"/>
      <c r="Y496" s="30">
        <f>IF($A496="","",COUNTIFS('Issues Log'!$C$5:$C$504,$A496,'Issues Log'!$K$5:$K$504,"Open")+COUNTIFS('Issues Log'!$C$5:$C$504,$A496,'Issues Log'!$K$5:$K$504,"In progress"))</f>
        <v/>
      </c>
      <c r="Z496" s="27" t="n"/>
    </row>
    <row r="497">
      <c r="A497" s="27" t="n"/>
      <c r="B497" s="27" t="n"/>
      <c r="C497" s="27" t="n"/>
      <c r="D497" s="28">
        <f>IF($C497="","",IFERROR(INDEX('Topic Plan'!$C$5:$C$115,MATCH($C497,'Topic Plan'!$B$5:$B$115,0)),"UNKNOWN TOPIC ID"))</f>
        <v/>
      </c>
      <c r="E497" s="28">
        <f>IF($C497="","",IFERROR(INDEX('Topic Plan'!$D$5:$D$115,MATCH($C497,'Topic Plan'!$B$5:$B$115,0)),""))</f>
        <v/>
      </c>
      <c r="F497" s="28">
        <f>IF($C497="","",IFERROR(INDEX('Topic Plan'!$E$5:$E$115,MATCH($C497,'Topic Plan'!$B$5:$B$115,0)),""))</f>
        <v/>
      </c>
      <c r="G497" s="23" t="n"/>
      <c r="H497" s="27" t="n"/>
      <c r="I497" s="27" t="n"/>
      <c r="J497" s="27" t="n"/>
      <c r="K497" s="27" t="n"/>
      <c r="L497" s="27" t="n"/>
      <c r="M497" s="27" t="n"/>
      <c r="N497" s="23" t="n"/>
      <c r="O497" s="29" t="n"/>
      <c r="P497" s="29" t="n"/>
      <c r="Q497" s="29" t="n"/>
      <c r="R497" s="29" t="n"/>
      <c r="S497" s="29" t="n"/>
      <c r="T497" s="29" t="n"/>
      <c r="U497" s="29" t="n"/>
      <c r="V497" s="30">
        <f>IF(OR($A497="",$U497=""),"",IF($S497&lt;&gt;"",MAX(0,$S497-$U497),MAX(0,TODAY()-$U497)))</f>
        <v/>
      </c>
      <c r="W497" s="30">
        <f>IF($A497="","",IF(OR($N497="Live",$N497="Retired"),"",TODAY()-MAX($O497,$P497,$Q497,$R497)))</f>
        <v/>
      </c>
      <c r="X497" s="23" t="n"/>
      <c r="Y497" s="30">
        <f>IF($A497="","",COUNTIFS('Issues Log'!$C$5:$C$504,$A497,'Issues Log'!$K$5:$K$504,"Open")+COUNTIFS('Issues Log'!$C$5:$C$504,$A497,'Issues Log'!$K$5:$K$504,"In progress"))</f>
        <v/>
      </c>
      <c r="Z497" s="27" t="n"/>
    </row>
    <row r="498">
      <c r="A498" s="27" t="n"/>
      <c r="B498" s="27" t="n"/>
      <c r="C498" s="27" t="n"/>
      <c r="D498" s="28">
        <f>IF($C498="","",IFERROR(INDEX('Topic Plan'!$C$5:$C$115,MATCH($C498,'Topic Plan'!$B$5:$B$115,0)),"UNKNOWN TOPIC ID"))</f>
        <v/>
      </c>
      <c r="E498" s="28">
        <f>IF($C498="","",IFERROR(INDEX('Topic Plan'!$D$5:$D$115,MATCH($C498,'Topic Plan'!$B$5:$B$115,0)),""))</f>
        <v/>
      </c>
      <c r="F498" s="28">
        <f>IF($C498="","",IFERROR(INDEX('Topic Plan'!$E$5:$E$115,MATCH($C498,'Topic Plan'!$B$5:$B$115,0)),""))</f>
        <v/>
      </c>
      <c r="G498" s="23" t="n"/>
      <c r="H498" s="27" t="n"/>
      <c r="I498" s="27" t="n"/>
      <c r="J498" s="27" t="n"/>
      <c r="K498" s="27" t="n"/>
      <c r="L498" s="27" t="n"/>
      <c r="M498" s="27" t="n"/>
      <c r="N498" s="23" t="n"/>
      <c r="O498" s="29" t="n"/>
      <c r="P498" s="29" t="n"/>
      <c r="Q498" s="29" t="n"/>
      <c r="R498" s="29" t="n"/>
      <c r="S498" s="29" t="n"/>
      <c r="T498" s="29" t="n"/>
      <c r="U498" s="29" t="n"/>
      <c r="V498" s="30">
        <f>IF(OR($A498="",$U498=""),"",IF($S498&lt;&gt;"",MAX(0,$S498-$U498),MAX(0,TODAY()-$U498)))</f>
        <v/>
      </c>
      <c r="W498" s="30">
        <f>IF($A498="","",IF(OR($N498="Live",$N498="Retired"),"",TODAY()-MAX($O498,$P498,$Q498,$R498)))</f>
        <v/>
      </c>
      <c r="X498" s="23" t="n"/>
      <c r="Y498" s="30">
        <f>IF($A498="","",COUNTIFS('Issues Log'!$C$5:$C$504,$A498,'Issues Log'!$K$5:$K$504,"Open")+COUNTIFS('Issues Log'!$C$5:$C$504,$A498,'Issues Log'!$K$5:$K$504,"In progress"))</f>
        <v/>
      </c>
      <c r="Z498" s="27" t="n"/>
    </row>
    <row r="499">
      <c r="A499" s="27" t="n"/>
      <c r="B499" s="27" t="n"/>
      <c r="C499" s="27" t="n"/>
      <c r="D499" s="28">
        <f>IF($C499="","",IFERROR(INDEX('Topic Plan'!$C$5:$C$115,MATCH($C499,'Topic Plan'!$B$5:$B$115,0)),"UNKNOWN TOPIC ID"))</f>
        <v/>
      </c>
      <c r="E499" s="28">
        <f>IF($C499="","",IFERROR(INDEX('Topic Plan'!$D$5:$D$115,MATCH($C499,'Topic Plan'!$B$5:$B$115,0)),""))</f>
        <v/>
      </c>
      <c r="F499" s="28">
        <f>IF($C499="","",IFERROR(INDEX('Topic Plan'!$E$5:$E$115,MATCH($C499,'Topic Plan'!$B$5:$B$115,0)),""))</f>
        <v/>
      </c>
      <c r="G499" s="23" t="n"/>
      <c r="H499" s="27" t="n"/>
      <c r="I499" s="27" t="n"/>
      <c r="J499" s="27" t="n"/>
      <c r="K499" s="27" t="n"/>
      <c r="L499" s="27" t="n"/>
      <c r="M499" s="27" t="n"/>
      <c r="N499" s="23" t="n"/>
      <c r="O499" s="29" t="n"/>
      <c r="P499" s="29" t="n"/>
      <c r="Q499" s="29" t="n"/>
      <c r="R499" s="29" t="n"/>
      <c r="S499" s="29" t="n"/>
      <c r="T499" s="29" t="n"/>
      <c r="U499" s="29" t="n"/>
      <c r="V499" s="30">
        <f>IF(OR($A499="",$U499=""),"",IF($S499&lt;&gt;"",MAX(0,$S499-$U499),MAX(0,TODAY()-$U499)))</f>
        <v/>
      </c>
      <c r="W499" s="30">
        <f>IF($A499="","",IF(OR($N499="Live",$N499="Retired"),"",TODAY()-MAX($O499,$P499,$Q499,$R499)))</f>
        <v/>
      </c>
      <c r="X499" s="23" t="n"/>
      <c r="Y499" s="30">
        <f>IF($A499="","",COUNTIFS('Issues Log'!$C$5:$C$504,$A499,'Issues Log'!$K$5:$K$504,"Open")+COUNTIFS('Issues Log'!$C$5:$C$504,$A499,'Issues Log'!$K$5:$K$504,"In progress"))</f>
        <v/>
      </c>
      <c r="Z499" s="27" t="n"/>
    </row>
    <row r="500">
      <c r="A500" s="27" t="n"/>
      <c r="B500" s="27" t="n"/>
      <c r="C500" s="27" t="n"/>
      <c r="D500" s="28">
        <f>IF($C500="","",IFERROR(INDEX('Topic Plan'!$C$5:$C$115,MATCH($C500,'Topic Plan'!$B$5:$B$115,0)),"UNKNOWN TOPIC ID"))</f>
        <v/>
      </c>
      <c r="E500" s="28">
        <f>IF($C500="","",IFERROR(INDEX('Topic Plan'!$D$5:$D$115,MATCH($C500,'Topic Plan'!$B$5:$B$115,0)),""))</f>
        <v/>
      </c>
      <c r="F500" s="28">
        <f>IF($C500="","",IFERROR(INDEX('Topic Plan'!$E$5:$E$115,MATCH($C500,'Topic Plan'!$B$5:$B$115,0)),""))</f>
        <v/>
      </c>
      <c r="G500" s="23" t="n"/>
      <c r="H500" s="27" t="n"/>
      <c r="I500" s="27" t="n"/>
      <c r="J500" s="27" t="n"/>
      <c r="K500" s="27" t="n"/>
      <c r="L500" s="27" t="n"/>
      <c r="M500" s="27" t="n"/>
      <c r="N500" s="23" t="n"/>
      <c r="O500" s="29" t="n"/>
      <c r="P500" s="29" t="n"/>
      <c r="Q500" s="29" t="n"/>
      <c r="R500" s="29" t="n"/>
      <c r="S500" s="29" t="n"/>
      <c r="T500" s="29" t="n"/>
      <c r="U500" s="29" t="n"/>
      <c r="V500" s="30">
        <f>IF(OR($A500="",$U500=""),"",IF($S500&lt;&gt;"",MAX(0,$S500-$U500),MAX(0,TODAY()-$U500)))</f>
        <v/>
      </c>
      <c r="W500" s="30">
        <f>IF($A500="","",IF(OR($N500="Live",$N500="Retired"),"",TODAY()-MAX($O500,$P500,$Q500,$R500)))</f>
        <v/>
      </c>
      <c r="X500" s="23" t="n"/>
      <c r="Y500" s="30">
        <f>IF($A500="","",COUNTIFS('Issues Log'!$C$5:$C$504,$A500,'Issues Log'!$K$5:$K$504,"Open")+COUNTIFS('Issues Log'!$C$5:$C$504,$A500,'Issues Log'!$K$5:$K$504,"In progress"))</f>
        <v/>
      </c>
      <c r="Z500" s="27" t="n"/>
    </row>
    <row r="501">
      <c r="A501" s="27" t="n"/>
      <c r="B501" s="27" t="n"/>
      <c r="C501" s="27" t="n"/>
      <c r="D501" s="28">
        <f>IF($C501="","",IFERROR(INDEX('Topic Plan'!$C$5:$C$115,MATCH($C501,'Topic Plan'!$B$5:$B$115,0)),"UNKNOWN TOPIC ID"))</f>
        <v/>
      </c>
      <c r="E501" s="28">
        <f>IF($C501="","",IFERROR(INDEX('Topic Plan'!$D$5:$D$115,MATCH($C501,'Topic Plan'!$B$5:$B$115,0)),""))</f>
        <v/>
      </c>
      <c r="F501" s="28">
        <f>IF($C501="","",IFERROR(INDEX('Topic Plan'!$E$5:$E$115,MATCH($C501,'Topic Plan'!$B$5:$B$115,0)),""))</f>
        <v/>
      </c>
      <c r="G501" s="23" t="n"/>
      <c r="H501" s="27" t="n"/>
      <c r="I501" s="27" t="n"/>
      <c r="J501" s="27" t="n"/>
      <c r="K501" s="27" t="n"/>
      <c r="L501" s="27" t="n"/>
      <c r="M501" s="27" t="n"/>
      <c r="N501" s="23" t="n"/>
      <c r="O501" s="29" t="n"/>
      <c r="P501" s="29" t="n"/>
      <c r="Q501" s="29" t="n"/>
      <c r="R501" s="29" t="n"/>
      <c r="S501" s="29" t="n"/>
      <c r="T501" s="29" t="n"/>
      <c r="U501" s="29" t="n"/>
      <c r="V501" s="30">
        <f>IF(OR($A501="",$U501=""),"",IF($S501&lt;&gt;"",MAX(0,$S501-$U501),MAX(0,TODAY()-$U501)))</f>
        <v/>
      </c>
      <c r="W501" s="30">
        <f>IF($A501="","",IF(OR($N501="Live",$N501="Retired"),"",TODAY()-MAX($O501,$P501,$Q501,$R501)))</f>
        <v/>
      </c>
      <c r="X501" s="23" t="n"/>
      <c r="Y501" s="30">
        <f>IF($A501="","",COUNTIFS('Issues Log'!$C$5:$C$504,$A501,'Issues Log'!$K$5:$K$504,"Open")+COUNTIFS('Issues Log'!$C$5:$C$504,$A501,'Issues Log'!$K$5:$K$504,"In progress"))</f>
        <v/>
      </c>
      <c r="Z501" s="27" t="n"/>
    </row>
    <row r="502">
      <c r="A502" s="27" t="n"/>
      <c r="B502" s="27" t="n"/>
      <c r="C502" s="27" t="n"/>
      <c r="D502" s="28">
        <f>IF($C502="","",IFERROR(INDEX('Topic Plan'!$C$5:$C$115,MATCH($C502,'Topic Plan'!$B$5:$B$115,0)),"UNKNOWN TOPIC ID"))</f>
        <v/>
      </c>
      <c r="E502" s="28">
        <f>IF($C502="","",IFERROR(INDEX('Topic Plan'!$D$5:$D$115,MATCH($C502,'Topic Plan'!$B$5:$B$115,0)),""))</f>
        <v/>
      </c>
      <c r="F502" s="28">
        <f>IF($C502="","",IFERROR(INDEX('Topic Plan'!$E$5:$E$115,MATCH($C502,'Topic Plan'!$B$5:$B$115,0)),""))</f>
        <v/>
      </c>
      <c r="G502" s="23" t="n"/>
      <c r="H502" s="27" t="n"/>
      <c r="I502" s="27" t="n"/>
      <c r="J502" s="27" t="n"/>
      <c r="K502" s="27" t="n"/>
      <c r="L502" s="27" t="n"/>
      <c r="M502" s="27" t="n"/>
      <c r="N502" s="23" t="n"/>
      <c r="O502" s="29" t="n"/>
      <c r="P502" s="29" t="n"/>
      <c r="Q502" s="29" t="n"/>
      <c r="R502" s="29" t="n"/>
      <c r="S502" s="29" t="n"/>
      <c r="T502" s="29" t="n"/>
      <c r="U502" s="29" t="n"/>
      <c r="V502" s="30">
        <f>IF(OR($A502="",$U502=""),"",IF($S502&lt;&gt;"",MAX(0,$S502-$U502),MAX(0,TODAY()-$U502)))</f>
        <v/>
      </c>
      <c r="W502" s="30">
        <f>IF($A502="","",IF(OR($N502="Live",$N502="Retired"),"",TODAY()-MAX($O502,$P502,$Q502,$R502)))</f>
        <v/>
      </c>
      <c r="X502" s="23" t="n"/>
      <c r="Y502" s="30">
        <f>IF($A502="","",COUNTIFS('Issues Log'!$C$5:$C$504,$A502,'Issues Log'!$K$5:$K$504,"Open")+COUNTIFS('Issues Log'!$C$5:$C$504,$A502,'Issues Log'!$K$5:$K$504,"In progress"))</f>
        <v/>
      </c>
      <c r="Z502" s="27" t="n"/>
    </row>
    <row r="503">
      <c r="A503" s="27" t="n"/>
      <c r="B503" s="27" t="n"/>
      <c r="C503" s="27" t="n"/>
      <c r="D503" s="28">
        <f>IF($C503="","",IFERROR(INDEX('Topic Plan'!$C$5:$C$115,MATCH($C503,'Topic Plan'!$B$5:$B$115,0)),"UNKNOWN TOPIC ID"))</f>
        <v/>
      </c>
      <c r="E503" s="28">
        <f>IF($C503="","",IFERROR(INDEX('Topic Plan'!$D$5:$D$115,MATCH($C503,'Topic Plan'!$B$5:$B$115,0)),""))</f>
        <v/>
      </c>
      <c r="F503" s="28">
        <f>IF($C503="","",IFERROR(INDEX('Topic Plan'!$E$5:$E$115,MATCH($C503,'Topic Plan'!$B$5:$B$115,0)),""))</f>
        <v/>
      </c>
      <c r="G503" s="23" t="n"/>
      <c r="H503" s="27" t="n"/>
      <c r="I503" s="27" t="n"/>
      <c r="J503" s="27" t="n"/>
      <c r="K503" s="27" t="n"/>
      <c r="L503" s="27" t="n"/>
      <c r="M503" s="27" t="n"/>
      <c r="N503" s="23" t="n"/>
      <c r="O503" s="29" t="n"/>
      <c r="P503" s="29" t="n"/>
      <c r="Q503" s="29" t="n"/>
      <c r="R503" s="29" t="n"/>
      <c r="S503" s="29" t="n"/>
      <c r="T503" s="29" t="n"/>
      <c r="U503" s="29" t="n"/>
      <c r="V503" s="30">
        <f>IF(OR($A503="",$U503=""),"",IF($S503&lt;&gt;"",MAX(0,$S503-$U503),MAX(0,TODAY()-$U503)))</f>
        <v/>
      </c>
      <c r="W503" s="30">
        <f>IF($A503="","",IF(OR($N503="Live",$N503="Retired"),"",TODAY()-MAX($O503,$P503,$Q503,$R503)))</f>
        <v/>
      </c>
      <c r="X503" s="23" t="n"/>
      <c r="Y503" s="30">
        <f>IF($A503="","",COUNTIFS('Issues Log'!$C$5:$C$504,$A503,'Issues Log'!$K$5:$K$504,"Open")+COUNTIFS('Issues Log'!$C$5:$C$504,$A503,'Issues Log'!$K$5:$K$504,"In progress"))</f>
        <v/>
      </c>
      <c r="Z503" s="27" t="n"/>
    </row>
    <row r="504">
      <c r="A504" s="27" t="n"/>
      <c r="B504" s="27" t="n"/>
      <c r="C504" s="27" t="n"/>
      <c r="D504" s="28">
        <f>IF($C504="","",IFERROR(INDEX('Topic Plan'!$C$5:$C$115,MATCH($C504,'Topic Plan'!$B$5:$B$115,0)),"UNKNOWN TOPIC ID"))</f>
        <v/>
      </c>
      <c r="E504" s="28">
        <f>IF($C504="","",IFERROR(INDEX('Topic Plan'!$D$5:$D$115,MATCH($C504,'Topic Plan'!$B$5:$B$115,0)),""))</f>
        <v/>
      </c>
      <c r="F504" s="28">
        <f>IF($C504="","",IFERROR(INDEX('Topic Plan'!$E$5:$E$115,MATCH($C504,'Topic Plan'!$B$5:$B$115,0)),""))</f>
        <v/>
      </c>
      <c r="G504" s="23" t="n"/>
      <c r="H504" s="27" t="n"/>
      <c r="I504" s="27" t="n"/>
      <c r="J504" s="27" t="n"/>
      <c r="K504" s="27" t="n"/>
      <c r="L504" s="27" t="n"/>
      <c r="M504" s="27" t="n"/>
      <c r="N504" s="23" t="n"/>
      <c r="O504" s="29" t="n"/>
      <c r="P504" s="29" t="n"/>
      <c r="Q504" s="29" t="n"/>
      <c r="R504" s="29" t="n"/>
      <c r="S504" s="29" t="n"/>
      <c r="T504" s="29" t="n"/>
      <c r="U504" s="29" t="n"/>
      <c r="V504" s="30">
        <f>IF(OR($A504="",$U504=""),"",IF($S504&lt;&gt;"",MAX(0,$S504-$U504),MAX(0,TODAY()-$U504)))</f>
        <v/>
      </c>
      <c r="W504" s="30">
        <f>IF($A504="","",IF(OR($N504="Live",$N504="Retired"),"",TODAY()-MAX($O504,$P504,$Q504,$R504)))</f>
        <v/>
      </c>
      <c r="X504" s="23" t="n"/>
      <c r="Y504" s="30">
        <f>IF($A504="","",COUNTIFS('Issues Log'!$C$5:$C$504,$A504,'Issues Log'!$K$5:$K$504,"Open")+COUNTIFS('Issues Log'!$C$5:$C$504,$A504,'Issues Log'!$K$5:$K$504,"In progress"))</f>
        <v/>
      </c>
      <c r="Z504" s="27" t="n"/>
    </row>
    <row r="505">
      <c r="A505" s="27" t="n"/>
      <c r="B505" s="27" t="n"/>
      <c r="C505" s="27" t="n"/>
      <c r="D505" s="28">
        <f>IF($C505="","",IFERROR(INDEX('Topic Plan'!$C$5:$C$115,MATCH($C505,'Topic Plan'!$B$5:$B$115,0)),"UNKNOWN TOPIC ID"))</f>
        <v/>
      </c>
      <c r="E505" s="28">
        <f>IF($C505="","",IFERROR(INDEX('Topic Plan'!$D$5:$D$115,MATCH($C505,'Topic Plan'!$B$5:$B$115,0)),""))</f>
        <v/>
      </c>
      <c r="F505" s="28">
        <f>IF($C505="","",IFERROR(INDEX('Topic Plan'!$E$5:$E$115,MATCH($C505,'Topic Plan'!$B$5:$B$115,0)),""))</f>
        <v/>
      </c>
      <c r="G505" s="23" t="n"/>
      <c r="H505" s="27" t="n"/>
      <c r="I505" s="27" t="n"/>
      <c r="J505" s="27" t="n"/>
      <c r="K505" s="27" t="n"/>
      <c r="L505" s="27" t="n"/>
      <c r="M505" s="27" t="n"/>
      <c r="N505" s="23" t="n"/>
      <c r="O505" s="29" t="n"/>
      <c r="P505" s="29" t="n"/>
      <c r="Q505" s="29" t="n"/>
      <c r="R505" s="29" t="n"/>
      <c r="S505" s="29" t="n"/>
      <c r="T505" s="29" t="n"/>
      <c r="U505" s="29" t="n"/>
      <c r="V505" s="30">
        <f>IF(OR($A505="",$U505=""),"",IF($S505&lt;&gt;"",MAX(0,$S505-$U505),MAX(0,TODAY()-$U505)))</f>
        <v/>
      </c>
      <c r="W505" s="30">
        <f>IF($A505="","",IF(OR($N505="Live",$N505="Retired"),"",TODAY()-MAX($O505,$P505,$Q505,$R505)))</f>
        <v/>
      </c>
      <c r="X505" s="23" t="n"/>
      <c r="Y505" s="30">
        <f>IF($A505="","",COUNTIFS('Issues Log'!$C$5:$C$504,$A505,'Issues Log'!$K$5:$K$504,"Open")+COUNTIFS('Issues Log'!$C$5:$C$504,$A505,'Issues Log'!$K$5:$K$504,"In progress"))</f>
        <v/>
      </c>
      <c r="Z505" s="27" t="n"/>
    </row>
    <row r="506">
      <c r="A506" s="27" t="n"/>
      <c r="B506" s="27" t="n"/>
      <c r="C506" s="27" t="n"/>
      <c r="D506" s="28">
        <f>IF($C506="","",IFERROR(INDEX('Topic Plan'!$C$5:$C$115,MATCH($C506,'Topic Plan'!$B$5:$B$115,0)),"UNKNOWN TOPIC ID"))</f>
        <v/>
      </c>
      <c r="E506" s="28">
        <f>IF($C506="","",IFERROR(INDEX('Topic Plan'!$D$5:$D$115,MATCH($C506,'Topic Plan'!$B$5:$B$115,0)),""))</f>
        <v/>
      </c>
      <c r="F506" s="28">
        <f>IF($C506="","",IFERROR(INDEX('Topic Plan'!$E$5:$E$115,MATCH($C506,'Topic Plan'!$B$5:$B$115,0)),""))</f>
        <v/>
      </c>
      <c r="G506" s="23" t="n"/>
      <c r="H506" s="27" t="n"/>
      <c r="I506" s="27" t="n"/>
      <c r="J506" s="27" t="n"/>
      <c r="K506" s="27" t="n"/>
      <c r="L506" s="27" t="n"/>
      <c r="M506" s="27" t="n"/>
      <c r="N506" s="23" t="n"/>
      <c r="O506" s="29" t="n"/>
      <c r="P506" s="29" t="n"/>
      <c r="Q506" s="29" t="n"/>
      <c r="R506" s="29" t="n"/>
      <c r="S506" s="29" t="n"/>
      <c r="T506" s="29" t="n"/>
      <c r="U506" s="29" t="n"/>
      <c r="V506" s="30">
        <f>IF(OR($A506="",$U506=""),"",IF($S506&lt;&gt;"",MAX(0,$S506-$U506),MAX(0,TODAY()-$U506)))</f>
        <v/>
      </c>
      <c r="W506" s="30">
        <f>IF($A506="","",IF(OR($N506="Live",$N506="Retired"),"",TODAY()-MAX($O506,$P506,$Q506,$R506)))</f>
        <v/>
      </c>
      <c r="X506" s="23" t="n"/>
      <c r="Y506" s="30">
        <f>IF($A506="","",COUNTIFS('Issues Log'!$C$5:$C$504,$A506,'Issues Log'!$K$5:$K$504,"Open")+COUNTIFS('Issues Log'!$C$5:$C$504,$A506,'Issues Log'!$K$5:$K$504,"In progress"))</f>
        <v/>
      </c>
      <c r="Z506" s="27" t="n"/>
    </row>
    <row r="507">
      <c r="A507" s="27" t="n"/>
      <c r="B507" s="27" t="n"/>
      <c r="C507" s="27" t="n"/>
      <c r="D507" s="28">
        <f>IF($C507="","",IFERROR(INDEX('Topic Plan'!$C$5:$C$115,MATCH($C507,'Topic Plan'!$B$5:$B$115,0)),"UNKNOWN TOPIC ID"))</f>
        <v/>
      </c>
      <c r="E507" s="28">
        <f>IF($C507="","",IFERROR(INDEX('Topic Plan'!$D$5:$D$115,MATCH($C507,'Topic Plan'!$B$5:$B$115,0)),""))</f>
        <v/>
      </c>
      <c r="F507" s="28">
        <f>IF($C507="","",IFERROR(INDEX('Topic Plan'!$E$5:$E$115,MATCH($C507,'Topic Plan'!$B$5:$B$115,0)),""))</f>
        <v/>
      </c>
      <c r="G507" s="23" t="n"/>
      <c r="H507" s="27" t="n"/>
      <c r="I507" s="27" t="n"/>
      <c r="J507" s="27" t="n"/>
      <c r="K507" s="27" t="n"/>
      <c r="L507" s="27" t="n"/>
      <c r="M507" s="27" t="n"/>
      <c r="N507" s="23" t="n"/>
      <c r="O507" s="29" t="n"/>
      <c r="P507" s="29" t="n"/>
      <c r="Q507" s="29" t="n"/>
      <c r="R507" s="29" t="n"/>
      <c r="S507" s="29" t="n"/>
      <c r="T507" s="29" t="n"/>
      <c r="U507" s="29" t="n"/>
      <c r="V507" s="30">
        <f>IF(OR($A507="",$U507=""),"",IF($S507&lt;&gt;"",MAX(0,$S507-$U507),MAX(0,TODAY()-$U507)))</f>
        <v/>
      </c>
      <c r="W507" s="30">
        <f>IF($A507="","",IF(OR($N507="Live",$N507="Retired"),"",TODAY()-MAX($O507,$P507,$Q507,$R507)))</f>
        <v/>
      </c>
      <c r="X507" s="23" t="n"/>
      <c r="Y507" s="30">
        <f>IF($A507="","",COUNTIFS('Issues Log'!$C$5:$C$504,$A507,'Issues Log'!$K$5:$K$504,"Open")+COUNTIFS('Issues Log'!$C$5:$C$504,$A507,'Issues Log'!$K$5:$K$504,"In progress"))</f>
        <v/>
      </c>
      <c r="Z507" s="27" t="n"/>
    </row>
    <row r="508">
      <c r="A508" s="27" t="n"/>
      <c r="B508" s="27" t="n"/>
      <c r="C508" s="27" t="n"/>
      <c r="D508" s="28">
        <f>IF($C508="","",IFERROR(INDEX('Topic Plan'!$C$5:$C$115,MATCH($C508,'Topic Plan'!$B$5:$B$115,0)),"UNKNOWN TOPIC ID"))</f>
        <v/>
      </c>
      <c r="E508" s="28">
        <f>IF($C508="","",IFERROR(INDEX('Topic Plan'!$D$5:$D$115,MATCH($C508,'Topic Plan'!$B$5:$B$115,0)),""))</f>
        <v/>
      </c>
      <c r="F508" s="28">
        <f>IF($C508="","",IFERROR(INDEX('Topic Plan'!$E$5:$E$115,MATCH($C508,'Topic Plan'!$B$5:$B$115,0)),""))</f>
        <v/>
      </c>
      <c r="G508" s="23" t="n"/>
      <c r="H508" s="27" t="n"/>
      <c r="I508" s="27" t="n"/>
      <c r="J508" s="27" t="n"/>
      <c r="K508" s="27" t="n"/>
      <c r="L508" s="27" t="n"/>
      <c r="M508" s="27" t="n"/>
      <c r="N508" s="23" t="n"/>
      <c r="O508" s="29" t="n"/>
      <c r="P508" s="29" t="n"/>
      <c r="Q508" s="29" t="n"/>
      <c r="R508" s="29" t="n"/>
      <c r="S508" s="29" t="n"/>
      <c r="T508" s="29" t="n"/>
      <c r="U508" s="29" t="n"/>
      <c r="V508" s="30">
        <f>IF(OR($A508="",$U508=""),"",IF($S508&lt;&gt;"",MAX(0,$S508-$U508),MAX(0,TODAY()-$U508)))</f>
        <v/>
      </c>
      <c r="W508" s="30">
        <f>IF($A508="","",IF(OR($N508="Live",$N508="Retired"),"",TODAY()-MAX($O508,$P508,$Q508,$R508)))</f>
        <v/>
      </c>
      <c r="X508" s="23" t="n"/>
      <c r="Y508" s="30">
        <f>IF($A508="","",COUNTIFS('Issues Log'!$C$5:$C$504,$A508,'Issues Log'!$K$5:$K$504,"Open")+COUNTIFS('Issues Log'!$C$5:$C$504,$A508,'Issues Log'!$K$5:$K$504,"In progress"))</f>
        <v/>
      </c>
      <c r="Z508" s="27" t="n"/>
    </row>
    <row r="509">
      <c r="A509" s="27" t="n"/>
      <c r="B509" s="27" t="n"/>
      <c r="C509" s="27" t="n"/>
      <c r="D509" s="28">
        <f>IF($C509="","",IFERROR(INDEX('Topic Plan'!$C$5:$C$115,MATCH($C509,'Topic Plan'!$B$5:$B$115,0)),"UNKNOWN TOPIC ID"))</f>
        <v/>
      </c>
      <c r="E509" s="28">
        <f>IF($C509="","",IFERROR(INDEX('Topic Plan'!$D$5:$D$115,MATCH($C509,'Topic Plan'!$B$5:$B$115,0)),""))</f>
        <v/>
      </c>
      <c r="F509" s="28">
        <f>IF($C509="","",IFERROR(INDEX('Topic Plan'!$E$5:$E$115,MATCH($C509,'Topic Plan'!$B$5:$B$115,0)),""))</f>
        <v/>
      </c>
      <c r="G509" s="23" t="n"/>
      <c r="H509" s="27" t="n"/>
      <c r="I509" s="27" t="n"/>
      <c r="J509" s="27" t="n"/>
      <c r="K509" s="27" t="n"/>
      <c r="L509" s="27" t="n"/>
      <c r="M509" s="27" t="n"/>
      <c r="N509" s="23" t="n"/>
      <c r="O509" s="29" t="n"/>
      <c r="P509" s="29" t="n"/>
      <c r="Q509" s="29" t="n"/>
      <c r="R509" s="29" t="n"/>
      <c r="S509" s="29" t="n"/>
      <c r="T509" s="29" t="n"/>
      <c r="U509" s="29" t="n"/>
      <c r="V509" s="30">
        <f>IF(OR($A509="",$U509=""),"",IF($S509&lt;&gt;"",MAX(0,$S509-$U509),MAX(0,TODAY()-$U509)))</f>
        <v/>
      </c>
      <c r="W509" s="30">
        <f>IF($A509="","",IF(OR($N509="Live",$N509="Retired"),"",TODAY()-MAX($O509,$P509,$Q509,$R509)))</f>
        <v/>
      </c>
      <c r="X509" s="23" t="n"/>
      <c r="Y509" s="30">
        <f>IF($A509="","",COUNTIFS('Issues Log'!$C$5:$C$504,$A509,'Issues Log'!$K$5:$K$504,"Open")+COUNTIFS('Issues Log'!$C$5:$C$504,$A509,'Issues Log'!$K$5:$K$504,"In progress"))</f>
        <v/>
      </c>
      <c r="Z509" s="27" t="n"/>
    </row>
    <row r="510">
      <c r="A510" s="27" t="n"/>
      <c r="B510" s="27" t="n"/>
      <c r="C510" s="27" t="n"/>
      <c r="D510" s="28">
        <f>IF($C510="","",IFERROR(INDEX('Topic Plan'!$C$5:$C$115,MATCH($C510,'Topic Plan'!$B$5:$B$115,0)),"UNKNOWN TOPIC ID"))</f>
        <v/>
      </c>
      <c r="E510" s="28">
        <f>IF($C510="","",IFERROR(INDEX('Topic Plan'!$D$5:$D$115,MATCH($C510,'Topic Plan'!$B$5:$B$115,0)),""))</f>
        <v/>
      </c>
      <c r="F510" s="28">
        <f>IF($C510="","",IFERROR(INDEX('Topic Plan'!$E$5:$E$115,MATCH($C510,'Topic Plan'!$B$5:$B$115,0)),""))</f>
        <v/>
      </c>
      <c r="G510" s="23" t="n"/>
      <c r="H510" s="27" t="n"/>
      <c r="I510" s="27" t="n"/>
      <c r="J510" s="27" t="n"/>
      <c r="K510" s="27" t="n"/>
      <c r="L510" s="27" t="n"/>
      <c r="M510" s="27" t="n"/>
      <c r="N510" s="23" t="n"/>
      <c r="O510" s="29" t="n"/>
      <c r="P510" s="29" t="n"/>
      <c r="Q510" s="29" t="n"/>
      <c r="R510" s="29" t="n"/>
      <c r="S510" s="29" t="n"/>
      <c r="T510" s="29" t="n"/>
      <c r="U510" s="29" t="n"/>
      <c r="V510" s="30">
        <f>IF(OR($A510="",$U510=""),"",IF($S510&lt;&gt;"",MAX(0,$S510-$U510),MAX(0,TODAY()-$U510)))</f>
        <v/>
      </c>
      <c r="W510" s="30">
        <f>IF($A510="","",IF(OR($N510="Live",$N510="Retired"),"",TODAY()-MAX($O510,$P510,$Q510,$R510)))</f>
        <v/>
      </c>
      <c r="X510" s="23" t="n"/>
      <c r="Y510" s="30">
        <f>IF($A510="","",COUNTIFS('Issues Log'!$C$5:$C$504,$A510,'Issues Log'!$K$5:$K$504,"Open")+COUNTIFS('Issues Log'!$C$5:$C$504,$A510,'Issues Log'!$K$5:$K$504,"In progress"))</f>
        <v/>
      </c>
      <c r="Z510" s="27" t="n"/>
    </row>
    <row r="511">
      <c r="A511" s="27" t="n"/>
      <c r="B511" s="27" t="n"/>
      <c r="C511" s="27" t="n"/>
      <c r="D511" s="28">
        <f>IF($C511="","",IFERROR(INDEX('Topic Plan'!$C$5:$C$115,MATCH($C511,'Topic Plan'!$B$5:$B$115,0)),"UNKNOWN TOPIC ID"))</f>
        <v/>
      </c>
      <c r="E511" s="28">
        <f>IF($C511="","",IFERROR(INDEX('Topic Plan'!$D$5:$D$115,MATCH($C511,'Topic Plan'!$B$5:$B$115,0)),""))</f>
        <v/>
      </c>
      <c r="F511" s="28">
        <f>IF($C511="","",IFERROR(INDEX('Topic Plan'!$E$5:$E$115,MATCH($C511,'Topic Plan'!$B$5:$B$115,0)),""))</f>
        <v/>
      </c>
      <c r="G511" s="23" t="n"/>
      <c r="H511" s="27" t="n"/>
      <c r="I511" s="27" t="n"/>
      <c r="J511" s="27" t="n"/>
      <c r="K511" s="27" t="n"/>
      <c r="L511" s="27" t="n"/>
      <c r="M511" s="27" t="n"/>
      <c r="N511" s="23" t="n"/>
      <c r="O511" s="29" t="n"/>
      <c r="P511" s="29" t="n"/>
      <c r="Q511" s="29" t="n"/>
      <c r="R511" s="29" t="n"/>
      <c r="S511" s="29" t="n"/>
      <c r="T511" s="29" t="n"/>
      <c r="U511" s="29" t="n"/>
      <c r="V511" s="30">
        <f>IF(OR($A511="",$U511=""),"",IF($S511&lt;&gt;"",MAX(0,$S511-$U511),MAX(0,TODAY()-$U511)))</f>
        <v/>
      </c>
      <c r="W511" s="30">
        <f>IF($A511="","",IF(OR($N511="Live",$N511="Retired"),"",TODAY()-MAX($O511,$P511,$Q511,$R511)))</f>
        <v/>
      </c>
      <c r="X511" s="23" t="n"/>
      <c r="Y511" s="30">
        <f>IF($A511="","",COUNTIFS('Issues Log'!$C$5:$C$504,$A511,'Issues Log'!$K$5:$K$504,"Open")+COUNTIFS('Issues Log'!$C$5:$C$504,$A511,'Issues Log'!$K$5:$K$504,"In progress"))</f>
        <v/>
      </c>
      <c r="Z511" s="27" t="n"/>
    </row>
    <row r="512">
      <c r="A512" s="27" t="n"/>
      <c r="B512" s="27" t="n"/>
      <c r="C512" s="27" t="n"/>
      <c r="D512" s="28">
        <f>IF($C512="","",IFERROR(INDEX('Topic Plan'!$C$5:$C$115,MATCH($C512,'Topic Plan'!$B$5:$B$115,0)),"UNKNOWN TOPIC ID"))</f>
        <v/>
      </c>
      <c r="E512" s="28">
        <f>IF($C512="","",IFERROR(INDEX('Topic Plan'!$D$5:$D$115,MATCH($C512,'Topic Plan'!$B$5:$B$115,0)),""))</f>
        <v/>
      </c>
      <c r="F512" s="28">
        <f>IF($C512="","",IFERROR(INDEX('Topic Plan'!$E$5:$E$115,MATCH($C512,'Topic Plan'!$B$5:$B$115,0)),""))</f>
        <v/>
      </c>
      <c r="G512" s="23" t="n"/>
      <c r="H512" s="27" t="n"/>
      <c r="I512" s="27" t="n"/>
      <c r="J512" s="27" t="n"/>
      <c r="K512" s="27" t="n"/>
      <c r="L512" s="27" t="n"/>
      <c r="M512" s="27" t="n"/>
      <c r="N512" s="23" t="n"/>
      <c r="O512" s="29" t="n"/>
      <c r="P512" s="29" t="n"/>
      <c r="Q512" s="29" t="n"/>
      <c r="R512" s="29" t="n"/>
      <c r="S512" s="29" t="n"/>
      <c r="T512" s="29" t="n"/>
      <c r="U512" s="29" t="n"/>
      <c r="V512" s="30">
        <f>IF(OR($A512="",$U512=""),"",IF($S512&lt;&gt;"",MAX(0,$S512-$U512),MAX(0,TODAY()-$U512)))</f>
        <v/>
      </c>
      <c r="W512" s="30">
        <f>IF($A512="","",IF(OR($N512="Live",$N512="Retired"),"",TODAY()-MAX($O512,$P512,$Q512,$R512)))</f>
        <v/>
      </c>
      <c r="X512" s="23" t="n"/>
      <c r="Y512" s="30">
        <f>IF($A512="","",COUNTIFS('Issues Log'!$C$5:$C$504,$A512,'Issues Log'!$K$5:$K$504,"Open")+COUNTIFS('Issues Log'!$C$5:$C$504,$A512,'Issues Log'!$K$5:$K$504,"In progress"))</f>
        <v/>
      </c>
      <c r="Z512" s="27" t="n"/>
    </row>
    <row r="513">
      <c r="A513" s="27" t="n"/>
      <c r="B513" s="27" t="n"/>
      <c r="C513" s="27" t="n"/>
      <c r="D513" s="28">
        <f>IF($C513="","",IFERROR(INDEX('Topic Plan'!$C$5:$C$115,MATCH($C513,'Topic Plan'!$B$5:$B$115,0)),"UNKNOWN TOPIC ID"))</f>
        <v/>
      </c>
      <c r="E513" s="28">
        <f>IF($C513="","",IFERROR(INDEX('Topic Plan'!$D$5:$D$115,MATCH($C513,'Topic Plan'!$B$5:$B$115,0)),""))</f>
        <v/>
      </c>
      <c r="F513" s="28">
        <f>IF($C513="","",IFERROR(INDEX('Topic Plan'!$E$5:$E$115,MATCH($C513,'Topic Plan'!$B$5:$B$115,0)),""))</f>
        <v/>
      </c>
      <c r="G513" s="23" t="n"/>
      <c r="H513" s="27" t="n"/>
      <c r="I513" s="27" t="n"/>
      <c r="J513" s="27" t="n"/>
      <c r="K513" s="27" t="n"/>
      <c r="L513" s="27" t="n"/>
      <c r="M513" s="27" t="n"/>
      <c r="N513" s="23" t="n"/>
      <c r="O513" s="29" t="n"/>
      <c r="P513" s="29" t="n"/>
      <c r="Q513" s="29" t="n"/>
      <c r="R513" s="29" t="n"/>
      <c r="S513" s="29" t="n"/>
      <c r="T513" s="29" t="n"/>
      <c r="U513" s="29" t="n"/>
      <c r="V513" s="30">
        <f>IF(OR($A513="",$U513=""),"",IF($S513&lt;&gt;"",MAX(0,$S513-$U513),MAX(0,TODAY()-$U513)))</f>
        <v/>
      </c>
      <c r="W513" s="30">
        <f>IF($A513="","",IF(OR($N513="Live",$N513="Retired"),"",TODAY()-MAX($O513,$P513,$Q513,$R513)))</f>
        <v/>
      </c>
      <c r="X513" s="23" t="n"/>
      <c r="Y513" s="30">
        <f>IF($A513="","",COUNTIFS('Issues Log'!$C$5:$C$504,$A513,'Issues Log'!$K$5:$K$504,"Open")+COUNTIFS('Issues Log'!$C$5:$C$504,$A513,'Issues Log'!$K$5:$K$504,"In progress"))</f>
        <v/>
      </c>
      <c r="Z513" s="27" t="n"/>
    </row>
    <row r="514">
      <c r="A514" s="27" t="n"/>
      <c r="B514" s="27" t="n"/>
      <c r="C514" s="27" t="n"/>
      <c r="D514" s="28">
        <f>IF($C514="","",IFERROR(INDEX('Topic Plan'!$C$5:$C$115,MATCH($C514,'Topic Plan'!$B$5:$B$115,0)),"UNKNOWN TOPIC ID"))</f>
        <v/>
      </c>
      <c r="E514" s="28">
        <f>IF($C514="","",IFERROR(INDEX('Topic Plan'!$D$5:$D$115,MATCH($C514,'Topic Plan'!$B$5:$B$115,0)),""))</f>
        <v/>
      </c>
      <c r="F514" s="28">
        <f>IF($C514="","",IFERROR(INDEX('Topic Plan'!$E$5:$E$115,MATCH($C514,'Topic Plan'!$B$5:$B$115,0)),""))</f>
        <v/>
      </c>
      <c r="G514" s="23" t="n"/>
      <c r="H514" s="27" t="n"/>
      <c r="I514" s="27" t="n"/>
      <c r="J514" s="27" t="n"/>
      <c r="K514" s="27" t="n"/>
      <c r="L514" s="27" t="n"/>
      <c r="M514" s="27" t="n"/>
      <c r="N514" s="23" t="n"/>
      <c r="O514" s="29" t="n"/>
      <c r="P514" s="29" t="n"/>
      <c r="Q514" s="29" t="n"/>
      <c r="R514" s="29" t="n"/>
      <c r="S514" s="29" t="n"/>
      <c r="T514" s="29" t="n"/>
      <c r="U514" s="29" t="n"/>
      <c r="V514" s="30">
        <f>IF(OR($A514="",$U514=""),"",IF($S514&lt;&gt;"",MAX(0,$S514-$U514),MAX(0,TODAY()-$U514)))</f>
        <v/>
      </c>
      <c r="W514" s="30">
        <f>IF($A514="","",IF(OR($N514="Live",$N514="Retired"),"",TODAY()-MAX($O514,$P514,$Q514,$R514)))</f>
        <v/>
      </c>
      <c r="X514" s="23" t="n"/>
      <c r="Y514" s="30">
        <f>IF($A514="","",COUNTIFS('Issues Log'!$C$5:$C$504,$A514,'Issues Log'!$K$5:$K$504,"Open")+COUNTIFS('Issues Log'!$C$5:$C$504,$A514,'Issues Log'!$K$5:$K$504,"In progress"))</f>
        <v/>
      </c>
      <c r="Z514" s="27" t="n"/>
    </row>
    <row r="515">
      <c r="A515" s="27" t="n"/>
      <c r="B515" s="27" t="n"/>
      <c r="C515" s="27" t="n"/>
      <c r="D515" s="28">
        <f>IF($C515="","",IFERROR(INDEX('Topic Plan'!$C$5:$C$115,MATCH($C515,'Topic Plan'!$B$5:$B$115,0)),"UNKNOWN TOPIC ID"))</f>
        <v/>
      </c>
      <c r="E515" s="28">
        <f>IF($C515="","",IFERROR(INDEX('Topic Plan'!$D$5:$D$115,MATCH($C515,'Topic Plan'!$B$5:$B$115,0)),""))</f>
        <v/>
      </c>
      <c r="F515" s="28">
        <f>IF($C515="","",IFERROR(INDEX('Topic Plan'!$E$5:$E$115,MATCH($C515,'Topic Plan'!$B$5:$B$115,0)),""))</f>
        <v/>
      </c>
      <c r="G515" s="23" t="n"/>
      <c r="H515" s="27" t="n"/>
      <c r="I515" s="27" t="n"/>
      <c r="J515" s="27" t="n"/>
      <c r="K515" s="27" t="n"/>
      <c r="L515" s="27" t="n"/>
      <c r="M515" s="27" t="n"/>
      <c r="N515" s="23" t="n"/>
      <c r="O515" s="29" t="n"/>
      <c r="P515" s="29" t="n"/>
      <c r="Q515" s="29" t="n"/>
      <c r="R515" s="29" t="n"/>
      <c r="S515" s="29" t="n"/>
      <c r="T515" s="29" t="n"/>
      <c r="U515" s="29" t="n"/>
      <c r="V515" s="30">
        <f>IF(OR($A515="",$U515=""),"",IF($S515&lt;&gt;"",MAX(0,$S515-$U515),MAX(0,TODAY()-$U515)))</f>
        <v/>
      </c>
      <c r="W515" s="30">
        <f>IF($A515="","",IF(OR($N515="Live",$N515="Retired"),"",TODAY()-MAX($O515,$P515,$Q515,$R515)))</f>
        <v/>
      </c>
      <c r="X515" s="23" t="n"/>
      <c r="Y515" s="30">
        <f>IF($A515="","",COUNTIFS('Issues Log'!$C$5:$C$504,$A515,'Issues Log'!$K$5:$K$504,"Open")+COUNTIFS('Issues Log'!$C$5:$C$504,$A515,'Issues Log'!$K$5:$K$504,"In progress"))</f>
        <v/>
      </c>
      <c r="Z515" s="27" t="n"/>
    </row>
    <row r="516">
      <c r="A516" s="27" t="n"/>
      <c r="B516" s="27" t="n"/>
      <c r="C516" s="27" t="n"/>
      <c r="D516" s="28">
        <f>IF($C516="","",IFERROR(INDEX('Topic Plan'!$C$5:$C$115,MATCH($C516,'Topic Plan'!$B$5:$B$115,0)),"UNKNOWN TOPIC ID"))</f>
        <v/>
      </c>
      <c r="E516" s="28">
        <f>IF($C516="","",IFERROR(INDEX('Topic Plan'!$D$5:$D$115,MATCH($C516,'Topic Plan'!$B$5:$B$115,0)),""))</f>
        <v/>
      </c>
      <c r="F516" s="28">
        <f>IF($C516="","",IFERROR(INDEX('Topic Plan'!$E$5:$E$115,MATCH($C516,'Topic Plan'!$B$5:$B$115,0)),""))</f>
        <v/>
      </c>
      <c r="G516" s="23" t="n"/>
      <c r="H516" s="27" t="n"/>
      <c r="I516" s="27" t="n"/>
      <c r="J516" s="27" t="n"/>
      <c r="K516" s="27" t="n"/>
      <c r="L516" s="27" t="n"/>
      <c r="M516" s="27" t="n"/>
      <c r="N516" s="23" t="n"/>
      <c r="O516" s="29" t="n"/>
      <c r="P516" s="29" t="n"/>
      <c r="Q516" s="29" t="n"/>
      <c r="R516" s="29" t="n"/>
      <c r="S516" s="29" t="n"/>
      <c r="T516" s="29" t="n"/>
      <c r="U516" s="29" t="n"/>
      <c r="V516" s="30">
        <f>IF(OR($A516="",$U516=""),"",IF($S516&lt;&gt;"",MAX(0,$S516-$U516),MAX(0,TODAY()-$U516)))</f>
        <v/>
      </c>
      <c r="W516" s="30">
        <f>IF($A516="","",IF(OR($N516="Live",$N516="Retired"),"",TODAY()-MAX($O516,$P516,$Q516,$R516)))</f>
        <v/>
      </c>
      <c r="X516" s="23" t="n"/>
      <c r="Y516" s="30">
        <f>IF($A516="","",COUNTIFS('Issues Log'!$C$5:$C$504,$A516,'Issues Log'!$K$5:$K$504,"Open")+COUNTIFS('Issues Log'!$C$5:$C$504,$A516,'Issues Log'!$K$5:$K$504,"In progress"))</f>
        <v/>
      </c>
      <c r="Z516" s="27" t="n"/>
    </row>
    <row r="517">
      <c r="A517" s="27" t="n"/>
      <c r="B517" s="27" t="n"/>
      <c r="C517" s="27" t="n"/>
      <c r="D517" s="28">
        <f>IF($C517="","",IFERROR(INDEX('Topic Plan'!$C$5:$C$115,MATCH($C517,'Topic Plan'!$B$5:$B$115,0)),"UNKNOWN TOPIC ID"))</f>
        <v/>
      </c>
      <c r="E517" s="28">
        <f>IF($C517="","",IFERROR(INDEX('Topic Plan'!$D$5:$D$115,MATCH($C517,'Topic Plan'!$B$5:$B$115,0)),""))</f>
        <v/>
      </c>
      <c r="F517" s="28">
        <f>IF($C517="","",IFERROR(INDEX('Topic Plan'!$E$5:$E$115,MATCH($C517,'Topic Plan'!$B$5:$B$115,0)),""))</f>
        <v/>
      </c>
      <c r="G517" s="23" t="n"/>
      <c r="H517" s="27" t="n"/>
      <c r="I517" s="27" t="n"/>
      <c r="J517" s="27" t="n"/>
      <c r="K517" s="27" t="n"/>
      <c r="L517" s="27" t="n"/>
      <c r="M517" s="27" t="n"/>
      <c r="N517" s="23" t="n"/>
      <c r="O517" s="29" t="n"/>
      <c r="P517" s="29" t="n"/>
      <c r="Q517" s="29" t="n"/>
      <c r="R517" s="29" t="n"/>
      <c r="S517" s="29" t="n"/>
      <c r="T517" s="29" t="n"/>
      <c r="U517" s="29" t="n"/>
      <c r="V517" s="30">
        <f>IF(OR($A517="",$U517=""),"",IF($S517&lt;&gt;"",MAX(0,$S517-$U517),MAX(0,TODAY()-$U517)))</f>
        <v/>
      </c>
      <c r="W517" s="30">
        <f>IF($A517="","",IF(OR($N517="Live",$N517="Retired"),"",TODAY()-MAX($O517,$P517,$Q517,$R517)))</f>
        <v/>
      </c>
      <c r="X517" s="23" t="n"/>
      <c r="Y517" s="30">
        <f>IF($A517="","",COUNTIFS('Issues Log'!$C$5:$C$504,$A517,'Issues Log'!$K$5:$K$504,"Open")+COUNTIFS('Issues Log'!$C$5:$C$504,$A517,'Issues Log'!$K$5:$K$504,"In progress"))</f>
        <v/>
      </c>
      <c r="Z517" s="27" t="n"/>
    </row>
    <row r="518">
      <c r="A518" s="27" t="n"/>
      <c r="B518" s="27" t="n"/>
      <c r="C518" s="27" t="n"/>
      <c r="D518" s="28">
        <f>IF($C518="","",IFERROR(INDEX('Topic Plan'!$C$5:$C$115,MATCH($C518,'Topic Plan'!$B$5:$B$115,0)),"UNKNOWN TOPIC ID"))</f>
        <v/>
      </c>
      <c r="E518" s="28">
        <f>IF($C518="","",IFERROR(INDEX('Topic Plan'!$D$5:$D$115,MATCH($C518,'Topic Plan'!$B$5:$B$115,0)),""))</f>
        <v/>
      </c>
      <c r="F518" s="28">
        <f>IF($C518="","",IFERROR(INDEX('Topic Plan'!$E$5:$E$115,MATCH($C518,'Topic Plan'!$B$5:$B$115,0)),""))</f>
        <v/>
      </c>
      <c r="G518" s="23" t="n"/>
      <c r="H518" s="27" t="n"/>
      <c r="I518" s="27" t="n"/>
      <c r="J518" s="27" t="n"/>
      <c r="K518" s="27" t="n"/>
      <c r="L518" s="27" t="n"/>
      <c r="M518" s="27" t="n"/>
      <c r="N518" s="23" t="n"/>
      <c r="O518" s="29" t="n"/>
      <c r="P518" s="29" t="n"/>
      <c r="Q518" s="29" t="n"/>
      <c r="R518" s="29" t="n"/>
      <c r="S518" s="29" t="n"/>
      <c r="T518" s="29" t="n"/>
      <c r="U518" s="29" t="n"/>
      <c r="V518" s="30">
        <f>IF(OR($A518="",$U518=""),"",IF($S518&lt;&gt;"",MAX(0,$S518-$U518),MAX(0,TODAY()-$U518)))</f>
        <v/>
      </c>
      <c r="W518" s="30">
        <f>IF($A518="","",IF(OR($N518="Live",$N518="Retired"),"",TODAY()-MAX($O518,$P518,$Q518,$R518)))</f>
        <v/>
      </c>
      <c r="X518" s="23" t="n"/>
      <c r="Y518" s="30">
        <f>IF($A518="","",COUNTIFS('Issues Log'!$C$5:$C$504,$A518,'Issues Log'!$K$5:$K$504,"Open")+COUNTIFS('Issues Log'!$C$5:$C$504,$A518,'Issues Log'!$K$5:$K$504,"In progress"))</f>
        <v/>
      </c>
      <c r="Z518" s="27" t="n"/>
    </row>
    <row r="519">
      <c r="A519" s="27" t="n"/>
      <c r="B519" s="27" t="n"/>
      <c r="C519" s="27" t="n"/>
      <c r="D519" s="28">
        <f>IF($C519="","",IFERROR(INDEX('Topic Plan'!$C$5:$C$115,MATCH($C519,'Topic Plan'!$B$5:$B$115,0)),"UNKNOWN TOPIC ID"))</f>
        <v/>
      </c>
      <c r="E519" s="28">
        <f>IF($C519="","",IFERROR(INDEX('Topic Plan'!$D$5:$D$115,MATCH($C519,'Topic Plan'!$B$5:$B$115,0)),""))</f>
        <v/>
      </c>
      <c r="F519" s="28">
        <f>IF($C519="","",IFERROR(INDEX('Topic Plan'!$E$5:$E$115,MATCH($C519,'Topic Plan'!$B$5:$B$115,0)),""))</f>
        <v/>
      </c>
      <c r="G519" s="23" t="n"/>
      <c r="H519" s="27" t="n"/>
      <c r="I519" s="27" t="n"/>
      <c r="J519" s="27" t="n"/>
      <c r="K519" s="27" t="n"/>
      <c r="L519" s="27" t="n"/>
      <c r="M519" s="27" t="n"/>
      <c r="N519" s="23" t="n"/>
      <c r="O519" s="29" t="n"/>
      <c r="P519" s="29" t="n"/>
      <c r="Q519" s="29" t="n"/>
      <c r="R519" s="29" t="n"/>
      <c r="S519" s="29" t="n"/>
      <c r="T519" s="29" t="n"/>
      <c r="U519" s="29" t="n"/>
      <c r="V519" s="30">
        <f>IF(OR($A519="",$U519=""),"",IF($S519&lt;&gt;"",MAX(0,$S519-$U519),MAX(0,TODAY()-$U519)))</f>
        <v/>
      </c>
      <c r="W519" s="30">
        <f>IF($A519="","",IF(OR($N519="Live",$N519="Retired"),"",TODAY()-MAX($O519,$P519,$Q519,$R519)))</f>
        <v/>
      </c>
      <c r="X519" s="23" t="n"/>
      <c r="Y519" s="30">
        <f>IF($A519="","",COUNTIFS('Issues Log'!$C$5:$C$504,$A519,'Issues Log'!$K$5:$K$504,"Open")+COUNTIFS('Issues Log'!$C$5:$C$504,$A519,'Issues Log'!$K$5:$K$504,"In progress"))</f>
        <v/>
      </c>
      <c r="Z519" s="27" t="n"/>
    </row>
    <row r="520">
      <c r="A520" s="27" t="n"/>
      <c r="B520" s="27" t="n"/>
      <c r="C520" s="27" t="n"/>
      <c r="D520" s="28">
        <f>IF($C520="","",IFERROR(INDEX('Topic Plan'!$C$5:$C$115,MATCH($C520,'Topic Plan'!$B$5:$B$115,0)),"UNKNOWN TOPIC ID"))</f>
        <v/>
      </c>
      <c r="E520" s="28">
        <f>IF($C520="","",IFERROR(INDEX('Topic Plan'!$D$5:$D$115,MATCH($C520,'Topic Plan'!$B$5:$B$115,0)),""))</f>
        <v/>
      </c>
      <c r="F520" s="28">
        <f>IF($C520="","",IFERROR(INDEX('Topic Plan'!$E$5:$E$115,MATCH($C520,'Topic Plan'!$B$5:$B$115,0)),""))</f>
        <v/>
      </c>
      <c r="G520" s="23" t="n"/>
      <c r="H520" s="27" t="n"/>
      <c r="I520" s="27" t="n"/>
      <c r="J520" s="27" t="n"/>
      <c r="K520" s="27" t="n"/>
      <c r="L520" s="27" t="n"/>
      <c r="M520" s="27" t="n"/>
      <c r="N520" s="23" t="n"/>
      <c r="O520" s="29" t="n"/>
      <c r="P520" s="29" t="n"/>
      <c r="Q520" s="29" t="n"/>
      <c r="R520" s="29" t="n"/>
      <c r="S520" s="29" t="n"/>
      <c r="T520" s="29" t="n"/>
      <c r="U520" s="29" t="n"/>
      <c r="V520" s="30">
        <f>IF(OR($A520="",$U520=""),"",IF($S520&lt;&gt;"",MAX(0,$S520-$U520),MAX(0,TODAY()-$U520)))</f>
        <v/>
      </c>
      <c r="W520" s="30">
        <f>IF($A520="","",IF(OR($N520="Live",$N520="Retired"),"",TODAY()-MAX($O520,$P520,$Q520,$R520)))</f>
        <v/>
      </c>
      <c r="X520" s="23" t="n"/>
      <c r="Y520" s="30">
        <f>IF($A520="","",COUNTIFS('Issues Log'!$C$5:$C$504,$A520,'Issues Log'!$K$5:$K$504,"Open")+COUNTIFS('Issues Log'!$C$5:$C$504,$A520,'Issues Log'!$K$5:$K$504,"In progress"))</f>
        <v/>
      </c>
      <c r="Z520" s="27" t="n"/>
    </row>
    <row r="521">
      <c r="A521" s="27" t="n"/>
      <c r="B521" s="27" t="n"/>
      <c r="C521" s="27" t="n"/>
      <c r="D521" s="28">
        <f>IF($C521="","",IFERROR(INDEX('Topic Plan'!$C$5:$C$115,MATCH($C521,'Topic Plan'!$B$5:$B$115,0)),"UNKNOWN TOPIC ID"))</f>
        <v/>
      </c>
      <c r="E521" s="28">
        <f>IF($C521="","",IFERROR(INDEX('Topic Plan'!$D$5:$D$115,MATCH($C521,'Topic Plan'!$B$5:$B$115,0)),""))</f>
        <v/>
      </c>
      <c r="F521" s="28">
        <f>IF($C521="","",IFERROR(INDEX('Topic Plan'!$E$5:$E$115,MATCH($C521,'Topic Plan'!$B$5:$B$115,0)),""))</f>
        <v/>
      </c>
      <c r="G521" s="23" t="n"/>
      <c r="H521" s="27" t="n"/>
      <c r="I521" s="27" t="n"/>
      <c r="J521" s="27" t="n"/>
      <c r="K521" s="27" t="n"/>
      <c r="L521" s="27" t="n"/>
      <c r="M521" s="27" t="n"/>
      <c r="N521" s="23" t="n"/>
      <c r="O521" s="29" t="n"/>
      <c r="P521" s="29" t="n"/>
      <c r="Q521" s="29" t="n"/>
      <c r="R521" s="29" t="n"/>
      <c r="S521" s="29" t="n"/>
      <c r="T521" s="29" t="n"/>
      <c r="U521" s="29" t="n"/>
      <c r="V521" s="30">
        <f>IF(OR($A521="",$U521=""),"",IF($S521&lt;&gt;"",MAX(0,$S521-$U521),MAX(0,TODAY()-$U521)))</f>
        <v/>
      </c>
      <c r="W521" s="30">
        <f>IF($A521="","",IF(OR($N521="Live",$N521="Retired"),"",TODAY()-MAX($O521,$P521,$Q521,$R521)))</f>
        <v/>
      </c>
      <c r="X521" s="23" t="n"/>
      <c r="Y521" s="30">
        <f>IF($A521="","",COUNTIFS('Issues Log'!$C$5:$C$504,$A521,'Issues Log'!$K$5:$K$504,"Open")+COUNTIFS('Issues Log'!$C$5:$C$504,$A521,'Issues Log'!$K$5:$K$504,"In progress"))</f>
        <v/>
      </c>
      <c r="Z521" s="27" t="n"/>
    </row>
    <row r="522">
      <c r="A522" s="27" t="n"/>
      <c r="B522" s="27" t="n"/>
      <c r="C522" s="27" t="n"/>
      <c r="D522" s="28">
        <f>IF($C522="","",IFERROR(INDEX('Topic Plan'!$C$5:$C$115,MATCH($C522,'Topic Plan'!$B$5:$B$115,0)),"UNKNOWN TOPIC ID"))</f>
        <v/>
      </c>
      <c r="E522" s="28">
        <f>IF($C522="","",IFERROR(INDEX('Topic Plan'!$D$5:$D$115,MATCH($C522,'Topic Plan'!$B$5:$B$115,0)),""))</f>
        <v/>
      </c>
      <c r="F522" s="28">
        <f>IF($C522="","",IFERROR(INDEX('Topic Plan'!$E$5:$E$115,MATCH($C522,'Topic Plan'!$B$5:$B$115,0)),""))</f>
        <v/>
      </c>
      <c r="G522" s="23" t="n"/>
      <c r="H522" s="27" t="n"/>
      <c r="I522" s="27" t="n"/>
      <c r="J522" s="27" t="n"/>
      <c r="K522" s="27" t="n"/>
      <c r="L522" s="27" t="n"/>
      <c r="M522" s="27" t="n"/>
      <c r="N522" s="23" t="n"/>
      <c r="O522" s="29" t="n"/>
      <c r="P522" s="29" t="n"/>
      <c r="Q522" s="29" t="n"/>
      <c r="R522" s="29" t="n"/>
      <c r="S522" s="29" t="n"/>
      <c r="T522" s="29" t="n"/>
      <c r="U522" s="29" t="n"/>
      <c r="V522" s="30">
        <f>IF(OR($A522="",$U522=""),"",IF($S522&lt;&gt;"",MAX(0,$S522-$U522),MAX(0,TODAY()-$U522)))</f>
        <v/>
      </c>
      <c r="W522" s="30">
        <f>IF($A522="","",IF(OR($N522="Live",$N522="Retired"),"",TODAY()-MAX($O522,$P522,$Q522,$R522)))</f>
        <v/>
      </c>
      <c r="X522" s="23" t="n"/>
      <c r="Y522" s="30">
        <f>IF($A522="","",COUNTIFS('Issues Log'!$C$5:$C$504,$A522,'Issues Log'!$K$5:$K$504,"Open")+COUNTIFS('Issues Log'!$C$5:$C$504,$A522,'Issues Log'!$K$5:$K$504,"In progress"))</f>
        <v/>
      </c>
      <c r="Z522" s="27" t="n"/>
    </row>
    <row r="523">
      <c r="A523" s="27" t="n"/>
      <c r="B523" s="27" t="n"/>
      <c r="C523" s="27" t="n"/>
      <c r="D523" s="28">
        <f>IF($C523="","",IFERROR(INDEX('Topic Plan'!$C$5:$C$115,MATCH($C523,'Topic Plan'!$B$5:$B$115,0)),"UNKNOWN TOPIC ID"))</f>
        <v/>
      </c>
      <c r="E523" s="28">
        <f>IF($C523="","",IFERROR(INDEX('Topic Plan'!$D$5:$D$115,MATCH($C523,'Topic Plan'!$B$5:$B$115,0)),""))</f>
        <v/>
      </c>
      <c r="F523" s="28">
        <f>IF($C523="","",IFERROR(INDEX('Topic Plan'!$E$5:$E$115,MATCH($C523,'Topic Plan'!$B$5:$B$115,0)),""))</f>
        <v/>
      </c>
      <c r="G523" s="23" t="n"/>
      <c r="H523" s="27" t="n"/>
      <c r="I523" s="27" t="n"/>
      <c r="J523" s="27" t="n"/>
      <c r="K523" s="27" t="n"/>
      <c r="L523" s="27" t="n"/>
      <c r="M523" s="27" t="n"/>
      <c r="N523" s="23" t="n"/>
      <c r="O523" s="29" t="n"/>
      <c r="P523" s="29" t="n"/>
      <c r="Q523" s="29" t="n"/>
      <c r="R523" s="29" t="n"/>
      <c r="S523" s="29" t="n"/>
      <c r="T523" s="29" t="n"/>
      <c r="U523" s="29" t="n"/>
      <c r="V523" s="30">
        <f>IF(OR($A523="",$U523=""),"",IF($S523&lt;&gt;"",MAX(0,$S523-$U523),MAX(0,TODAY()-$U523)))</f>
        <v/>
      </c>
      <c r="W523" s="30">
        <f>IF($A523="","",IF(OR($N523="Live",$N523="Retired"),"",TODAY()-MAX($O523,$P523,$Q523,$R523)))</f>
        <v/>
      </c>
      <c r="X523" s="23" t="n"/>
      <c r="Y523" s="30">
        <f>IF($A523="","",COUNTIFS('Issues Log'!$C$5:$C$504,$A523,'Issues Log'!$K$5:$K$504,"Open")+COUNTIFS('Issues Log'!$C$5:$C$504,$A523,'Issues Log'!$K$5:$K$504,"In progress"))</f>
        <v/>
      </c>
      <c r="Z523" s="27" t="n"/>
    </row>
    <row r="524">
      <c r="A524" s="27" t="n"/>
      <c r="B524" s="27" t="n"/>
      <c r="C524" s="27" t="n"/>
      <c r="D524" s="28">
        <f>IF($C524="","",IFERROR(INDEX('Topic Plan'!$C$5:$C$115,MATCH($C524,'Topic Plan'!$B$5:$B$115,0)),"UNKNOWN TOPIC ID"))</f>
        <v/>
      </c>
      <c r="E524" s="28">
        <f>IF($C524="","",IFERROR(INDEX('Topic Plan'!$D$5:$D$115,MATCH($C524,'Topic Plan'!$B$5:$B$115,0)),""))</f>
        <v/>
      </c>
      <c r="F524" s="28">
        <f>IF($C524="","",IFERROR(INDEX('Topic Plan'!$E$5:$E$115,MATCH($C524,'Topic Plan'!$B$5:$B$115,0)),""))</f>
        <v/>
      </c>
      <c r="G524" s="23" t="n"/>
      <c r="H524" s="27" t="n"/>
      <c r="I524" s="27" t="n"/>
      <c r="J524" s="27" t="n"/>
      <c r="K524" s="27" t="n"/>
      <c r="L524" s="27" t="n"/>
      <c r="M524" s="27" t="n"/>
      <c r="N524" s="23" t="n"/>
      <c r="O524" s="29" t="n"/>
      <c r="P524" s="29" t="n"/>
      <c r="Q524" s="29" t="n"/>
      <c r="R524" s="29" t="n"/>
      <c r="S524" s="29" t="n"/>
      <c r="T524" s="29" t="n"/>
      <c r="U524" s="29" t="n"/>
      <c r="V524" s="30">
        <f>IF(OR($A524="",$U524=""),"",IF($S524&lt;&gt;"",MAX(0,$S524-$U524),MAX(0,TODAY()-$U524)))</f>
        <v/>
      </c>
      <c r="W524" s="30">
        <f>IF($A524="","",IF(OR($N524="Live",$N524="Retired"),"",TODAY()-MAX($O524,$P524,$Q524,$R524)))</f>
        <v/>
      </c>
      <c r="X524" s="23" t="n"/>
      <c r="Y524" s="30">
        <f>IF($A524="","",COUNTIFS('Issues Log'!$C$5:$C$504,$A524,'Issues Log'!$K$5:$K$504,"Open")+COUNTIFS('Issues Log'!$C$5:$C$504,$A524,'Issues Log'!$K$5:$K$504,"In progress"))</f>
        <v/>
      </c>
      <c r="Z524" s="27" t="n"/>
    </row>
    <row r="525">
      <c r="A525" s="27" t="n"/>
      <c r="B525" s="27" t="n"/>
      <c r="C525" s="27" t="n"/>
      <c r="D525" s="28">
        <f>IF($C525="","",IFERROR(INDEX('Topic Plan'!$C$5:$C$115,MATCH($C525,'Topic Plan'!$B$5:$B$115,0)),"UNKNOWN TOPIC ID"))</f>
        <v/>
      </c>
      <c r="E525" s="28">
        <f>IF($C525="","",IFERROR(INDEX('Topic Plan'!$D$5:$D$115,MATCH($C525,'Topic Plan'!$B$5:$B$115,0)),""))</f>
        <v/>
      </c>
      <c r="F525" s="28">
        <f>IF($C525="","",IFERROR(INDEX('Topic Plan'!$E$5:$E$115,MATCH($C525,'Topic Plan'!$B$5:$B$115,0)),""))</f>
        <v/>
      </c>
      <c r="G525" s="23" t="n"/>
      <c r="H525" s="27" t="n"/>
      <c r="I525" s="27" t="n"/>
      <c r="J525" s="27" t="n"/>
      <c r="K525" s="27" t="n"/>
      <c r="L525" s="27" t="n"/>
      <c r="M525" s="27" t="n"/>
      <c r="N525" s="23" t="n"/>
      <c r="O525" s="29" t="n"/>
      <c r="P525" s="29" t="n"/>
      <c r="Q525" s="29" t="n"/>
      <c r="R525" s="29" t="n"/>
      <c r="S525" s="29" t="n"/>
      <c r="T525" s="29" t="n"/>
      <c r="U525" s="29" t="n"/>
      <c r="V525" s="30">
        <f>IF(OR($A525="",$U525=""),"",IF($S525&lt;&gt;"",MAX(0,$S525-$U525),MAX(0,TODAY()-$U525)))</f>
        <v/>
      </c>
      <c r="W525" s="30">
        <f>IF($A525="","",IF(OR($N525="Live",$N525="Retired"),"",TODAY()-MAX($O525,$P525,$Q525,$R525)))</f>
        <v/>
      </c>
      <c r="X525" s="23" t="n"/>
      <c r="Y525" s="30">
        <f>IF($A525="","",COUNTIFS('Issues Log'!$C$5:$C$504,$A525,'Issues Log'!$K$5:$K$504,"Open")+COUNTIFS('Issues Log'!$C$5:$C$504,$A525,'Issues Log'!$K$5:$K$504,"In progress"))</f>
        <v/>
      </c>
      <c r="Z525" s="27" t="n"/>
    </row>
    <row r="526">
      <c r="A526" s="27" t="n"/>
      <c r="B526" s="27" t="n"/>
      <c r="C526" s="27" t="n"/>
      <c r="D526" s="28">
        <f>IF($C526="","",IFERROR(INDEX('Topic Plan'!$C$5:$C$115,MATCH($C526,'Topic Plan'!$B$5:$B$115,0)),"UNKNOWN TOPIC ID"))</f>
        <v/>
      </c>
      <c r="E526" s="28">
        <f>IF($C526="","",IFERROR(INDEX('Topic Plan'!$D$5:$D$115,MATCH($C526,'Topic Plan'!$B$5:$B$115,0)),""))</f>
        <v/>
      </c>
      <c r="F526" s="28">
        <f>IF($C526="","",IFERROR(INDEX('Topic Plan'!$E$5:$E$115,MATCH($C526,'Topic Plan'!$B$5:$B$115,0)),""))</f>
        <v/>
      </c>
      <c r="G526" s="23" t="n"/>
      <c r="H526" s="27" t="n"/>
      <c r="I526" s="27" t="n"/>
      <c r="J526" s="27" t="n"/>
      <c r="K526" s="27" t="n"/>
      <c r="L526" s="27" t="n"/>
      <c r="M526" s="27" t="n"/>
      <c r="N526" s="23" t="n"/>
      <c r="O526" s="29" t="n"/>
      <c r="P526" s="29" t="n"/>
      <c r="Q526" s="29" t="n"/>
      <c r="R526" s="29" t="n"/>
      <c r="S526" s="29" t="n"/>
      <c r="T526" s="29" t="n"/>
      <c r="U526" s="29" t="n"/>
      <c r="V526" s="30">
        <f>IF(OR($A526="",$U526=""),"",IF($S526&lt;&gt;"",MAX(0,$S526-$U526),MAX(0,TODAY()-$U526)))</f>
        <v/>
      </c>
      <c r="W526" s="30">
        <f>IF($A526="","",IF(OR($N526="Live",$N526="Retired"),"",TODAY()-MAX($O526,$P526,$Q526,$R526)))</f>
        <v/>
      </c>
      <c r="X526" s="23" t="n"/>
      <c r="Y526" s="30">
        <f>IF($A526="","",COUNTIFS('Issues Log'!$C$5:$C$504,$A526,'Issues Log'!$K$5:$K$504,"Open")+COUNTIFS('Issues Log'!$C$5:$C$504,$A526,'Issues Log'!$K$5:$K$504,"In progress"))</f>
        <v/>
      </c>
      <c r="Z526" s="27" t="n"/>
    </row>
    <row r="527">
      <c r="A527" s="27" t="n"/>
      <c r="B527" s="27" t="n"/>
      <c r="C527" s="27" t="n"/>
      <c r="D527" s="28">
        <f>IF($C527="","",IFERROR(INDEX('Topic Plan'!$C$5:$C$115,MATCH($C527,'Topic Plan'!$B$5:$B$115,0)),"UNKNOWN TOPIC ID"))</f>
        <v/>
      </c>
      <c r="E527" s="28">
        <f>IF($C527="","",IFERROR(INDEX('Topic Plan'!$D$5:$D$115,MATCH($C527,'Topic Plan'!$B$5:$B$115,0)),""))</f>
        <v/>
      </c>
      <c r="F527" s="28">
        <f>IF($C527="","",IFERROR(INDEX('Topic Plan'!$E$5:$E$115,MATCH($C527,'Topic Plan'!$B$5:$B$115,0)),""))</f>
        <v/>
      </c>
      <c r="G527" s="23" t="n"/>
      <c r="H527" s="27" t="n"/>
      <c r="I527" s="27" t="n"/>
      <c r="J527" s="27" t="n"/>
      <c r="K527" s="27" t="n"/>
      <c r="L527" s="27" t="n"/>
      <c r="M527" s="27" t="n"/>
      <c r="N527" s="23" t="n"/>
      <c r="O527" s="29" t="n"/>
      <c r="P527" s="29" t="n"/>
      <c r="Q527" s="29" t="n"/>
      <c r="R527" s="29" t="n"/>
      <c r="S527" s="29" t="n"/>
      <c r="T527" s="29" t="n"/>
      <c r="U527" s="29" t="n"/>
      <c r="V527" s="30">
        <f>IF(OR($A527="",$U527=""),"",IF($S527&lt;&gt;"",MAX(0,$S527-$U527),MAX(0,TODAY()-$U527)))</f>
        <v/>
      </c>
      <c r="W527" s="30">
        <f>IF($A527="","",IF(OR($N527="Live",$N527="Retired"),"",TODAY()-MAX($O527,$P527,$Q527,$R527)))</f>
        <v/>
      </c>
      <c r="X527" s="23" t="n"/>
      <c r="Y527" s="30">
        <f>IF($A527="","",COUNTIFS('Issues Log'!$C$5:$C$504,$A527,'Issues Log'!$K$5:$K$504,"Open")+COUNTIFS('Issues Log'!$C$5:$C$504,$A527,'Issues Log'!$K$5:$K$504,"In progress"))</f>
        <v/>
      </c>
      <c r="Z527" s="27" t="n"/>
    </row>
    <row r="528">
      <c r="A528" s="27" t="n"/>
      <c r="B528" s="27" t="n"/>
      <c r="C528" s="27" t="n"/>
      <c r="D528" s="28">
        <f>IF($C528="","",IFERROR(INDEX('Topic Plan'!$C$5:$C$115,MATCH($C528,'Topic Plan'!$B$5:$B$115,0)),"UNKNOWN TOPIC ID"))</f>
        <v/>
      </c>
      <c r="E528" s="28">
        <f>IF($C528="","",IFERROR(INDEX('Topic Plan'!$D$5:$D$115,MATCH($C528,'Topic Plan'!$B$5:$B$115,0)),""))</f>
        <v/>
      </c>
      <c r="F528" s="28">
        <f>IF($C528="","",IFERROR(INDEX('Topic Plan'!$E$5:$E$115,MATCH($C528,'Topic Plan'!$B$5:$B$115,0)),""))</f>
        <v/>
      </c>
      <c r="G528" s="23" t="n"/>
      <c r="H528" s="27" t="n"/>
      <c r="I528" s="27" t="n"/>
      <c r="J528" s="27" t="n"/>
      <c r="K528" s="27" t="n"/>
      <c r="L528" s="27" t="n"/>
      <c r="M528" s="27" t="n"/>
      <c r="N528" s="23" t="n"/>
      <c r="O528" s="29" t="n"/>
      <c r="P528" s="29" t="n"/>
      <c r="Q528" s="29" t="n"/>
      <c r="R528" s="29" t="n"/>
      <c r="S528" s="29" t="n"/>
      <c r="T528" s="29" t="n"/>
      <c r="U528" s="29" t="n"/>
      <c r="V528" s="30">
        <f>IF(OR($A528="",$U528=""),"",IF($S528&lt;&gt;"",MAX(0,$S528-$U528),MAX(0,TODAY()-$U528)))</f>
        <v/>
      </c>
      <c r="W528" s="30">
        <f>IF($A528="","",IF(OR($N528="Live",$N528="Retired"),"",TODAY()-MAX($O528,$P528,$Q528,$R528)))</f>
        <v/>
      </c>
      <c r="X528" s="23" t="n"/>
      <c r="Y528" s="30">
        <f>IF($A528="","",COUNTIFS('Issues Log'!$C$5:$C$504,$A528,'Issues Log'!$K$5:$K$504,"Open")+COUNTIFS('Issues Log'!$C$5:$C$504,$A528,'Issues Log'!$K$5:$K$504,"In progress"))</f>
        <v/>
      </c>
      <c r="Z528" s="27" t="n"/>
    </row>
    <row r="529">
      <c r="A529" s="27" t="n"/>
      <c r="B529" s="27" t="n"/>
      <c r="C529" s="27" t="n"/>
      <c r="D529" s="28">
        <f>IF($C529="","",IFERROR(INDEX('Topic Plan'!$C$5:$C$115,MATCH($C529,'Topic Plan'!$B$5:$B$115,0)),"UNKNOWN TOPIC ID"))</f>
        <v/>
      </c>
      <c r="E529" s="28">
        <f>IF($C529="","",IFERROR(INDEX('Topic Plan'!$D$5:$D$115,MATCH($C529,'Topic Plan'!$B$5:$B$115,0)),""))</f>
        <v/>
      </c>
      <c r="F529" s="28">
        <f>IF($C529="","",IFERROR(INDEX('Topic Plan'!$E$5:$E$115,MATCH($C529,'Topic Plan'!$B$5:$B$115,0)),""))</f>
        <v/>
      </c>
      <c r="G529" s="23" t="n"/>
      <c r="H529" s="27" t="n"/>
      <c r="I529" s="27" t="n"/>
      <c r="J529" s="27" t="n"/>
      <c r="K529" s="27" t="n"/>
      <c r="L529" s="27" t="n"/>
      <c r="M529" s="27" t="n"/>
      <c r="N529" s="23" t="n"/>
      <c r="O529" s="29" t="n"/>
      <c r="P529" s="29" t="n"/>
      <c r="Q529" s="29" t="n"/>
      <c r="R529" s="29" t="n"/>
      <c r="S529" s="29" t="n"/>
      <c r="T529" s="29" t="n"/>
      <c r="U529" s="29" t="n"/>
      <c r="V529" s="30">
        <f>IF(OR($A529="",$U529=""),"",IF($S529&lt;&gt;"",MAX(0,$S529-$U529),MAX(0,TODAY()-$U529)))</f>
        <v/>
      </c>
      <c r="W529" s="30">
        <f>IF($A529="","",IF(OR($N529="Live",$N529="Retired"),"",TODAY()-MAX($O529,$P529,$Q529,$R529)))</f>
        <v/>
      </c>
      <c r="X529" s="23" t="n"/>
      <c r="Y529" s="30">
        <f>IF($A529="","",COUNTIFS('Issues Log'!$C$5:$C$504,$A529,'Issues Log'!$K$5:$K$504,"Open")+COUNTIFS('Issues Log'!$C$5:$C$504,$A529,'Issues Log'!$K$5:$K$504,"In progress"))</f>
        <v/>
      </c>
      <c r="Z529" s="27" t="n"/>
    </row>
    <row r="530">
      <c r="A530" s="27" t="n"/>
      <c r="B530" s="27" t="n"/>
      <c r="C530" s="27" t="n"/>
      <c r="D530" s="28">
        <f>IF($C530="","",IFERROR(INDEX('Topic Plan'!$C$5:$C$115,MATCH($C530,'Topic Plan'!$B$5:$B$115,0)),"UNKNOWN TOPIC ID"))</f>
        <v/>
      </c>
      <c r="E530" s="28">
        <f>IF($C530="","",IFERROR(INDEX('Topic Plan'!$D$5:$D$115,MATCH($C530,'Topic Plan'!$B$5:$B$115,0)),""))</f>
        <v/>
      </c>
      <c r="F530" s="28">
        <f>IF($C530="","",IFERROR(INDEX('Topic Plan'!$E$5:$E$115,MATCH($C530,'Topic Plan'!$B$5:$B$115,0)),""))</f>
        <v/>
      </c>
      <c r="G530" s="23" t="n"/>
      <c r="H530" s="27" t="n"/>
      <c r="I530" s="27" t="n"/>
      <c r="J530" s="27" t="n"/>
      <c r="K530" s="27" t="n"/>
      <c r="L530" s="27" t="n"/>
      <c r="M530" s="27" t="n"/>
      <c r="N530" s="23" t="n"/>
      <c r="O530" s="29" t="n"/>
      <c r="P530" s="29" t="n"/>
      <c r="Q530" s="29" t="n"/>
      <c r="R530" s="29" t="n"/>
      <c r="S530" s="29" t="n"/>
      <c r="T530" s="29" t="n"/>
      <c r="U530" s="29" t="n"/>
      <c r="V530" s="30">
        <f>IF(OR($A530="",$U530=""),"",IF($S530&lt;&gt;"",MAX(0,$S530-$U530),MAX(0,TODAY()-$U530)))</f>
        <v/>
      </c>
      <c r="W530" s="30">
        <f>IF($A530="","",IF(OR($N530="Live",$N530="Retired"),"",TODAY()-MAX($O530,$P530,$Q530,$R530)))</f>
        <v/>
      </c>
      <c r="X530" s="23" t="n"/>
      <c r="Y530" s="30">
        <f>IF($A530="","",COUNTIFS('Issues Log'!$C$5:$C$504,$A530,'Issues Log'!$K$5:$K$504,"Open")+COUNTIFS('Issues Log'!$C$5:$C$504,$A530,'Issues Log'!$K$5:$K$504,"In progress"))</f>
        <v/>
      </c>
      <c r="Z530" s="27" t="n"/>
    </row>
    <row r="531">
      <c r="A531" s="27" t="n"/>
      <c r="B531" s="27" t="n"/>
      <c r="C531" s="27" t="n"/>
      <c r="D531" s="28">
        <f>IF($C531="","",IFERROR(INDEX('Topic Plan'!$C$5:$C$115,MATCH($C531,'Topic Plan'!$B$5:$B$115,0)),"UNKNOWN TOPIC ID"))</f>
        <v/>
      </c>
      <c r="E531" s="28">
        <f>IF($C531="","",IFERROR(INDEX('Topic Plan'!$D$5:$D$115,MATCH($C531,'Topic Plan'!$B$5:$B$115,0)),""))</f>
        <v/>
      </c>
      <c r="F531" s="28">
        <f>IF($C531="","",IFERROR(INDEX('Topic Plan'!$E$5:$E$115,MATCH($C531,'Topic Plan'!$B$5:$B$115,0)),""))</f>
        <v/>
      </c>
      <c r="G531" s="23" t="n"/>
      <c r="H531" s="27" t="n"/>
      <c r="I531" s="27" t="n"/>
      <c r="J531" s="27" t="n"/>
      <c r="K531" s="27" t="n"/>
      <c r="L531" s="27" t="n"/>
      <c r="M531" s="27" t="n"/>
      <c r="N531" s="23" t="n"/>
      <c r="O531" s="29" t="n"/>
      <c r="P531" s="29" t="n"/>
      <c r="Q531" s="29" t="n"/>
      <c r="R531" s="29" t="n"/>
      <c r="S531" s="29" t="n"/>
      <c r="T531" s="29" t="n"/>
      <c r="U531" s="29" t="n"/>
      <c r="V531" s="30">
        <f>IF(OR($A531="",$U531=""),"",IF($S531&lt;&gt;"",MAX(0,$S531-$U531),MAX(0,TODAY()-$U531)))</f>
        <v/>
      </c>
      <c r="W531" s="30">
        <f>IF($A531="","",IF(OR($N531="Live",$N531="Retired"),"",TODAY()-MAX($O531,$P531,$Q531,$R531)))</f>
        <v/>
      </c>
      <c r="X531" s="23" t="n"/>
      <c r="Y531" s="30">
        <f>IF($A531="","",COUNTIFS('Issues Log'!$C$5:$C$504,$A531,'Issues Log'!$K$5:$K$504,"Open")+COUNTIFS('Issues Log'!$C$5:$C$504,$A531,'Issues Log'!$K$5:$K$504,"In progress"))</f>
        <v/>
      </c>
      <c r="Z531" s="27" t="n"/>
    </row>
    <row r="532">
      <c r="A532" s="27" t="n"/>
      <c r="B532" s="27" t="n"/>
      <c r="C532" s="27" t="n"/>
      <c r="D532" s="28">
        <f>IF($C532="","",IFERROR(INDEX('Topic Plan'!$C$5:$C$115,MATCH($C532,'Topic Plan'!$B$5:$B$115,0)),"UNKNOWN TOPIC ID"))</f>
        <v/>
      </c>
      <c r="E532" s="28">
        <f>IF($C532="","",IFERROR(INDEX('Topic Plan'!$D$5:$D$115,MATCH($C532,'Topic Plan'!$B$5:$B$115,0)),""))</f>
        <v/>
      </c>
      <c r="F532" s="28">
        <f>IF($C532="","",IFERROR(INDEX('Topic Plan'!$E$5:$E$115,MATCH($C532,'Topic Plan'!$B$5:$B$115,0)),""))</f>
        <v/>
      </c>
      <c r="G532" s="23" t="n"/>
      <c r="H532" s="27" t="n"/>
      <c r="I532" s="27" t="n"/>
      <c r="J532" s="27" t="n"/>
      <c r="K532" s="27" t="n"/>
      <c r="L532" s="27" t="n"/>
      <c r="M532" s="27" t="n"/>
      <c r="N532" s="23" t="n"/>
      <c r="O532" s="29" t="n"/>
      <c r="P532" s="29" t="n"/>
      <c r="Q532" s="29" t="n"/>
      <c r="R532" s="29" t="n"/>
      <c r="S532" s="29" t="n"/>
      <c r="T532" s="29" t="n"/>
      <c r="U532" s="29" t="n"/>
      <c r="V532" s="30">
        <f>IF(OR($A532="",$U532=""),"",IF($S532&lt;&gt;"",MAX(0,$S532-$U532),MAX(0,TODAY()-$U532)))</f>
        <v/>
      </c>
      <c r="W532" s="30">
        <f>IF($A532="","",IF(OR($N532="Live",$N532="Retired"),"",TODAY()-MAX($O532,$P532,$Q532,$R532)))</f>
        <v/>
      </c>
      <c r="X532" s="23" t="n"/>
      <c r="Y532" s="30">
        <f>IF($A532="","",COUNTIFS('Issues Log'!$C$5:$C$504,$A532,'Issues Log'!$K$5:$K$504,"Open")+COUNTIFS('Issues Log'!$C$5:$C$504,$A532,'Issues Log'!$K$5:$K$504,"In progress"))</f>
        <v/>
      </c>
      <c r="Z532" s="27" t="n"/>
    </row>
    <row r="533">
      <c r="A533" s="27" t="n"/>
      <c r="B533" s="27" t="n"/>
      <c r="C533" s="27" t="n"/>
      <c r="D533" s="28">
        <f>IF($C533="","",IFERROR(INDEX('Topic Plan'!$C$5:$C$115,MATCH($C533,'Topic Plan'!$B$5:$B$115,0)),"UNKNOWN TOPIC ID"))</f>
        <v/>
      </c>
      <c r="E533" s="28">
        <f>IF($C533="","",IFERROR(INDEX('Topic Plan'!$D$5:$D$115,MATCH($C533,'Topic Plan'!$B$5:$B$115,0)),""))</f>
        <v/>
      </c>
      <c r="F533" s="28">
        <f>IF($C533="","",IFERROR(INDEX('Topic Plan'!$E$5:$E$115,MATCH($C533,'Topic Plan'!$B$5:$B$115,0)),""))</f>
        <v/>
      </c>
      <c r="G533" s="23" t="n"/>
      <c r="H533" s="27" t="n"/>
      <c r="I533" s="27" t="n"/>
      <c r="J533" s="27" t="n"/>
      <c r="K533" s="27" t="n"/>
      <c r="L533" s="27" t="n"/>
      <c r="M533" s="27" t="n"/>
      <c r="N533" s="23" t="n"/>
      <c r="O533" s="29" t="n"/>
      <c r="P533" s="29" t="n"/>
      <c r="Q533" s="29" t="n"/>
      <c r="R533" s="29" t="n"/>
      <c r="S533" s="29" t="n"/>
      <c r="T533" s="29" t="n"/>
      <c r="U533" s="29" t="n"/>
      <c r="V533" s="30">
        <f>IF(OR($A533="",$U533=""),"",IF($S533&lt;&gt;"",MAX(0,$S533-$U533),MAX(0,TODAY()-$U533)))</f>
        <v/>
      </c>
      <c r="W533" s="30">
        <f>IF($A533="","",IF(OR($N533="Live",$N533="Retired"),"",TODAY()-MAX($O533,$P533,$Q533,$R533)))</f>
        <v/>
      </c>
      <c r="X533" s="23" t="n"/>
      <c r="Y533" s="30">
        <f>IF($A533="","",COUNTIFS('Issues Log'!$C$5:$C$504,$A533,'Issues Log'!$K$5:$K$504,"Open")+COUNTIFS('Issues Log'!$C$5:$C$504,$A533,'Issues Log'!$K$5:$K$504,"In progress"))</f>
        <v/>
      </c>
      <c r="Z533" s="27" t="n"/>
    </row>
    <row r="534">
      <c r="A534" s="27" t="n"/>
      <c r="B534" s="27" t="n"/>
      <c r="C534" s="27" t="n"/>
      <c r="D534" s="28">
        <f>IF($C534="","",IFERROR(INDEX('Topic Plan'!$C$5:$C$115,MATCH($C534,'Topic Plan'!$B$5:$B$115,0)),"UNKNOWN TOPIC ID"))</f>
        <v/>
      </c>
      <c r="E534" s="28">
        <f>IF($C534="","",IFERROR(INDEX('Topic Plan'!$D$5:$D$115,MATCH($C534,'Topic Plan'!$B$5:$B$115,0)),""))</f>
        <v/>
      </c>
      <c r="F534" s="28">
        <f>IF($C534="","",IFERROR(INDEX('Topic Plan'!$E$5:$E$115,MATCH($C534,'Topic Plan'!$B$5:$B$115,0)),""))</f>
        <v/>
      </c>
      <c r="G534" s="23" t="n"/>
      <c r="H534" s="27" t="n"/>
      <c r="I534" s="27" t="n"/>
      <c r="J534" s="27" t="n"/>
      <c r="K534" s="27" t="n"/>
      <c r="L534" s="27" t="n"/>
      <c r="M534" s="27" t="n"/>
      <c r="N534" s="23" t="n"/>
      <c r="O534" s="29" t="n"/>
      <c r="P534" s="29" t="n"/>
      <c r="Q534" s="29" t="n"/>
      <c r="R534" s="29" t="n"/>
      <c r="S534" s="29" t="n"/>
      <c r="T534" s="29" t="n"/>
      <c r="U534" s="29" t="n"/>
      <c r="V534" s="30">
        <f>IF(OR($A534="",$U534=""),"",IF($S534&lt;&gt;"",MAX(0,$S534-$U534),MAX(0,TODAY()-$U534)))</f>
        <v/>
      </c>
      <c r="W534" s="30">
        <f>IF($A534="","",IF(OR($N534="Live",$N534="Retired"),"",TODAY()-MAX($O534,$P534,$Q534,$R534)))</f>
        <v/>
      </c>
      <c r="X534" s="23" t="n"/>
      <c r="Y534" s="30">
        <f>IF($A534="","",COUNTIFS('Issues Log'!$C$5:$C$504,$A534,'Issues Log'!$K$5:$K$504,"Open")+COUNTIFS('Issues Log'!$C$5:$C$504,$A534,'Issues Log'!$K$5:$K$504,"In progress"))</f>
        <v/>
      </c>
      <c r="Z534" s="27" t="n"/>
    </row>
    <row r="535">
      <c r="A535" s="27" t="n"/>
      <c r="B535" s="27" t="n"/>
      <c r="C535" s="27" t="n"/>
      <c r="D535" s="28">
        <f>IF($C535="","",IFERROR(INDEX('Topic Plan'!$C$5:$C$115,MATCH($C535,'Topic Plan'!$B$5:$B$115,0)),"UNKNOWN TOPIC ID"))</f>
        <v/>
      </c>
      <c r="E535" s="28">
        <f>IF($C535="","",IFERROR(INDEX('Topic Plan'!$D$5:$D$115,MATCH($C535,'Topic Plan'!$B$5:$B$115,0)),""))</f>
        <v/>
      </c>
      <c r="F535" s="28">
        <f>IF($C535="","",IFERROR(INDEX('Topic Plan'!$E$5:$E$115,MATCH($C535,'Topic Plan'!$B$5:$B$115,0)),""))</f>
        <v/>
      </c>
      <c r="G535" s="23" t="n"/>
      <c r="H535" s="27" t="n"/>
      <c r="I535" s="27" t="n"/>
      <c r="J535" s="27" t="n"/>
      <c r="K535" s="27" t="n"/>
      <c r="L535" s="27" t="n"/>
      <c r="M535" s="27" t="n"/>
      <c r="N535" s="23" t="n"/>
      <c r="O535" s="29" t="n"/>
      <c r="P535" s="29" t="n"/>
      <c r="Q535" s="29" t="n"/>
      <c r="R535" s="29" t="n"/>
      <c r="S535" s="29" t="n"/>
      <c r="T535" s="29" t="n"/>
      <c r="U535" s="29" t="n"/>
      <c r="V535" s="30">
        <f>IF(OR($A535="",$U535=""),"",IF($S535&lt;&gt;"",MAX(0,$S535-$U535),MAX(0,TODAY()-$U535)))</f>
        <v/>
      </c>
      <c r="W535" s="30">
        <f>IF($A535="","",IF(OR($N535="Live",$N535="Retired"),"",TODAY()-MAX($O535,$P535,$Q535,$R535)))</f>
        <v/>
      </c>
      <c r="X535" s="23" t="n"/>
      <c r="Y535" s="30">
        <f>IF($A535="","",COUNTIFS('Issues Log'!$C$5:$C$504,$A535,'Issues Log'!$K$5:$K$504,"Open")+COUNTIFS('Issues Log'!$C$5:$C$504,$A535,'Issues Log'!$K$5:$K$504,"In progress"))</f>
        <v/>
      </c>
      <c r="Z535" s="27" t="n"/>
    </row>
    <row r="536">
      <c r="A536" s="27" t="n"/>
      <c r="B536" s="27" t="n"/>
      <c r="C536" s="27" t="n"/>
      <c r="D536" s="28">
        <f>IF($C536="","",IFERROR(INDEX('Topic Plan'!$C$5:$C$115,MATCH($C536,'Topic Plan'!$B$5:$B$115,0)),"UNKNOWN TOPIC ID"))</f>
        <v/>
      </c>
      <c r="E536" s="28">
        <f>IF($C536="","",IFERROR(INDEX('Topic Plan'!$D$5:$D$115,MATCH($C536,'Topic Plan'!$B$5:$B$115,0)),""))</f>
        <v/>
      </c>
      <c r="F536" s="28">
        <f>IF($C536="","",IFERROR(INDEX('Topic Plan'!$E$5:$E$115,MATCH($C536,'Topic Plan'!$B$5:$B$115,0)),""))</f>
        <v/>
      </c>
      <c r="G536" s="23" t="n"/>
      <c r="H536" s="27" t="n"/>
      <c r="I536" s="27" t="n"/>
      <c r="J536" s="27" t="n"/>
      <c r="K536" s="27" t="n"/>
      <c r="L536" s="27" t="n"/>
      <c r="M536" s="27" t="n"/>
      <c r="N536" s="23" t="n"/>
      <c r="O536" s="29" t="n"/>
      <c r="P536" s="29" t="n"/>
      <c r="Q536" s="29" t="n"/>
      <c r="R536" s="29" t="n"/>
      <c r="S536" s="29" t="n"/>
      <c r="T536" s="29" t="n"/>
      <c r="U536" s="29" t="n"/>
      <c r="V536" s="30">
        <f>IF(OR($A536="",$U536=""),"",IF($S536&lt;&gt;"",MAX(0,$S536-$U536),MAX(0,TODAY()-$U536)))</f>
        <v/>
      </c>
      <c r="W536" s="30">
        <f>IF($A536="","",IF(OR($N536="Live",$N536="Retired"),"",TODAY()-MAX($O536,$P536,$Q536,$R536)))</f>
        <v/>
      </c>
      <c r="X536" s="23" t="n"/>
      <c r="Y536" s="30">
        <f>IF($A536="","",COUNTIFS('Issues Log'!$C$5:$C$504,$A536,'Issues Log'!$K$5:$K$504,"Open")+COUNTIFS('Issues Log'!$C$5:$C$504,$A536,'Issues Log'!$K$5:$K$504,"In progress"))</f>
        <v/>
      </c>
      <c r="Z536" s="27" t="n"/>
    </row>
    <row r="537">
      <c r="A537" s="27" t="n"/>
      <c r="B537" s="27" t="n"/>
      <c r="C537" s="27" t="n"/>
      <c r="D537" s="28">
        <f>IF($C537="","",IFERROR(INDEX('Topic Plan'!$C$5:$C$115,MATCH($C537,'Topic Plan'!$B$5:$B$115,0)),"UNKNOWN TOPIC ID"))</f>
        <v/>
      </c>
      <c r="E537" s="28">
        <f>IF($C537="","",IFERROR(INDEX('Topic Plan'!$D$5:$D$115,MATCH($C537,'Topic Plan'!$B$5:$B$115,0)),""))</f>
        <v/>
      </c>
      <c r="F537" s="28">
        <f>IF($C537="","",IFERROR(INDEX('Topic Plan'!$E$5:$E$115,MATCH($C537,'Topic Plan'!$B$5:$B$115,0)),""))</f>
        <v/>
      </c>
      <c r="G537" s="23" t="n"/>
      <c r="H537" s="27" t="n"/>
      <c r="I537" s="27" t="n"/>
      <c r="J537" s="27" t="n"/>
      <c r="K537" s="27" t="n"/>
      <c r="L537" s="27" t="n"/>
      <c r="M537" s="27" t="n"/>
      <c r="N537" s="23" t="n"/>
      <c r="O537" s="29" t="n"/>
      <c r="P537" s="29" t="n"/>
      <c r="Q537" s="29" t="n"/>
      <c r="R537" s="29" t="n"/>
      <c r="S537" s="29" t="n"/>
      <c r="T537" s="29" t="n"/>
      <c r="U537" s="29" t="n"/>
      <c r="V537" s="30">
        <f>IF(OR($A537="",$U537=""),"",IF($S537&lt;&gt;"",MAX(0,$S537-$U537),MAX(0,TODAY()-$U537)))</f>
        <v/>
      </c>
      <c r="W537" s="30">
        <f>IF($A537="","",IF(OR($N537="Live",$N537="Retired"),"",TODAY()-MAX($O537,$P537,$Q537,$R537)))</f>
        <v/>
      </c>
      <c r="X537" s="23" t="n"/>
      <c r="Y537" s="30">
        <f>IF($A537="","",COUNTIFS('Issues Log'!$C$5:$C$504,$A537,'Issues Log'!$K$5:$K$504,"Open")+COUNTIFS('Issues Log'!$C$5:$C$504,$A537,'Issues Log'!$K$5:$K$504,"In progress"))</f>
        <v/>
      </c>
      <c r="Z537" s="27" t="n"/>
    </row>
    <row r="538">
      <c r="A538" s="27" t="n"/>
      <c r="B538" s="27" t="n"/>
      <c r="C538" s="27" t="n"/>
      <c r="D538" s="28">
        <f>IF($C538="","",IFERROR(INDEX('Topic Plan'!$C$5:$C$115,MATCH($C538,'Topic Plan'!$B$5:$B$115,0)),"UNKNOWN TOPIC ID"))</f>
        <v/>
      </c>
      <c r="E538" s="28">
        <f>IF($C538="","",IFERROR(INDEX('Topic Plan'!$D$5:$D$115,MATCH($C538,'Topic Plan'!$B$5:$B$115,0)),""))</f>
        <v/>
      </c>
      <c r="F538" s="28">
        <f>IF($C538="","",IFERROR(INDEX('Topic Plan'!$E$5:$E$115,MATCH($C538,'Topic Plan'!$B$5:$B$115,0)),""))</f>
        <v/>
      </c>
      <c r="G538" s="23" t="n"/>
      <c r="H538" s="27" t="n"/>
      <c r="I538" s="27" t="n"/>
      <c r="J538" s="27" t="n"/>
      <c r="K538" s="27" t="n"/>
      <c r="L538" s="27" t="n"/>
      <c r="M538" s="27" t="n"/>
      <c r="N538" s="23" t="n"/>
      <c r="O538" s="29" t="n"/>
      <c r="P538" s="29" t="n"/>
      <c r="Q538" s="29" t="n"/>
      <c r="R538" s="29" t="n"/>
      <c r="S538" s="29" t="n"/>
      <c r="T538" s="29" t="n"/>
      <c r="U538" s="29" t="n"/>
      <c r="V538" s="30">
        <f>IF(OR($A538="",$U538=""),"",IF($S538&lt;&gt;"",MAX(0,$S538-$U538),MAX(0,TODAY()-$U538)))</f>
        <v/>
      </c>
      <c r="W538" s="30">
        <f>IF($A538="","",IF(OR($N538="Live",$N538="Retired"),"",TODAY()-MAX($O538,$P538,$Q538,$R538)))</f>
        <v/>
      </c>
      <c r="X538" s="23" t="n"/>
      <c r="Y538" s="30">
        <f>IF($A538="","",COUNTIFS('Issues Log'!$C$5:$C$504,$A538,'Issues Log'!$K$5:$K$504,"Open")+COUNTIFS('Issues Log'!$C$5:$C$504,$A538,'Issues Log'!$K$5:$K$504,"In progress"))</f>
        <v/>
      </c>
      <c r="Z538" s="27" t="n"/>
    </row>
    <row r="539">
      <c r="A539" s="27" t="n"/>
      <c r="B539" s="27" t="n"/>
      <c r="C539" s="27" t="n"/>
      <c r="D539" s="28">
        <f>IF($C539="","",IFERROR(INDEX('Topic Plan'!$C$5:$C$115,MATCH($C539,'Topic Plan'!$B$5:$B$115,0)),"UNKNOWN TOPIC ID"))</f>
        <v/>
      </c>
      <c r="E539" s="28">
        <f>IF($C539="","",IFERROR(INDEX('Topic Plan'!$D$5:$D$115,MATCH($C539,'Topic Plan'!$B$5:$B$115,0)),""))</f>
        <v/>
      </c>
      <c r="F539" s="28">
        <f>IF($C539="","",IFERROR(INDEX('Topic Plan'!$E$5:$E$115,MATCH($C539,'Topic Plan'!$B$5:$B$115,0)),""))</f>
        <v/>
      </c>
      <c r="G539" s="23" t="n"/>
      <c r="H539" s="27" t="n"/>
      <c r="I539" s="27" t="n"/>
      <c r="J539" s="27" t="n"/>
      <c r="K539" s="27" t="n"/>
      <c r="L539" s="27" t="n"/>
      <c r="M539" s="27" t="n"/>
      <c r="N539" s="23" t="n"/>
      <c r="O539" s="29" t="n"/>
      <c r="P539" s="29" t="n"/>
      <c r="Q539" s="29" t="n"/>
      <c r="R539" s="29" t="n"/>
      <c r="S539" s="29" t="n"/>
      <c r="T539" s="29" t="n"/>
      <c r="U539" s="29" t="n"/>
      <c r="V539" s="30">
        <f>IF(OR($A539="",$U539=""),"",IF($S539&lt;&gt;"",MAX(0,$S539-$U539),MAX(0,TODAY()-$U539)))</f>
        <v/>
      </c>
      <c r="W539" s="30">
        <f>IF($A539="","",IF(OR($N539="Live",$N539="Retired"),"",TODAY()-MAX($O539,$P539,$Q539,$R539)))</f>
        <v/>
      </c>
      <c r="X539" s="23" t="n"/>
      <c r="Y539" s="30">
        <f>IF($A539="","",COUNTIFS('Issues Log'!$C$5:$C$504,$A539,'Issues Log'!$K$5:$K$504,"Open")+COUNTIFS('Issues Log'!$C$5:$C$504,$A539,'Issues Log'!$K$5:$K$504,"In progress"))</f>
        <v/>
      </c>
      <c r="Z539" s="27" t="n"/>
    </row>
    <row r="540">
      <c r="A540" s="27" t="n"/>
      <c r="B540" s="27" t="n"/>
      <c r="C540" s="27" t="n"/>
      <c r="D540" s="28">
        <f>IF($C540="","",IFERROR(INDEX('Topic Plan'!$C$5:$C$115,MATCH($C540,'Topic Plan'!$B$5:$B$115,0)),"UNKNOWN TOPIC ID"))</f>
        <v/>
      </c>
      <c r="E540" s="28">
        <f>IF($C540="","",IFERROR(INDEX('Topic Plan'!$D$5:$D$115,MATCH($C540,'Topic Plan'!$B$5:$B$115,0)),""))</f>
        <v/>
      </c>
      <c r="F540" s="28">
        <f>IF($C540="","",IFERROR(INDEX('Topic Plan'!$E$5:$E$115,MATCH($C540,'Topic Plan'!$B$5:$B$115,0)),""))</f>
        <v/>
      </c>
      <c r="G540" s="23" t="n"/>
      <c r="H540" s="27" t="n"/>
      <c r="I540" s="27" t="n"/>
      <c r="J540" s="27" t="n"/>
      <c r="K540" s="27" t="n"/>
      <c r="L540" s="27" t="n"/>
      <c r="M540" s="27" t="n"/>
      <c r="N540" s="23" t="n"/>
      <c r="O540" s="29" t="n"/>
      <c r="P540" s="29" t="n"/>
      <c r="Q540" s="29" t="n"/>
      <c r="R540" s="29" t="n"/>
      <c r="S540" s="29" t="n"/>
      <c r="T540" s="29" t="n"/>
      <c r="U540" s="29" t="n"/>
      <c r="V540" s="30">
        <f>IF(OR($A540="",$U540=""),"",IF($S540&lt;&gt;"",MAX(0,$S540-$U540),MAX(0,TODAY()-$U540)))</f>
        <v/>
      </c>
      <c r="W540" s="30">
        <f>IF($A540="","",IF(OR($N540="Live",$N540="Retired"),"",TODAY()-MAX($O540,$P540,$Q540,$R540)))</f>
        <v/>
      </c>
      <c r="X540" s="23" t="n"/>
      <c r="Y540" s="30">
        <f>IF($A540="","",COUNTIFS('Issues Log'!$C$5:$C$504,$A540,'Issues Log'!$K$5:$K$504,"Open")+COUNTIFS('Issues Log'!$C$5:$C$504,$A540,'Issues Log'!$K$5:$K$504,"In progress"))</f>
        <v/>
      </c>
      <c r="Z540" s="27" t="n"/>
    </row>
    <row r="541">
      <c r="A541" s="27" t="n"/>
      <c r="B541" s="27" t="n"/>
      <c r="C541" s="27" t="n"/>
      <c r="D541" s="28">
        <f>IF($C541="","",IFERROR(INDEX('Topic Plan'!$C$5:$C$115,MATCH($C541,'Topic Plan'!$B$5:$B$115,0)),"UNKNOWN TOPIC ID"))</f>
        <v/>
      </c>
      <c r="E541" s="28">
        <f>IF($C541="","",IFERROR(INDEX('Topic Plan'!$D$5:$D$115,MATCH($C541,'Topic Plan'!$B$5:$B$115,0)),""))</f>
        <v/>
      </c>
      <c r="F541" s="28">
        <f>IF($C541="","",IFERROR(INDEX('Topic Plan'!$E$5:$E$115,MATCH($C541,'Topic Plan'!$B$5:$B$115,0)),""))</f>
        <v/>
      </c>
      <c r="G541" s="23" t="n"/>
      <c r="H541" s="27" t="n"/>
      <c r="I541" s="27" t="n"/>
      <c r="J541" s="27" t="n"/>
      <c r="K541" s="27" t="n"/>
      <c r="L541" s="27" t="n"/>
      <c r="M541" s="27" t="n"/>
      <c r="N541" s="23" t="n"/>
      <c r="O541" s="29" t="n"/>
      <c r="P541" s="29" t="n"/>
      <c r="Q541" s="29" t="n"/>
      <c r="R541" s="29" t="n"/>
      <c r="S541" s="29" t="n"/>
      <c r="T541" s="29" t="n"/>
      <c r="U541" s="29" t="n"/>
      <c r="V541" s="30">
        <f>IF(OR($A541="",$U541=""),"",IF($S541&lt;&gt;"",MAX(0,$S541-$U541),MAX(0,TODAY()-$U541)))</f>
        <v/>
      </c>
      <c r="W541" s="30">
        <f>IF($A541="","",IF(OR($N541="Live",$N541="Retired"),"",TODAY()-MAX($O541,$P541,$Q541,$R541)))</f>
        <v/>
      </c>
      <c r="X541" s="23" t="n"/>
      <c r="Y541" s="30">
        <f>IF($A541="","",COUNTIFS('Issues Log'!$C$5:$C$504,$A541,'Issues Log'!$K$5:$K$504,"Open")+COUNTIFS('Issues Log'!$C$5:$C$504,$A541,'Issues Log'!$K$5:$K$504,"In progress"))</f>
        <v/>
      </c>
      <c r="Z541" s="27" t="n"/>
    </row>
    <row r="542">
      <c r="A542" s="27" t="n"/>
      <c r="B542" s="27" t="n"/>
      <c r="C542" s="27" t="n"/>
      <c r="D542" s="28">
        <f>IF($C542="","",IFERROR(INDEX('Topic Plan'!$C$5:$C$115,MATCH($C542,'Topic Plan'!$B$5:$B$115,0)),"UNKNOWN TOPIC ID"))</f>
        <v/>
      </c>
      <c r="E542" s="28">
        <f>IF($C542="","",IFERROR(INDEX('Topic Plan'!$D$5:$D$115,MATCH($C542,'Topic Plan'!$B$5:$B$115,0)),""))</f>
        <v/>
      </c>
      <c r="F542" s="28">
        <f>IF($C542="","",IFERROR(INDEX('Topic Plan'!$E$5:$E$115,MATCH($C542,'Topic Plan'!$B$5:$B$115,0)),""))</f>
        <v/>
      </c>
      <c r="G542" s="23" t="n"/>
      <c r="H542" s="27" t="n"/>
      <c r="I542" s="27" t="n"/>
      <c r="J542" s="27" t="n"/>
      <c r="K542" s="27" t="n"/>
      <c r="L542" s="27" t="n"/>
      <c r="M542" s="27" t="n"/>
      <c r="N542" s="23" t="n"/>
      <c r="O542" s="29" t="n"/>
      <c r="P542" s="29" t="n"/>
      <c r="Q542" s="29" t="n"/>
      <c r="R542" s="29" t="n"/>
      <c r="S542" s="29" t="n"/>
      <c r="T542" s="29" t="n"/>
      <c r="U542" s="29" t="n"/>
      <c r="V542" s="30">
        <f>IF(OR($A542="",$U542=""),"",IF($S542&lt;&gt;"",MAX(0,$S542-$U542),MAX(0,TODAY()-$U542)))</f>
        <v/>
      </c>
      <c r="W542" s="30">
        <f>IF($A542="","",IF(OR($N542="Live",$N542="Retired"),"",TODAY()-MAX($O542,$P542,$Q542,$R542)))</f>
        <v/>
      </c>
      <c r="X542" s="23" t="n"/>
      <c r="Y542" s="30">
        <f>IF($A542="","",COUNTIFS('Issues Log'!$C$5:$C$504,$A542,'Issues Log'!$K$5:$K$504,"Open")+COUNTIFS('Issues Log'!$C$5:$C$504,$A542,'Issues Log'!$K$5:$K$504,"In progress"))</f>
        <v/>
      </c>
      <c r="Z542" s="27" t="n"/>
    </row>
    <row r="543">
      <c r="A543" s="27" t="n"/>
      <c r="B543" s="27" t="n"/>
      <c r="C543" s="27" t="n"/>
      <c r="D543" s="28">
        <f>IF($C543="","",IFERROR(INDEX('Topic Plan'!$C$5:$C$115,MATCH($C543,'Topic Plan'!$B$5:$B$115,0)),"UNKNOWN TOPIC ID"))</f>
        <v/>
      </c>
      <c r="E543" s="28">
        <f>IF($C543="","",IFERROR(INDEX('Topic Plan'!$D$5:$D$115,MATCH($C543,'Topic Plan'!$B$5:$B$115,0)),""))</f>
        <v/>
      </c>
      <c r="F543" s="28">
        <f>IF($C543="","",IFERROR(INDEX('Topic Plan'!$E$5:$E$115,MATCH($C543,'Topic Plan'!$B$5:$B$115,0)),""))</f>
        <v/>
      </c>
      <c r="G543" s="23" t="n"/>
      <c r="H543" s="27" t="n"/>
      <c r="I543" s="27" t="n"/>
      <c r="J543" s="27" t="n"/>
      <c r="K543" s="27" t="n"/>
      <c r="L543" s="27" t="n"/>
      <c r="M543" s="27" t="n"/>
      <c r="N543" s="23" t="n"/>
      <c r="O543" s="29" t="n"/>
      <c r="P543" s="29" t="n"/>
      <c r="Q543" s="29" t="n"/>
      <c r="R543" s="29" t="n"/>
      <c r="S543" s="29" t="n"/>
      <c r="T543" s="29" t="n"/>
      <c r="U543" s="29" t="n"/>
      <c r="V543" s="30">
        <f>IF(OR($A543="",$U543=""),"",IF($S543&lt;&gt;"",MAX(0,$S543-$U543),MAX(0,TODAY()-$U543)))</f>
        <v/>
      </c>
      <c r="W543" s="30">
        <f>IF($A543="","",IF(OR($N543="Live",$N543="Retired"),"",TODAY()-MAX($O543,$P543,$Q543,$R543)))</f>
        <v/>
      </c>
      <c r="X543" s="23" t="n"/>
      <c r="Y543" s="30">
        <f>IF($A543="","",COUNTIFS('Issues Log'!$C$5:$C$504,$A543,'Issues Log'!$K$5:$K$504,"Open")+COUNTIFS('Issues Log'!$C$5:$C$504,$A543,'Issues Log'!$K$5:$K$504,"In progress"))</f>
        <v/>
      </c>
      <c r="Z543" s="27" t="n"/>
    </row>
    <row r="544">
      <c r="A544" s="27" t="n"/>
      <c r="B544" s="27" t="n"/>
      <c r="C544" s="27" t="n"/>
      <c r="D544" s="28">
        <f>IF($C544="","",IFERROR(INDEX('Topic Plan'!$C$5:$C$115,MATCH($C544,'Topic Plan'!$B$5:$B$115,0)),"UNKNOWN TOPIC ID"))</f>
        <v/>
      </c>
      <c r="E544" s="28">
        <f>IF($C544="","",IFERROR(INDEX('Topic Plan'!$D$5:$D$115,MATCH($C544,'Topic Plan'!$B$5:$B$115,0)),""))</f>
        <v/>
      </c>
      <c r="F544" s="28">
        <f>IF($C544="","",IFERROR(INDEX('Topic Plan'!$E$5:$E$115,MATCH($C544,'Topic Plan'!$B$5:$B$115,0)),""))</f>
        <v/>
      </c>
      <c r="G544" s="23" t="n"/>
      <c r="H544" s="27" t="n"/>
      <c r="I544" s="27" t="n"/>
      <c r="J544" s="27" t="n"/>
      <c r="K544" s="27" t="n"/>
      <c r="L544" s="27" t="n"/>
      <c r="M544" s="27" t="n"/>
      <c r="N544" s="23" t="n"/>
      <c r="O544" s="29" t="n"/>
      <c r="P544" s="29" t="n"/>
      <c r="Q544" s="29" t="n"/>
      <c r="R544" s="29" t="n"/>
      <c r="S544" s="29" t="n"/>
      <c r="T544" s="29" t="n"/>
      <c r="U544" s="29" t="n"/>
      <c r="V544" s="30">
        <f>IF(OR($A544="",$U544=""),"",IF($S544&lt;&gt;"",MAX(0,$S544-$U544),MAX(0,TODAY()-$U544)))</f>
        <v/>
      </c>
      <c r="W544" s="30">
        <f>IF($A544="","",IF(OR($N544="Live",$N544="Retired"),"",TODAY()-MAX($O544,$P544,$Q544,$R544)))</f>
        <v/>
      </c>
      <c r="X544" s="23" t="n"/>
      <c r="Y544" s="30">
        <f>IF($A544="","",COUNTIFS('Issues Log'!$C$5:$C$504,$A544,'Issues Log'!$K$5:$K$504,"Open")+COUNTIFS('Issues Log'!$C$5:$C$504,$A544,'Issues Log'!$K$5:$K$504,"In progress"))</f>
        <v/>
      </c>
      <c r="Z544" s="27" t="n"/>
    </row>
    <row r="545">
      <c r="A545" s="27" t="n"/>
      <c r="B545" s="27" t="n"/>
      <c r="C545" s="27" t="n"/>
      <c r="D545" s="28">
        <f>IF($C545="","",IFERROR(INDEX('Topic Plan'!$C$5:$C$115,MATCH($C545,'Topic Plan'!$B$5:$B$115,0)),"UNKNOWN TOPIC ID"))</f>
        <v/>
      </c>
      <c r="E545" s="28">
        <f>IF($C545="","",IFERROR(INDEX('Topic Plan'!$D$5:$D$115,MATCH($C545,'Topic Plan'!$B$5:$B$115,0)),""))</f>
        <v/>
      </c>
      <c r="F545" s="28">
        <f>IF($C545="","",IFERROR(INDEX('Topic Plan'!$E$5:$E$115,MATCH($C545,'Topic Plan'!$B$5:$B$115,0)),""))</f>
        <v/>
      </c>
      <c r="G545" s="23" t="n"/>
      <c r="H545" s="27" t="n"/>
      <c r="I545" s="27" t="n"/>
      <c r="J545" s="27" t="n"/>
      <c r="K545" s="27" t="n"/>
      <c r="L545" s="27" t="n"/>
      <c r="M545" s="27" t="n"/>
      <c r="N545" s="23" t="n"/>
      <c r="O545" s="29" t="n"/>
      <c r="P545" s="29" t="n"/>
      <c r="Q545" s="29" t="n"/>
      <c r="R545" s="29" t="n"/>
      <c r="S545" s="29" t="n"/>
      <c r="T545" s="29" t="n"/>
      <c r="U545" s="29" t="n"/>
      <c r="V545" s="30">
        <f>IF(OR($A545="",$U545=""),"",IF($S545&lt;&gt;"",MAX(0,$S545-$U545),MAX(0,TODAY()-$U545)))</f>
        <v/>
      </c>
      <c r="W545" s="30">
        <f>IF($A545="","",IF(OR($N545="Live",$N545="Retired"),"",TODAY()-MAX($O545,$P545,$Q545,$R545)))</f>
        <v/>
      </c>
      <c r="X545" s="23" t="n"/>
      <c r="Y545" s="30">
        <f>IF($A545="","",COUNTIFS('Issues Log'!$C$5:$C$504,$A545,'Issues Log'!$K$5:$K$504,"Open")+COUNTIFS('Issues Log'!$C$5:$C$504,$A545,'Issues Log'!$K$5:$K$504,"In progress"))</f>
        <v/>
      </c>
      <c r="Z545" s="27" t="n"/>
    </row>
    <row r="546">
      <c r="A546" s="27" t="n"/>
      <c r="B546" s="27" t="n"/>
      <c r="C546" s="27" t="n"/>
      <c r="D546" s="28">
        <f>IF($C546="","",IFERROR(INDEX('Topic Plan'!$C$5:$C$115,MATCH($C546,'Topic Plan'!$B$5:$B$115,0)),"UNKNOWN TOPIC ID"))</f>
        <v/>
      </c>
      <c r="E546" s="28">
        <f>IF($C546="","",IFERROR(INDEX('Topic Plan'!$D$5:$D$115,MATCH($C546,'Topic Plan'!$B$5:$B$115,0)),""))</f>
        <v/>
      </c>
      <c r="F546" s="28">
        <f>IF($C546="","",IFERROR(INDEX('Topic Plan'!$E$5:$E$115,MATCH($C546,'Topic Plan'!$B$5:$B$115,0)),""))</f>
        <v/>
      </c>
      <c r="G546" s="23" t="n"/>
      <c r="H546" s="27" t="n"/>
      <c r="I546" s="27" t="n"/>
      <c r="J546" s="27" t="n"/>
      <c r="K546" s="27" t="n"/>
      <c r="L546" s="27" t="n"/>
      <c r="M546" s="27" t="n"/>
      <c r="N546" s="23" t="n"/>
      <c r="O546" s="29" t="n"/>
      <c r="P546" s="29" t="n"/>
      <c r="Q546" s="29" t="n"/>
      <c r="R546" s="29" t="n"/>
      <c r="S546" s="29" t="n"/>
      <c r="T546" s="29" t="n"/>
      <c r="U546" s="29" t="n"/>
      <c r="V546" s="30">
        <f>IF(OR($A546="",$U546=""),"",IF($S546&lt;&gt;"",MAX(0,$S546-$U546),MAX(0,TODAY()-$U546)))</f>
        <v/>
      </c>
      <c r="W546" s="30">
        <f>IF($A546="","",IF(OR($N546="Live",$N546="Retired"),"",TODAY()-MAX($O546,$P546,$Q546,$R546)))</f>
        <v/>
      </c>
      <c r="X546" s="23" t="n"/>
      <c r="Y546" s="30">
        <f>IF($A546="","",COUNTIFS('Issues Log'!$C$5:$C$504,$A546,'Issues Log'!$K$5:$K$504,"Open")+COUNTIFS('Issues Log'!$C$5:$C$504,$A546,'Issues Log'!$K$5:$K$504,"In progress"))</f>
        <v/>
      </c>
      <c r="Z546" s="27" t="n"/>
    </row>
    <row r="547">
      <c r="A547" s="27" t="n"/>
      <c r="B547" s="27" t="n"/>
      <c r="C547" s="27" t="n"/>
      <c r="D547" s="28">
        <f>IF($C547="","",IFERROR(INDEX('Topic Plan'!$C$5:$C$115,MATCH($C547,'Topic Plan'!$B$5:$B$115,0)),"UNKNOWN TOPIC ID"))</f>
        <v/>
      </c>
      <c r="E547" s="28">
        <f>IF($C547="","",IFERROR(INDEX('Topic Plan'!$D$5:$D$115,MATCH($C547,'Topic Plan'!$B$5:$B$115,0)),""))</f>
        <v/>
      </c>
      <c r="F547" s="28">
        <f>IF($C547="","",IFERROR(INDEX('Topic Plan'!$E$5:$E$115,MATCH($C547,'Topic Plan'!$B$5:$B$115,0)),""))</f>
        <v/>
      </c>
      <c r="G547" s="23" t="n"/>
      <c r="H547" s="27" t="n"/>
      <c r="I547" s="27" t="n"/>
      <c r="J547" s="27" t="n"/>
      <c r="K547" s="27" t="n"/>
      <c r="L547" s="27" t="n"/>
      <c r="M547" s="27" t="n"/>
      <c r="N547" s="23" t="n"/>
      <c r="O547" s="29" t="n"/>
      <c r="P547" s="29" t="n"/>
      <c r="Q547" s="29" t="n"/>
      <c r="R547" s="29" t="n"/>
      <c r="S547" s="29" t="n"/>
      <c r="T547" s="29" t="n"/>
      <c r="U547" s="29" t="n"/>
      <c r="V547" s="30">
        <f>IF(OR($A547="",$U547=""),"",IF($S547&lt;&gt;"",MAX(0,$S547-$U547),MAX(0,TODAY()-$U547)))</f>
        <v/>
      </c>
      <c r="W547" s="30">
        <f>IF($A547="","",IF(OR($N547="Live",$N547="Retired"),"",TODAY()-MAX($O547,$P547,$Q547,$R547)))</f>
        <v/>
      </c>
      <c r="X547" s="23" t="n"/>
      <c r="Y547" s="30">
        <f>IF($A547="","",COUNTIFS('Issues Log'!$C$5:$C$504,$A547,'Issues Log'!$K$5:$K$504,"Open")+COUNTIFS('Issues Log'!$C$5:$C$504,$A547,'Issues Log'!$K$5:$K$504,"In progress"))</f>
        <v/>
      </c>
      <c r="Z547" s="27" t="n"/>
    </row>
    <row r="548">
      <c r="A548" s="27" t="n"/>
      <c r="B548" s="27" t="n"/>
      <c r="C548" s="27" t="n"/>
      <c r="D548" s="28">
        <f>IF($C548="","",IFERROR(INDEX('Topic Plan'!$C$5:$C$115,MATCH($C548,'Topic Plan'!$B$5:$B$115,0)),"UNKNOWN TOPIC ID"))</f>
        <v/>
      </c>
      <c r="E548" s="28">
        <f>IF($C548="","",IFERROR(INDEX('Topic Plan'!$D$5:$D$115,MATCH($C548,'Topic Plan'!$B$5:$B$115,0)),""))</f>
        <v/>
      </c>
      <c r="F548" s="28">
        <f>IF($C548="","",IFERROR(INDEX('Topic Plan'!$E$5:$E$115,MATCH($C548,'Topic Plan'!$B$5:$B$115,0)),""))</f>
        <v/>
      </c>
      <c r="G548" s="23" t="n"/>
      <c r="H548" s="27" t="n"/>
      <c r="I548" s="27" t="n"/>
      <c r="J548" s="27" t="n"/>
      <c r="K548" s="27" t="n"/>
      <c r="L548" s="27" t="n"/>
      <c r="M548" s="27" t="n"/>
      <c r="N548" s="23" t="n"/>
      <c r="O548" s="29" t="n"/>
      <c r="P548" s="29" t="n"/>
      <c r="Q548" s="29" t="n"/>
      <c r="R548" s="29" t="n"/>
      <c r="S548" s="29" t="n"/>
      <c r="T548" s="29" t="n"/>
      <c r="U548" s="29" t="n"/>
      <c r="V548" s="30">
        <f>IF(OR($A548="",$U548=""),"",IF($S548&lt;&gt;"",MAX(0,$S548-$U548),MAX(0,TODAY()-$U548)))</f>
        <v/>
      </c>
      <c r="W548" s="30">
        <f>IF($A548="","",IF(OR($N548="Live",$N548="Retired"),"",TODAY()-MAX($O548,$P548,$Q548,$R548)))</f>
        <v/>
      </c>
      <c r="X548" s="23" t="n"/>
      <c r="Y548" s="30">
        <f>IF($A548="","",COUNTIFS('Issues Log'!$C$5:$C$504,$A548,'Issues Log'!$K$5:$K$504,"Open")+COUNTIFS('Issues Log'!$C$5:$C$504,$A548,'Issues Log'!$K$5:$K$504,"In progress"))</f>
        <v/>
      </c>
      <c r="Z548" s="27" t="n"/>
    </row>
    <row r="549">
      <c r="A549" s="27" t="n"/>
      <c r="B549" s="27" t="n"/>
      <c r="C549" s="27" t="n"/>
      <c r="D549" s="28">
        <f>IF($C549="","",IFERROR(INDEX('Topic Plan'!$C$5:$C$115,MATCH($C549,'Topic Plan'!$B$5:$B$115,0)),"UNKNOWN TOPIC ID"))</f>
        <v/>
      </c>
      <c r="E549" s="28">
        <f>IF($C549="","",IFERROR(INDEX('Topic Plan'!$D$5:$D$115,MATCH($C549,'Topic Plan'!$B$5:$B$115,0)),""))</f>
        <v/>
      </c>
      <c r="F549" s="28">
        <f>IF($C549="","",IFERROR(INDEX('Topic Plan'!$E$5:$E$115,MATCH($C549,'Topic Plan'!$B$5:$B$115,0)),""))</f>
        <v/>
      </c>
      <c r="G549" s="23" t="n"/>
      <c r="H549" s="27" t="n"/>
      <c r="I549" s="27" t="n"/>
      <c r="J549" s="27" t="n"/>
      <c r="K549" s="27" t="n"/>
      <c r="L549" s="27" t="n"/>
      <c r="M549" s="27" t="n"/>
      <c r="N549" s="23" t="n"/>
      <c r="O549" s="29" t="n"/>
      <c r="P549" s="29" t="n"/>
      <c r="Q549" s="29" t="n"/>
      <c r="R549" s="29" t="n"/>
      <c r="S549" s="29" t="n"/>
      <c r="T549" s="29" t="n"/>
      <c r="U549" s="29" t="n"/>
      <c r="V549" s="30">
        <f>IF(OR($A549="",$U549=""),"",IF($S549&lt;&gt;"",MAX(0,$S549-$U549),MAX(0,TODAY()-$U549)))</f>
        <v/>
      </c>
      <c r="W549" s="30">
        <f>IF($A549="","",IF(OR($N549="Live",$N549="Retired"),"",TODAY()-MAX($O549,$P549,$Q549,$R549)))</f>
        <v/>
      </c>
      <c r="X549" s="23" t="n"/>
      <c r="Y549" s="30">
        <f>IF($A549="","",COUNTIFS('Issues Log'!$C$5:$C$504,$A549,'Issues Log'!$K$5:$K$504,"Open")+COUNTIFS('Issues Log'!$C$5:$C$504,$A549,'Issues Log'!$K$5:$K$504,"In progress"))</f>
        <v/>
      </c>
      <c r="Z549" s="27" t="n"/>
    </row>
    <row r="550">
      <c r="A550" s="27" t="n"/>
      <c r="B550" s="27" t="n"/>
      <c r="C550" s="27" t="n"/>
      <c r="D550" s="28">
        <f>IF($C550="","",IFERROR(INDEX('Topic Plan'!$C$5:$C$115,MATCH($C550,'Topic Plan'!$B$5:$B$115,0)),"UNKNOWN TOPIC ID"))</f>
        <v/>
      </c>
      <c r="E550" s="28">
        <f>IF($C550="","",IFERROR(INDEX('Topic Plan'!$D$5:$D$115,MATCH($C550,'Topic Plan'!$B$5:$B$115,0)),""))</f>
        <v/>
      </c>
      <c r="F550" s="28">
        <f>IF($C550="","",IFERROR(INDEX('Topic Plan'!$E$5:$E$115,MATCH($C550,'Topic Plan'!$B$5:$B$115,0)),""))</f>
        <v/>
      </c>
      <c r="G550" s="23" t="n"/>
      <c r="H550" s="27" t="n"/>
      <c r="I550" s="27" t="n"/>
      <c r="J550" s="27" t="n"/>
      <c r="K550" s="27" t="n"/>
      <c r="L550" s="27" t="n"/>
      <c r="M550" s="27" t="n"/>
      <c r="N550" s="23" t="n"/>
      <c r="O550" s="29" t="n"/>
      <c r="P550" s="29" t="n"/>
      <c r="Q550" s="29" t="n"/>
      <c r="R550" s="29" t="n"/>
      <c r="S550" s="29" t="n"/>
      <c r="T550" s="29" t="n"/>
      <c r="U550" s="29" t="n"/>
      <c r="V550" s="30">
        <f>IF(OR($A550="",$U550=""),"",IF($S550&lt;&gt;"",MAX(0,$S550-$U550),MAX(0,TODAY()-$U550)))</f>
        <v/>
      </c>
      <c r="W550" s="30">
        <f>IF($A550="","",IF(OR($N550="Live",$N550="Retired"),"",TODAY()-MAX($O550,$P550,$Q550,$R550)))</f>
        <v/>
      </c>
      <c r="X550" s="23" t="n"/>
      <c r="Y550" s="30">
        <f>IF($A550="","",COUNTIFS('Issues Log'!$C$5:$C$504,$A550,'Issues Log'!$K$5:$K$504,"Open")+COUNTIFS('Issues Log'!$C$5:$C$504,$A550,'Issues Log'!$K$5:$K$504,"In progress"))</f>
        <v/>
      </c>
      <c r="Z550" s="27" t="n"/>
    </row>
    <row r="551">
      <c r="A551" s="27" t="n"/>
      <c r="B551" s="27" t="n"/>
      <c r="C551" s="27" t="n"/>
      <c r="D551" s="28">
        <f>IF($C551="","",IFERROR(INDEX('Topic Plan'!$C$5:$C$115,MATCH($C551,'Topic Plan'!$B$5:$B$115,0)),"UNKNOWN TOPIC ID"))</f>
        <v/>
      </c>
      <c r="E551" s="28">
        <f>IF($C551="","",IFERROR(INDEX('Topic Plan'!$D$5:$D$115,MATCH($C551,'Topic Plan'!$B$5:$B$115,0)),""))</f>
        <v/>
      </c>
      <c r="F551" s="28">
        <f>IF($C551="","",IFERROR(INDEX('Topic Plan'!$E$5:$E$115,MATCH($C551,'Topic Plan'!$B$5:$B$115,0)),""))</f>
        <v/>
      </c>
      <c r="G551" s="23" t="n"/>
      <c r="H551" s="27" t="n"/>
      <c r="I551" s="27" t="n"/>
      <c r="J551" s="27" t="n"/>
      <c r="K551" s="27" t="n"/>
      <c r="L551" s="27" t="n"/>
      <c r="M551" s="27" t="n"/>
      <c r="N551" s="23" t="n"/>
      <c r="O551" s="29" t="n"/>
      <c r="P551" s="29" t="n"/>
      <c r="Q551" s="29" t="n"/>
      <c r="R551" s="29" t="n"/>
      <c r="S551" s="29" t="n"/>
      <c r="T551" s="29" t="n"/>
      <c r="U551" s="29" t="n"/>
      <c r="V551" s="30">
        <f>IF(OR($A551="",$U551=""),"",IF($S551&lt;&gt;"",MAX(0,$S551-$U551),MAX(0,TODAY()-$U551)))</f>
        <v/>
      </c>
      <c r="W551" s="30">
        <f>IF($A551="","",IF(OR($N551="Live",$N551="Retired"),"",TODAY()-MAX($O551,$P551,$Q551,$R551)))</f>
        <v/>
      </c>
      <c r="X551" s="23" t="n"/>
      <c r="Y551" s="30">
        <f>IF($A551="","",COUNTIFS('Issues Log'!$C$5:$C$504,$A551,'Issues Log'!$K$5:$K$504,"Open")+COUNTIFS('Issues Log'!$C$5:$C$504,$A551,'Issues Log'!$K$5:$K$504,"In progress"))</f>
        <v/>
      </c>
      <c r="Z551" s="27" t="n"/>
    </row>
    <row r="552">
      <c r="A552" s="27" t="n"/>
      <c r="B552" s="27" t="n"/>
      <c r="C552" s="27" t="n"/>
      <c r="D552" s="28">
        <f>IF($C552="","",IFERROR(INDEX('Topic Plan'!$C$5:$C$115,MATCH($C552,'Topic Plan'!$B$5:$B$115,0)),"UNKNOWN TOPIC ID"))</f>
        <v/>
      </c>
      <c r="E552" s="28">
        <f>IF($C552="","",IFERROR(INDEX('Topic Plan'!$D$5:$D$115,MATCH($C552,'Topic Plan'!$B$5:$B$115,0)),""))</f>
        <v/>
      </c>
      <c r="F552" s="28">
        <f>IF($C552="","",IFERROR(INDEX('Topic Plan'!$E$5:$E$115,MATCH($C552,'Topic Plan'!$B$5:$B$115,0)),""))</f>
        <v/>
      </c>
      <c r="G552" s="23" t="n"/>
      <c r="H552" s="27" t="n"/>
      <c r="I552" s="27" t="n"/>
      <c r="J552" s="27" t="n"/>
      <c r="K552" s="27" t="n"/>
      <c r="L552" s="27" t="n"/>
      <c r="M552" s="27" t="n"/>
      <c r="N552" s="23" t="n"/>
      <c r="O552" s="29" t="n"/>
      <c r="P552" s="29" t="n"/>
      <c r="Q552" s="29" t="n"/>
      <c r="R552" s="29" t="n"/>
      <c r="S552" s="29" t="n"/>
      <c r="T552" s="29" t="n"/>
      <c r="U552" s="29" t="n"/>
      <c r="V552" s="30">
        <f>IF(OR($A552="",$U552=""),"",IF($S552&lt;&gt;"",MAX(0,$S552-$U552),MAX(0,TODAY()-$U552)))</f>
        <v/>
      </c>
      <c r="W552" s="30">
        <f>IF($A552="","",IF(OR($N552="Live",$N552="Retired"),"",TODAY()-MAX($O552,$P552,$Q552,$R552)))</f>
        <v/>
      </c>
      <c r="X552" s="23" t="n"/>
      <c r="Y552" s="30">
        <f>IF($A552="","",COUNTIFS('Issues Log'!$C$5:$C$504,$A552,'Issues Log'!$K$5:$K$504,"Open")+COUNTIFS('Issues Log'!$C$5:$C$504,$A552,'Issues Log'!$K$5:$K$504,"In progress"))</f>
        <v/>
      </c>
      <c r="Z552" s="27" t="n"/>
    </row>
    <row r="553">
      <c r="A553" s="27" t="n"/>
      <c r="B553" s="27" t="n"/>
      <c r="C553" s="27" t="n"/>
      <c r="D553" s="28">
        <f>IF($C553="","",IFERROR(INDEX('Topic Plan'!$C$5:$C$115,MATCH($C553,'Topic Plan'!$B$5:$B$115,0)),"UNKNOWN TOPIC ID"))</f>
        <v/>
      </c>
      <c r="E553" s="28">
        <f>IF($C553="","",IFERROR(INDEX('Topic Plan'!$D$5:$D$115,MATCH($C553,'Topic Plan'!$B$5:$B$115,0)),""))</f>
        <v/>
      </c>
      <c r="F553" s="28">
        <f>IF($C553="","",IFERROR(INDEX('Topic Plan'!$E$5:$E$115,MATCH($C553,'Topic Plan'!$B$5:$B$115,0)),""))</f>
        <v/>
      </c>
      <c r="G553" s="23" t="n"/>
      <c r="H553" s="27" t="n"/>
      <c r="I553" s="27" t="n"/>
      <c r="J553" s="27" t="n"/>
      <c r="K553" s="27" t="n"/>
      <c r="L553" s="27" t="n"/>
      <c r="M553" s="27" t="n"/>
      <c r="N553" s="23" t="n"/>
      <c r="O553" s="29" t="n"/>
      <c r="P553" s="29" t="n"/>
      <c r="Q553" s="29" t="n"/>
      <c r="R553" s="29" t="n"/>
      <c r="S553" s="29" t="n"/>
      <c r="T553" s="29" t="n"/>
      <c r="U553" s="29" t="n"/>
      <c r="V553" s="30">
        <f>IF(OR($A553="",$U553=""),"",IF($S553&lt;&gt;"",MAX(0,$S553-$U553),MAX(0,TODAY()-$U553)))</f>
        <v/>
      </c>
      <c r="W553" s="30">
        <f>IF($A553="","",IF(OR($N553="Live",$N553="Retired"),"",TODAY()-MAX($O553,$P553,$Q553,$R553)))</f>
        <v/>
      </c>
      <c r="X553" s="23" t="n"/>
      <c r="Y553" s="30">
        <f>IF($A553="","",COUNTIFS('Issues Log'!$C$5:$C$504,$A553,'Issues Log'!$K$5:$K$504,"Open")+COUNTIFS('Issues Log'!$C$5:$C$504,$A553,'Issues Log'!$K$5:$K$504,"In progress"))</f>
        <v/>
      </c>
      <c r="Z553" s="27" t="n"/>
    </row>
    <row r="554">
      <c r="A554" s="27" t="n"/>
      <c r="B554" s="27" t="n"/>
      <c r="C554" s="27" t="n"/>
      <c r="D554" s="28">
        <f>IF($C554="","",IFERROR(INDEX('Topic Plan'!$C$5:$C$115,MATCH($C554,'Topic Plan'!$B$5:$B$115,0)),"UNKNOWN TOPIC ID"))</f>
        <v/>
      </c>
      <c r="E554" s="28">
        <f>IF($C554="","",IFERROR(INDEX('Topic Plan'!$D$5:$D$115,MATCH($C554,'Topic Plan'!$B$5:$B$115,0)),""))</f>
        <v/>
      </c>
      <c r="F554" s="28">
        <f>IF($C554="","",IFERROR(INDEX('Topic Plan'!$E$5:$E$115,MATCH($C554,'Topic Plan'!$B$5:$B$115,0)),""))</f>
        <v/>
      </c>
      <c r="G554" s="23" t="n"/>
      <c r="H554" s="27" t="n"/>
      <c r="I554" s="27" t="n"/>
      <c r="J554" s="27" t="n"/>
      <c r="K554" s="27" t="n"/>
      <c r="L554" s="27" t="n"/>
      <c r="M554" s="27" t="n"/>
      <c r="N554" s="23" t="n"/>
      <c r="O554" s="29" t="n"/>
      <c r="P554" s="29" t="n"/>
      <c r="Q554" s="29" t="n"/>
      <c r="R554" s="29" t="n"/>
      <c r="S554" s="29" t="n"/>
      <c r="T554" s="29" t="n"/>
      <c r="U554" s="29" t="n"/>
      <c r="V554" s="30">
        <f>IF(OR($A554="",$U554=""),"",IF($S554&lt;&gt;"",MAX(0,$S554-$U554),MAX(0,TODAY()-$U554)))</f>
        <v/>
      </c>
      <c r="W554" s="30">
        <f>IF($A554="","",IF(OR($N554="Live",$N554="Retired"),"",TODAY()-MAX($O554,$P554,$Q554,$R554)))</f>
        <v/>
      </c>
      <c r="X554" s="23" t="n"/>
      <c r="Y554" s="30">
        <f>IF($A554="","",COUNTIFS('Issues Log'!$C$5:$C$504,$A554,'Issues Log'!$K$5:$K$504,"Open")+COUNTIFS('Issues Log'!$C$5:$C$504,$A554,'Issues Log'!$K$5:$K$504,"In progress"))</f>
        <v/>
      </c>
      <c r="Z554" s="27" t="n"/>
    </row>
    <row r="555">
      <c r="A555" s="27" t="n"/>
      <c r="B555" s="27" t="n"/>
      <c r="C555" s="27" t="n"/>
      <c r="D555" s="28">
        <f>IF($C555="","",IFERROR(INDEX('Topic Plan'!$C$5:$C$115,MATCH($C555,'Topic Plan'!$B$5:$B$115,0)),"UNKNOWN TOPIC ID"))</f>
        <v/>
      </c>
      <c r="E555" s="28">
        <f>IF($C555="","",IFERROR(INDEX('Topic Plan'!$D$5:$D$115,MATCH($C555,'Topic Plan'!$B$5:$B$115,0)),""))</f>
        <v/>
      </c>
      <c r="F555" s="28">
        <f>IF($C555="","",IFERROR(INDEX('Topic Plan'!$E$5:$E$115,MATCH($C555,'Topic Plan'!$B$5:$B$115,0)),""))</f>
        <v/>
      </c>
      <c r="G555" s="23" t="n"/>
      <c r="H555" s="27" t="n"/>
      <c r="I555" s="27" t="n"/>
      <c r="J555" s="27" t="n"/>
      <c r="K555" s="27" t="n"/>
      <c r="L555" s="27" t="n"/>
      <c r="M555" s="27" t="n"/>
      <c r="N555" s="23" t="n"/>
      <c r="O555" s="29" t="n"/>
      <c r="P555" s="29" t="n"/>
      <c r="Q555" s="29" t="n"/>
      <c r="R555" s="29" t="n"/>
      <c r="S555" s="29" t="n"/>
      <c r="T555" s="29" t="n"/>
      <c r="U555" s="29" t="n"/>
      <c r="V555" s="30">
        <f>IF(OR($A555="",$U555=""),"",IF($S555&lt;&gt;"",MAX(0,$S555-$U555),MAX(0,TODAY()-$U555)))</f>
        <v/>
      </c>
      <c r="W555" s="30">
        <f>IF($A555="","",IF(OR($N555="Live",$N555="Retired"),"",TODAY()-MAX($O555,$P555,$Q555,$R555)))</f>
        <v/>
      </c>
      <c r="X555" s="23" t="n"/>
      <c r="Y555" s="30">
        <f>IF($A555="","",COUNTIFS('Issues Log'!$C$5:$C$504,$A555,'Issues Log'!$K$5:$K$504,"Open")+COUNTIFS('Issues Log'!$C$5:$C$504,$A555,'Issues Log'!$K$5:$K$504,"In progress"))</f>
        <v/>
      </c>
      <c r="Z555" s="27" t="n"/>
    </row>
    <row r="556">
      <c r="A556" s="27" t="n"/>
      <c r="B556" s="27" t="n"/>
      <c r="C556" s="27" t="n"/>
      <c r="D556" s="28">
        <f>IF($C556="","",IFERROR(INDEX('Topic Plan'!$C$5:$C$115,MATCH($C556,'Topic Plan'!$B$5:$B$115,0)),"UNKNOWN TOPIC ID"))</f>
        <v/>
      </c>
      <c r="E556" s="28">
        <f>IF($C556="","",IFERROR(INDEX('Topic Plan'!$D$5:$D$115,MATCH($C556,'Topic Plan'!$B$5:$B$115,0)),""))</f>
        <v/>
      </c>
      <c r="F556" s="28">
        <f>IF($C556="","",IFERROR(INDEX('Topic Plan'!$E$5:$E$115,MATCH($C556,'Topic Plan'!$B$5:$B$115,0)),""))</f>
        <v/>
      </c>
      <c r="G556" s="23" t="n"/>
      <c r="H556" s="27" t="n"/>
      <c r="I556" s="27" t="n"/>
      <c r="J556" s="27" t="n"/>
      <c r="K556" s="27" t="n"/>
      <c r="L556" s="27" t="n"/>
      <c r="M556" s="27" t="n"/>
      <c r="N556" s="23" t="n"/>
      <c r="O556" s="29" t="n"/>
      <c r="P556" s="29" t="n"/>
      <c r="Q556" s="29" t="n"/>
      <c r="R556" s="29" t="n"/>
      <c r="S556" s="29" t="n"/>
      <c r="T556" s="29" t="n"/>
      <c r="U556" s="29" t="n"/>
      <c r="V556" s="30">
        <f>IF(OR($A556="",$U556=""),"",IF($S556&lt;&gt;"",MAX(0,$S556-$U556),MAX(0,TODAY()-$U556)))</f>
        <v/>
      </c>
      <c r="W556" s="30">
        <f>IF($A556="","",IF(OR($N556="Live",$N556="Retired"),"",TODAY()-MAX($O556,$P556,$Q556,$R556)))</f>
        <v/>
      </c>
      <c r="X556" s="23" t="n"/>
      <c r="Y556" s="30">
        <f>IF($A556="","",COUNTIFS('Issues Log'!$C$5:$C$504,$A556,'Issues Log'!$K$5:$K$504,"Open")+COUNTIFS('Issues Log'!$C$5:$C$504,$A556,'Issues Log'!$K$5:$K$504,"In progress"))</f>
        <v/>
      </c>
      <c r="Z556" s="27" t="n"/>
    </row>
    <row r="557">
      <c r="A557" s="27" t="n"/>
      <c r="B557" s="27" t="n"/>
      <c r="C557" s="27" t="n"/>
      <c r="D557" s="28">
        <f>IF($C557="","",IFERROR(INDEX('Topic Plan'!$C$5:$C$115,MATCH($C557,'Topic Plan'!$B$5:$B$115,0)),"UNKNOWN TOPIC ID"))</f>
        <v/>
      </c>
      <c r="E557" s="28">
        <f>IF($C557="","",IFERROR(INDEX('Topic Plan'!$D$5:$D$115,MATCH($C557,'Topic Plan'!$B$5:$B$115,0)),""))</f>
        <v/>
      </c>
      <c r="F557" s="28">
        <f>IF($C557="","",IFERROR(INDEX('Topic Plan'!$E$5:$E$115,MATCH($C557,'Topic Plan'!$B$5:$B$115,0)),""))</f>
        <v/>
      </c>
      <c r="G557" s="23" t="n"/>
      <c r="H557" s="27" t="n"/>
      <c r="I557" s="27" t="n"/>
      <c r="J557" s="27" t="n"/>
      <c r="K557" s="27" t="n"/>
      <c r="L557" s="27" t="n"/>
      <c r="M557" s="27" t="n"/>
      <c r="N557" s="23" t="n"/>
      <c r="O557" s="29" t="n"/>
      <c r="P557" s="29" t="n"/>
      <c r="Q557" s="29" t="n"/>
      <c r="R557" s="29" t="n"/>
      <c r="S557" s="29" t="n"/>
      <c r="T557" s="29" t="n"/>
      <c r="U557" s="29" t="n"/>
      <c r="V557" s="30">
        <f>IF(OR($A557="",$U557=""),"",IF($S557&lt;&gt;"",MAX(0,$S557-$U557),MAX(0,TODAY()-$U557)))</f>
        <v/>
      </c>
      <c r="W557" s="30">
        <f>IF($A557="","",IF(OR($N557="Live",$N557="Retired"),"",TODAY()-MAX($O557,$P557,$Q557,$R557)))</f>
        <v/>
      </c>
      <c r="X557" s="23" t="n"/>
      <c r="Y557" s="30">
        <f>IF($A557="","",COUNTIFS('Issues Log'!$C$5:$C$504,$A557,'Issues Log'!$K$5:$K$504,"Open")+COUNTIFS('Issues Log'!$C$5:$C$504,$A557,'Issues Log'!$K$5:$K$504,"In progress"))</f>
        <v/>
      </c>
      <c r="Z557" s="27" t="n"/>
    </row>
    <row r="558">
      <c r="A558" s="27" t="n"/>
      <c r="B558" s="27" t="n"/>
      <c r="C558" s="27" t="n"/>
      <c r="D558" s="28">
        <f>IF($C558="","",IFERROR(INDEX('Topic Plan'!$C$5:$C$115,MATCH($C558,'Topic Plan'!$B$5:$B$115,0)),"UNKNOWN TOPIC ID"))</f>
        <v/>
      </c>
      <c r="E558" s="28">
        <f>IF($C558="","",IFERROR(INDEX('Topic Plan'!$D$5:$D$115,MATCH($C558,'Topic Plan'!$B$5:$B$115,0)),""))</f>
        <v/>
      </c>
      <c r="F558" s="28">
        <f>IF($C558="","",IFERROR(INDEX('Topic Plan'!$E$5:$E$115,MATCH($C558,'Topic Plan'!$B$5:$B$115,0)),""))</f>
        <v/>
      </c>
      <c r="G558" s="23" t="n"/>
      <c r="H558" s="27" t="n"/>
      <c r="I558" s="27" t="n"/>
      <c r="J558" s="27" t="n"/>
      <c r="K558" s="27" t="n"/>
      <c r="L558" s="27" t="n"/>
      <c r="M558" s="27" t="n"/>
      <c r="N558" s="23" t="n"/>
      <c r="O558" s="29" t="n"/>
      <c r="P558" s="29" t="n"/>
      <c r="Q558" s="29" t="n"/>
      <c r="R558" s="29" t="n"/>
      <c r="S558" s="29" t="n"/>
      <c r="T558" s="29" t="n"/>
      <c r="U558" s="29" t="n"/>
      <c r="V558" s="30">
        <f>IF(OR($A558="",$U558=""),"",IF($S558&lt;&gt;"",MAX(0,$S558-$U558),MAX(0,TODAY()-$U558)))</f>
        <v/>
      </c>
      <c r="W558" s="30">
        <f>IF($A558="","",IF(OR($N558="Live",$N558="Retired"),"",TODAY()-MAX($O558,$P558,$Q558,$R558)))</f>
        <v/>
      </c>
      <c r="X558" s="23" t="n"/>
      <c r="Y558" s="30">
        <f>IF($A558="","",COUNTIFS('Issues Log'!$C$5:$C$504,$A558,'Issues Log'!$K$5:$K$504,"Open")+COUNTIFS('Issues Log'!$C$5:$C$504,$A558,'Issues Log'!$K$5:$K$504,"In progress"))</f>
        <v/>
      </c>
      <c r="Z558" s="27" t="n"/>
    </row>
    <row r="559">
      <c r="A559" s="27" t="n"/>
      <c r="B559" s="27" t="n"/>
      <c r="C559" s="27" t="n"/>
      <c r="D559" s="28">
        <f>IF($C559="","",IFERROR(INDEX('Topic Plan'!$C$5:$C$115,MATCH($C559,'Topic Plan'!$B$5:$B$115,0)),"UNKNOWN TOPIC ID"))</f>
        <v/>
      </c>
      <c r="E559" s="28">
        <f>IF($C559="","",IFERROR(INDEX('Topic Plan'!$D$5:$D$115,MATCH($C559,'Topic Plan'!$B$5:$B$115,0)),""))</f>
        <v/>
      </c>
      <c r="F559" s="28">
        <f>IF($C559="","",IFERROR(INDEX('Topic Plan'!$E$5:$E$115,MATCH($C559,'Topic Plan'!$B$5:$B$115,0)),""))</f>
        <v/>
      </c>
      <c r="G559" s="23" t="n"/>
      <c r="H559" s="27" t="n"/>
      <c r="I559" s="27" t="n"/>
      <c r="J559" s="27" t="n"/>
      <c r="K559" s="27" t="n"/>
      <c r="L559" s="27" t="n"/>
      <c r="M559" s="27" t="n"/>
      <c r="N559" s="23" t="n"/>
      <c r="O559" s="29" t="n"/>
      <c r="P559" s="29" t="n"/>
      <c r="Q559" s="29" t="n"/>
      <c r="R559" s="29" t="n"/>
      <c r="S559" s="29" t="n"/>
      <c r="T559" s="29" t="n"/>
      <c r="U559" s="29" t="n"/>
      <c r="V559" s="30">
        <f>IF(OR($A559="",$U559=""),"",IF($S559&lt;&gt;"",MAX(0,$S559-$U559),MAX(0,TODAY()-$U559)))</f>
        <v/>
      </c>
      <c r="W559" s="30">
        <f>IF($A559="","",IF(OR($N559="Live",$N559="Retired"),"",TODAY()-MAX($O559,$P559,$Q559,$R559)))</f>
        <v/>
      </c>
      <c r="X559" s="23" t="n"/>
      <c r="Y559" s="30">
        <f>IF($A559="","",COUNTIFS('Issues Log'!$C$5:$C$504,$A559,'Issues Log'!$K$5:$K$504,"Open")+COUNTIFS('Issues Log'!$C$5:$C$504,$A559,'Issues Log'!$K$5:$K$504,"In progress"))</f>
        <v/>
      </c>
      <c r="Z559" s="27" t="n"/>
    </row>
    <row r="560">
      <c r="A560" s="27" t="n"/>
      <c r="B560" s="27" t="n"/>
      <c r="C560" s="27" t="n"/>
      <c r="D560" s="28">
        <f>IF($C560="","",IFERROR(INDEX('Topic Plan'!$C$5:$C$115,MATCH($C560,'Topic Plan'!$B$5:$B$115,0)),"UNKNOWN TOPIC ID"))</f>
        <v/>
      </c>
      <c r="E560" s="28">
        <f>IF($C560="","",IFERROR(INDEX('Topic Plan'!$D$5:$D$115,MATCH($C560,'Topic Plan'!$B$5:$B$115,0)),""))</f>
        <v/>
      </c>
      <c r="F560" s="28">
        <f>IF($C560="","",IFERROR(INDEX('Topic Plan'!$E$5:$E$115,MATCH($C560,'Topic Plan'!$B$5:$B$115,0)),""))</f>
        <v/>
      </c>
      <c r="G560" s="23" t="n"/>
      <c r="H560" s="27" t="n"/>
      <c r="I560" s="27" t="n"/>
      <c r="J560" s="27" t="n"/>
      <c r="K560" s="27" t="n"/>
      <c r="L560" s="27" t="n"/>
      <c r="M560" s="27" t="n"/>
      <c r="N560" s="23" t="n"/>
      <c r="O560" s="29" t="n"/>
      <c r="P560" s="29" t="n"/>
      <c r="Q560" s="29" t="n"/>
      <c r="R560" s="29" t="n"/>
      <c r="S560" s="29" t="n"/>
      <c r="T560" s="29" t="n"/>
      <c r="U560" s="29" t="n"/>
      <c r="V560" s="30">
        <f>IF(OR($A560="",$U560=""),"",IF($S560&lt;&gt;"",MAX(0,$S560-$U560),MAX(0,TODAY()-$U560)))</f>
        <v/>
      </c>
      <c r="W560" s="30">
        <f>IF($A560="","",IF(OR($N560="Live",$N560="Retired"),"",TODAY()-MAX($O560,$P560,$Q560,$R560)))</f>
        <v/>
      </c>
      <c r="X560" s="23" t="n"/>
      <c r="Y560" s="30">
        <f>IF($A560="","",COUNTIFS('Issues Log'!$C$5:$C$504,$A560,'Issues Log'!$K$5:$K$504,"Open")+COUNTIFS('Issues Log'!$C$5:$C$504,$A560,'Issues Log'!$K$5:$K$504,"In progress"))</f>
        <v/>
      </c>
      <c r="Z560" s="27" t="n"/>
    </row>
    <row r="561">
      <c r="A561" s="27" t="n"/>
      <c r="B561" s="27" t="n"/>
      <c r="C561" s="27" t="n"/>
      <c r="D561" s="28">
        <f>IF($C561="","",IFERROR(INDEX('Topic Plan'!$C$5:$C$115,MATCH($C561,'Topic Plan'!$B$5:$B$115,0)),"UNKNOWN TOPIC ID"))</f>
        <v/>
      </c>
      <c r="E561" s="28">
        <f>IF($C561="","",IFERROR(INDEX('Topic Plan'!$D$5:$D$115,MATCH($C561,'Topic Plan'!$B$5:$B$115,0)),""))</f>
        <v/>
      </c>
      <c r="F561" s="28">
        <f>IF($C561="","",IFERROR(INDEX('Topic Plan'!$E$5:$E$115,MATCH($C561,'Topic Plan'!$B$5:$B$115,0)),""))</f>
        <v/>
      </c>
      <c r="G561" s="23" t="n"/>
      <c r="H561" s="27" t="n"/>
      <c r="I561" s="27" t="n"/>
      <c r="J561" s="27" t="n"/>
      <c r="K561" s="27" t="n"/>
      <c r="L561" s="27" t="n"/>
      <c r="M561" s="27" t="n"/>
      <c r="N561" s="23" t="n"/>
      <c r="O561" s="29" t="n"/>
      <c r="P561" s="29" t="n"/>
      <c r="Q561" s="29" t="n"/>
      <c r="R561" s="29" t="n"/>
      <c r="S561" s="29" t="n"/>
      <c r="T561" s="29" t="n"/>
      <c r="U561" s="29" t="n"/>
      <c r="V561" s="30">
        <f>IF(OR($A561="",$U561=""),"",IF($S561&lt;&gt;"",MAX(0,$S561-$U561),MAX(0,TODAY()-$U561)))</f>
        <v/>
      </c>
      <c r="W561" s="30">
        <f>IF($A561="","",IF(OR($N561="Live",$N561="Retired"),"",TODAY()-MAX($O561,$P561,$Q561,$R561)))</f>
        <v/>
      </c>
      <c r="X561" s="23" t="n"/>
      <c r="Y561" s="30">
        <f>IF($A561="","",COUNTIFS('Issues Log'!$C$5:$C$504,$A561,'Issues Log'!$K$5:$K$504,"Open")+COUNTIFS('Issues Log'!$C$5:$C$504,$A561,'Issues Log'!$K$5:$K$504,"In progress"))</f>
        <v/>
      </c>
      <c r="Z561" s="27" t="n"/>
    </row>
    <row r="562">
      <c r="A562" s="27" t="n"/>
      <c r="B562" s="27" t="n"/>
      <c r="C562" s="27" t="n"/>
      <c r="D562" s="28">
        <f>IF($C562="","",IFERROR(INDEX('Topic Plan'!$C$5:$C$115,MATCH($C562,'Topic Plan'!$B$5:$B$115,0)),"UNKNOWN TOPIC ID"))</f>
        <v/>
      </c>
      <c r="E562" s="28">
        <f>IF($C562="","",IFERROR(INDEX('Topic Plan'!$D$5:$D$115,MATCH($C562,'Topic Plan'!$B$5:$B$115,0)),""))</f>
        <v/>
      </c>
      <c r="F562" s="28">
        <f>IF($C562="","",IFERROR(INDEX('Topic Plan'!$E$5:$E$115,MATCH($C562,'Topic Plan'!$B$5:$B$115,0)),""))</f>
        <v/>
      </c>
      <c r="G562" s="23" t="n"/>
      <c r="H562" s="27" t="n"/>
      <c r="I562" s="27" t="n"/>
      <c r="J562" s="27" t="n"/>
      <c r="K562" s="27" t="n"/>
      <c r="L562" s="27" t="n"/>
      <c r="M562" s="27" t="n"/>
      <c r="N562" s="23" t="n"/>
      <c r="O562" s="29" t="n"/>
      <c r="P562" s="29" t="n"/>
      <c r="Q562" s="29" t="n"/>
      <c r="R562" s="29" t="n"/>
      <c r="S562" s="29" t="n"/>
      <c r="T562" s="29" t="n"/>
      <c r="U562" s="29" t="n"/>
      <c r="V562" s="30">
        <f>IF(OR($A562="",$U562=""),"",IF($S562&lt;&gt;"",MAX(0,$S562-$U562),MAX(0,TODAY()-$U562)))</f>
        <v/>
      </c>
      <c r="W562" s="30">
        <f>IF($A562="","",IF(OR($N562="Live",$N562="Retired"),"",TODAY()-MAX($O562,$P562,$Q562,$R562)))</f>
        <v/>
      </c>
      <c r="X562" s="23" t="n"/>
      <c r="Y562" s="30">
        <f>IF($A562="","",COUNTIFS('Issues Log'!$C$5:$C$504,$A562,'Issues Log'!$K$5:$K$504,"Open")+COUNTIFS('Issues Log'!$C$5:$C$504,$A562,'Issues Log'!$K$5:$K$504,"In progress"))</f>
        <v/>
      </c>
      <c r="Z562" s="27" t="n"/>
    </row>
    <row r="563">
      <c r="A563" s="27" t="n"/>
      <c r="B563" s="27" t="n"/>
      <c r="C563" s="27" t="n"/>
      <c r="D563" s="28">
        <f>IF($C563="","",IFERROR(INDEX('Topic Plan'!$C$5:$C$115,MATCH($C563,'Topic Plan'!$B$5:$B$115,0)),"UNKNOWN TOPIC ID"))</f>
        <v/>
      </c>
      <c r="E563" s="28">
        <f>IF($C563="","",IFERROR(INDEX('Topic Plan'!$D$5:$D$115,MATCH($C563,'Topic Plan'!$B$5:$B$115,0)),""))</f>
        <v/>
      </c>
      <c r="F563" s="28">
        <f>IF($C563="","",IFERROR(INDEX('Topic Plan'!$E$5:$E$115,MATCH($C563,'Topic Plan'!$B$5:$B$115,0)),""))</f>
        <v/>
      </c>
      <c r="G563" s="23" t="n"/>
      <c r="H563" s="27" t="n"/>
      <c r="I563" s="27" t="n"/>
      <c r="J563" s="27" t="n"/>
      <c r="K563" s="27" t="n"/>
      <c r="L563" s="27" t="n"/>
      <c r="M563" s="27" t="n"/>
      <c r="N563" s="23" t="n"/>
      <c r="O563" s="29" t="n"/>
      <c r="P563" s="29" t="n"/>
      <c r="Q563" s="29" t="n"/>
      <c r="R563" s="29" t="n"/>
      <c r="S563" s="29" t="n"/>
      <c r="T563" s="29" t="n"/>
      <c r="U563" s="29" t="n"/>
      <c r="V563" s="30">
        <f>IF(OR($A563="",$U563=""),"",IF($S563&lt;&gt;"",MAX(0,$S563-$U563),MAX(0,TODAY()-$U563)))</f>
        <v/>
      </c>
      <c r="W563" s="30">
        <f>IF($A563="","",IF(OR($N563="Live",$N563="Retired"),"",TODAY()-MAX($O563,$P563,$Q563,$R563)))</f>
        <v/>
      </c>
      <c r="X563" s="23" t="n"/>
      <c r="Y563" s="30">
        <f>IF($A563="","",COUNTIFS('Issues Log'!$C$5:$C$504,$A563,'Issues Log'!$K$5:$K$504,"Open")+COUNTIFS('Issues Log'!$C$5:$C$504,$A563,'Issues Log'!$K$5:$K$504,"In progress"))</f>
        <v/>
      </c>
      <c r="Z563" s="27" t="n"/>
    </row>
    <row r="564">
      <c r="A564" s="27" t="n"/>
      <c r="B564" s="27" t="n"/>
      <c r="C564" s="27" t="n"/>
      <c r="D564" s="28">
        <f>IF($C564="","",IFERROR(INDEX('Topic Plan'!$C$5:$C$115,MATCH($C564,'Topic Plan'!$B$5:$B$115,0)),"UNKNOWN TOPIC ID"))</f>
        <v/>
      </c>
      <c r="E564" s="28">
        <f>IF($C564="","",IFERROR(INDEX('Topic Plan'!$D$5:$D$115,MATCH($C564,'Topic Plan'!$B$5:$B$115,0)),""))</f>
        <v/>
      </c>
      <c r="F564" s="28">
        <f>IF($C564="","",IFERROR(INDEX('Topic Plan'!$E$5:$E$115,MATCH($C564,'Topic Plan'!$B$5:$B$115,0)),""))</f>
        <v/>
      </c>
      <c r="G564" s="23" t="n"/>
      <c r="H564" s="27" t="n"/>
      <c r="I564" s="27" t="n"/>
      <c r="J564" s="27" t="n"/>
      <c r="K564" s="27" t="n"/>
      <c r="L564" s="27" t="n"/>
      <c r="M564" s="27" t="n"/>
      <c r="N564" s="23" t="n"/>
      <c r="O564" s="29" t="n"/>
      <c r="P564" s="29" t="n"/>
      <c r="Q564" s="29" t="n"/>
      <c r="R564" s="29" t="n"/>
      <c r="S564" s="29" t="n"/>
      <c r="T564" s="29" t="n"/>
      <c r="U564" s="29" t="n"/>
      <c r="V564" s="30">
        <f>IF(OR($A564="",$U564=""),"",IF($S564&lt;&gt;"",MAX(0,$S564-$U564),MAX(0,TODAY()-$U564)))</f>
        <v/>
      </c>
      <c r="W564" s="30">
        <f>IF($A564="","",IF(OR($N564="Live",$N564="Retired"),"",TODAY()-MAX($O564,$P564,$Q564,$R564)))</f>
        <v/>
      </c>
      <c r="X564" s="23" t="n"/>
      <c r="Y564" s="30">
        <f>IF($A564="","",COUNTIFS('Issues Log'!$C$5:$C$504,$A564,'Issues Log'!$K$5:$K$504,"Open")+COUNTIFS('Issues Log'!$C$5:$C$504,$A564,'Issues Log'!$K$5:$K$504,"In progress"))</f>
        <v/>
      </c>
      <c r="Z564" s="27" t="n"/>
    </row>
    <row r="565">
      <c r="A565" s="27" t="n"/>
      <c r="B565" s="27" t="n"/>
      <c r="C565" s="27" t="n"/>
      <c r="D565" s="28">
        <f>IF($C565="","",IFERROR(INDEX('Topic Plan'!$C$5:$C$115,MATCH($C565,'Topic Plan'!$B$5:$B$115,0)),"UNKNOWN TOPIC ID"))</f>
        <v/>
      </c>
      <c r="E565" s="28">
        <f>IF($C565="","",IFERROR(INDEX('Topic Plan'!$D$5:$D$115,MATCH($C565,'Topic Plan'!$B$5:$B$115,0)),""))</f>
        <v/>
      </c>
      <c r="F565" s="28">
        <f>IF($C565="","",IFERROR(INDEX('Topic Plan'!$E$5:$E$115,MATCH($C565,'Topic Plan'!$B$5:$B$115,0)),""))</f>
        <v/>
      </c>
      <c r="G565" s="23" t="n"/>
      <c r="H565" s="27" t="n"/>
      <c r="I565" s="27" t="n"/>
      <c r="J565" s="27" t="n"/>
      <c r="K565" s="27" t="n"/>
      <c r="L565" s="27" t="n"/>
      <c r="M565" s="27" t="n"/>
      <c r="N565" s="23" t="n"/>
      <c r="O565" s="29" t="n"/>
      <c r="P565" s="29" t="n"/>
      <c r="Q565" s="29" t="n"/>
      <c r="R565" s="29" t="n"/>
      <c r="S565" s="29" t="n"/>
      <c r="T565" s="29" t="n"/>
      <c r="U565" s="29" t="n"/>
      <c r="V565" s="30">
        <f>IF(OR($A565="",$U565=""),"",IF($S565&lt;&gt;"",MAX(0,$S565-$U565),MAX(0,TODAY()-$U565)))</f>
        <v/>
      </c>
      <c r="W565" s="30">
        <f>IF($A565="","",IF(OR($N565="Live",$N565="Retired"),"",TODAY()-MAX($O565,$P565,$Q565,$R565)))</f>
        <v/>
      </c>
      <c r="X565" s="23" t="n"/>
      <c r="Y565" s="30">
        <f>IF($A565="","",COUNTIFS('Issues Log'!$C$5:$C$504,$A565,'Issues Log'!$K$5:$K$504,"Open")+COUNTIFS('Issues Log'!$C$5:$C$504,$A565,'Issues Log'!$K$5:$K$504,"In progress"))</f>
        <v/>
      </c>
      <c r="Z565" s="27" t="n"/>
    </row>
    <row r="566">
      <c r="A566" s="27" t="n"/>
      <c r="B566" s="27" t="n"/>
      <c r="C566" s="27" t="n"/>
      <c r="D566" s="28">
        <f>IF($C566="","",IFERROR(INDEX('Topic Plan'!$C$5:$C$115,MATCH($C566,'Topic Plan'!$B$5:$B$115,0)),"UNKNOWN TOPIC ID"))</f>
        <v/>
      </c>
      <c r="E566" s="28">
        <f>IF($C566="","",IFERROR(INDEX('Topic Plan'!$D$5:$D$115,MATCH($C566,'Topic Plan'!$B$5:$B$115,0)),""))</f>
        <v/>
      </c>
      <c r="F566" s="28">
        <f>IF($C566="","",IFERROR(INDEX('Topic Plan'!$E$5:$E$115,MATCH($C566,'Topic Plan'!$B$5:$B$115,0)),""))</f>
        <v/>
      </c>
      <c r="G566" s="23" t="n"/>
      <c r="H566" s="27" t="n"/>
      <c r="I566" s="27" t="n"/>
      <c r="J566" s="27" t="n"/>
      <c r="K566" s="27" t="n"/>
      <c r="L566" s="27" t="n"/>
      <c r="M566" s="27" t="n"/>
      <c r="N566" s="23" t="n"/>
      <c r="O566" s="29" t="n"/>
      <c r="P566" s="29" t="n"/>
      <c r="Q566" s="29" t="n"/>
      <c r="R566" s="29" t="n"/>
      <c r="S566" s="29" t="n"/>
      <c r="T566" s="29" t="n"/>
      <c r="U566" s="29" t="n"/>
      <c r="V566" s="30">
        <f>IF(OR($A566="",$U566=""),"",IF($S566&lt;&gt;"",MAX(0,$S566-$U566),MAX(0,TODAY()-$U566)))</f>
        <v/>
      </c>
      <c r="W566" s="30">
        <f>IF($A566="","",IF(OR($N566="Live",$N566="Retired"),"",TODAY()-MAX($O566,$P566,$Q566,$R566)))</f>
        <v/>
      </c>
      <c r="X566" s="23" t="n"/>
      <c r="Y566" s="30">
        <f>IF($A566="","",COUNTIFS('Issues Log'!$C$5:$C$504,$A566,'Issues Log'!$K$5:$K$504,"Open")+COUNTIFS('Issues Log'!$C$5:$C$504,$A566,'Issues Log'!$K$5:$K$504,"In progress"))</f>
        <v/>
      </c>
      <c r="Z566" s="27" t="n"/>
    </row>
    <row r="567">
      <c r="A567" s="27" t="n"/>
      <c r="B567" s="27" t="n"/>
      <c r="C567" s="27" t="n"/>
      <c r="D567" s="28">
        <f>IF($C567="","",IFERROR(INDEX('Topic Plan'!$C$5:$C$115,MATCH($C567,'Topic Plan'!$B$5:$B$115,0)),"UNKNOWN TOPIC ID"))</f>
        <v/>
      </c>
      <c r="E567" s="28">
        <f>IF($C567="","",IFERROR(INDEX('Topic Plan'!$D$5:$D$115,MATCH($C567,'Topic Plan'!$B$5:$B$115,0)),""))</f>
        <v/>
      </c>
      <c r="F567" s="28">
        <f>IF($C567="","",IFERROR(INDEX('Topic Plan'!$E$5:$E$115,MATCH($C567,'Topic Plan'!$B$5:$B$115,0)),""))</f>
        <v/>
      </c>
      <c r="G567" s="23" t="n"/>
      <c r="H567" s="27" t="n"/>
      <c r="I567" s="27" t="n"/>
      <c r="J567" s="27" t="n"/>
      <c r="K567" s="27" t="n"/>
      <c r="L567" s="27" t="n"/>
      <c r="M567" s="27" t="n"/>
      <c r="N567" s="23" t="n"/>
      <c r="O567" s="29" t="n"/>
      <c r="P567" s="29" t="n"/>
      <c r="Q567" s="29" t="n"/>
      <c r="R567" s="29" t="n"/>
      <c r="S567" s="29" t="n"/>
      <c r="T567" s="29" t="n"/>
      <c r="U567" s="29" t="n"/>
      <c r="V567" s="30">
        <f>IF(OR($A567="",$U567=""),"",IF($S567&lt;&gt;"",MAX(0,$S567-$U567),MAX(0,TODAY()-$U567)))</f>
        <v/>
      </c>
      <c r="W567" s="30">
        <f>IF($A567="","",IF(OR($N567="Live",$N567="Retired"),"",TODAY()-MAX($O567,$P567,$Q567,$R567)))</f>
        <v/>
      </c>
      <c r="X567" s="23" t="n"/>
      <c r="Y567" s="30">
        <f>IF($A567="","",COUNTIFS('Issues Log'!$C$5:$C$504,$A567,'Issues Log'!$K$5:$K$504,"Open")+COUNTIFS('Issues Log'!$C$5:$C$504,$A567,'Issues Log'!$K$5:$K$504,"In progress"))</f>
        <v/>
      </c>
      <c r="Z567" s="27" t="n"/>
    </row>
    <row r="568">
      <c r="A568" s="27" t="n"/>
      <c r="B568" s="27" t="n"/>
      <c r="C568" s="27" t="n"/>
      <c r="D568" s="28">
        <f>IF($C568="","",IFERROR(INDEX('Topic Plan'!$C$5:$C$115,MATCH($C568,'Topic Plan'!$B$5:$B$115,0)),"UNKNOWN TOPIC ID"))</f>
        <v/>
      </c>
      <c r="E568" s="28">
        <f>IF($C568="","",IFERROR(INDEX('Topic Plan'!$D$5:$D$115,MATCH($C568,'Topic Plan'!$B$5:$B$115,0)),""))</f>
        <v/>
      </c>
      <c r="F568" s="28">
        <f>IF($C568="","",IFERROR(INDEX('Topic Plan'!$E$5:$E$115,MATCH($C568,'Topic Plan'!$B$5:$B$115,0)),""))</f>
        <v/>
      </c>
      <c r="G568" s="23" t="n"/>
      <c r="H568" s="27" t="n"/>
      <c r="I568" s="27" t="n"/>
      <c r="J568" s="27" t="n"/>
      <c r="K568" s="27" t="n"/>
      <c r="L568" s="27" t="n"/>
      <c r="M568" s="27" t="n"/>
      <c r="N568" s="23" t="n"/>
      <c r="O568" s="29" t="n"/>
      <c r="P568" s="29" t="n"/>
      <c r="Q568" s="29" t="n"/>
      <c r="R568" s="29" t="n"/>
      <c r="S568" s="29" t="n"/>
      <c r="T568" s="29" t="n"/>
      <c r="U568" s="29" t="n"/>
      <c r="V568" s="30">
        <f>IF(OR($A568="",$U568=""),"",IF($S568&lt;&gt;"",MAX(0,$S568-$U568),MAX(0,TODAY()-$U568)))</f>
        <v/>
      </c>
      <c r="W568" s="30">
        <f>IF($A568="","",IF(OR($N568="Live",$N568="Retired"),"",TODAY()-MAX($O568,$P568,$Q568,$R568)))</f>
        <v/>
      </c>
      <c r="X568" s="23" t="n"/>
      <c r="Y568" s="30">
        <f>IF($A568="","",COUNTIFS('Issues Log'!$C$5:$C$504,$A568,'Issues Log'!$K$5:$K$504,"Open")+COUNTIFS('Issues Log'!$C$5:$C$504,$A568,'Issues Log'!$K$5:$K$504,"In progress"))</f>
        <v/>
      </c>
      <c r="Z568" s="27" t="n"/>
    </row>
    <row r="569">
      <c r="A569" s="27" t="n"/>
      <c r="B569" s="27" t="n"/>
      <c r="C569" s="27" t="n"/>
      <c r="D569" s="28">
        <f>IF($C569="","",IFERROR(INDEX('Topic Plan'!$C$5:$C$115,MATCH($C569,'Topic Plan'!$B$5:$B$115,0)),"UNKNOWN TOPIC ID"))</f>
        <v/>
      </c>
      <c r="E569" s="28">
        <f>IF($C569="","",IFERROR(INDEX('Topic Plan'!$D$5:$D$115,MATCH($C569,'Topic Plan'!$B$5:$B$115,0)),""))</f>
        <v/>
      </c>
      <c r="F569" s="28">
        <f>IF($C569="","",IFERROR(INDEX('Topic Plan'!$E$5:$E$115,MATCH($C569,'Topic Plan'!$B$5:$B$115,0)),""))</f>
        <v/>
      </c>
      <c r="G569" s="23" t="n"/>
      <c r="H569" s="27" t="n"/>
      <c r="I569" s="27" t="n"/>
      <c r="J569" s="27" t="n"/>
      <c r="K569" s="27" t="n"/>
      <c r="L569" s="27" t="n"/>
      <c r="M569" s="27" t="n"/>
      <c r="N569" s="23" t="n"/>
      <c r="O569" s="29" t="n"/>
      <c r="P569" s="29" t="n"/>
      <c r="Q569" s="29" t="n"/>
      <c r="R569" s="29" t="n"/>
      <c r="S569" s="29" t="n"/>
      <c r="T569" s="29" t="n"/>
      <c r="U569" s="29" t="n"/>
      <c r="V569" s="30">
        <f>IF(OR($A569="",$U569=""),"",IF($S569&lt;&gt;"",MAX(0,$S569-$U569),MAX(0,TODAY()-$U569)))</f>
        <v/>
      </c>
      <c r="W569" s="30">
        <f>IF($A569="","",IF(OR($N569="Live",$N569="Retired"),"",TODAY()-MAX($O569,$P569,$Q569,$R569)))</f>
        <v/>
      </c>
      <c r="X569" s="23" t="n"/>
      <c r="Y569" s="30">
        <f>IF($A569="","",COUNTIFS('Issues Log'!$C$5:$C$504,$A569,'Issues Log'!$K$5:$K$504,"Open")+COUNTIFS('Issues Log'!$C$5:$C$504,$A569,'Issues Log'!$K$5:$K$504,"In progress"))</f>
        <v/>
      </c>
      <c r="Z569" s="27" t="n"/>
    </row>
    <row r="570">
      <c r="A570" s="27" t="n"/>
      <c r="B570" s="27" t="n"/>
      <c r="C570" s="27" t="n"/>
      <c r="D570" s="28">
        <f>IF($C570="","",IFERROR(INDEX('Topic Plan'!$C$5:$C$115,MATCH($C570,'Topic Plan'!$B$5:$B$115,0)),"UNKNOWN TOPIC ID"))</f>
        <v/>
      </c>
      <c r="E570" s="28">
        <f>IF($C570="","",IFERROR(INDEX('Topic Plan'!$D$5:$D$115,MATCH($C570,'Topic Plan'!$B$5:$B$115,0)),""))</f>
        <v/>
      </c>
      <c r="F570" s="28">
        <f>IF($C570="","",IFERROR(INDEX('Topic Plan'!$E$5:$E$115,MATCH($C570,'Topic Plan'!$B$5:$B$115,0)),""))</f>
        <v/>
      </c>
      <c r="G570" s="23" t="n"/>
      <c r="H570" s="27" t="n"/>
      <c r="I570" s="27" t="n"/>
      <c r="J570" s="27" t="n"/>
      <c r="K570" s="27" t="n"/>
      <c r="L570" s="27" t="n"/>
      <c r="M570" s="27" t="n"/>
      <c r="N570" s="23" t="n"/>
      <c r="O570" s="29" t="n"/>
      <c r="P570" s="29" t="n"/>
      <c r="Q570" s="29" t="n"/>
      <c r="R570" s="29" t="n"/>
      <c r="S570" s="29" t="n"/>
      <c r="T570" s="29" t="n"/>
      <c r="U570" s="29" t="n"/>
      <c r="V570" s="30">
        <f>IF(OR($A570="",$U570=""),"",IF($S570&lt;&gt;"",MAX(0,$S570-$U570),MAX(0,TODAY()-$U570)))</f>
        <v/>
      </c>
      <c r="W570" s="30">
        <f>IF($A570="","",IF(OR($N570="Live",$N570="Retired"),"",TODAY()-MAX($O570,$P570,$Q570,$R570)))</f>
        <v/>
      </c>
      <c r="X570" s="23" t="n"/>
      <c r="Y570" s="30">
        <f>IF($A570="","",COUNTIFS('Issues Log'!$C$5:$C$504,$A570,'Issues Log'!$K$5:$K$504,"Open")+COUNTIFS('Issues Log'!$C$5:$C$504,$A570,'Issues Log'!$K$5:$K$504,"In progress"))</f>
        <v/>
      </c>
      <c r="Z570" s="27" t="n"/>
    </row>
    <row r="571">
      <c r="A571" s="27" t="n"/>
      <c r="B571" s="27" t="n"/>
      <c r="C571" s="27" t="n"/>
      <c r="D571" s="28">
        <f>IF($C571="","",IFERROR(INDEX('Topic Plan'!$C$5:$C$115,MATCH($C571,'Topic Plan'!$B$5:$B$115,0)),"UNKNOWN TOPIC ID"))</f>
        <v/>
      </c>
      <c r="E571" s="28">
        <f>IF($C571="","",IFERROR(INDEX('Topic Plan'!$D$5:$D$115,MATCH($C571,'Topic Plan'!$B$5:$B$115,0)),""))</f>
        <v/>
      </c>
      <c r="F571" s="28">
        <f>IF($C571="","",IFERROR(INDEX('Topic Plan'!$E$5:$E$115,MATCH($C571,'Topic Plan'!$B$5:$B$115,0)),""))</f>
        <v/>
      </c>
      <c r="G571" s="23" t="n"/>
      <c r="H571" s="27" t="n"/>
      <c r="I571" s="27" t="n"/>
      <c r="J571" s="27" t="n"/>
      <c r="K571" s="27" t="n"/>
      <c r="L571" s="27" t="n"/>
      <c r="M571" s="27" t="n"/>
      <c r="N571" s="23" t="n"/>
      <c r="O571" s="29" t="n"/>
      <c r="P571" s="29" t="n"/>
      <c r="Q571" s="29" t="n"/>
      <c r="R571" s="29" t="n"/>
      <c r="S571" s="29" t="n"/>
      <c r="T571" s="29" t="n"/>
      <c r="U571" s="29" t="n"/>
      <c r="V571" s="30">
        <f>IF(OR($A571="",$U571=""),"",IF($S571&lt;&gt;"",MAX(0,$S571-$U571),MAX(0,TODAY()-$U571)))</f>
        <v/>
      </c>
      <c r="W571" s="30">
        <f>IF($A571="","",IF(OR($N571="Live",$N571="Retired"),"",TODAY()-MAX($O571,$P571,$Q571,$R571)))</f>
        <v/>
      </c>
      <c r="X571" s="23" t="n"/>
      <c r="Y571" s="30">
        <f>IF($A571="","",COUNTIFS('Issues Log'!$C$5:$C$504,$A571,'Issues Log'!$K$5:$K$504,"Open")+COUNTIFS('Issues Log'!$C$5:$C$504,$A571,'Issues Log'!$K$5:$K$504,"In progress"))</f>
        <v/>
      </c>
      <c r="Z571" s="27" t="n"/>
    </row>
    <row r="572">
      <c r="A572" s="27" t="n"/>
      <c r="B572" s="27" t="n"/>
      <c r="C572" s="27" t="n"/>
      <c r="D572" s="28">
        <f>IF($C572="","",IFERROR(INDEX('Topic Plan'!$C$5:$C$115,MATCH($C572,'Topic Plan'!$B$5:$B$115,0)),"UNKNOWN TOPIC ID"))</f>
        <v/>
      </c>
      <c r="E572" s="28">
        <f>IF($C572="","",IFERROR(INDEX('Topic Plan'!$D$5:$D$115,MATCH($C572,'Topic Plan'!$B$5:$B$115,0)),""))</f>
        <v/>
      </c>
      <c r="F572" s="28">
        <f>IF($C572="","",IFERROR(INDEX('Topic Plan'!$E$5:$E$115,MATCH($C572,'Topic Plan'!$B$5:$B$115,0)),""))</f>
        <v/>
      </c>
      <c r="G572" s="23" t="n"/>
      <c r="H572" s="27" t="n"/>
      <c r="I572" s="27" t="n"/>
      <c r="J572" s="27" t="n"/>
      <c r="K572" s="27" t="n"/>
      <c r="L572" s="27" t="n"/>
      <c r="M572" s="27" t="n"/>
      <c r="N572" s="23" t="n"/>
      <c r="O572" s="29" t="n"/>
      <c r="P572" s="29" t="n"/>
      <c r="Q572" s="29" t="n"/>
      <c r="R572" s="29" t="n"/>
      <c r="S572" s="29" t="n"/>
      <c r="T572" s="29" t="n"/>
      <c r="U572" s="29" t="n"/>
      <c r="V572" s="30">
        <f>IF(OR($A572="",$U572=""),"",IF($S572&lt;&gt;"",MAX(0,$S572-$U572),MAX(0,TODAY()-$U572)))</f>
        <v/>
      </c>
      <c r="W572" s="30">
        <f>IF($A572="","",IF(OR($N572="Live",$N572="Retired"),"",TODAY()-MAX($O572,$P572,$Q572,$R572)))</f>
        <v/>
      </c>
      <c r="X572" s="23" t="n"/>
      <c r="Y572" s="30">
        <f>IF($A572="","",COUNTIFS('Issues Log'!$C$5:$C$504,$A572,'Issues Log'!$K$5:$K$504,"Open")+COUNTIFS('Issues Log'!$C$5:$C$504,$A572,'Issues Log'!$K$5:$K$504,"In progress"))</f>
        <v/>
      </c>
      <c r="Z572" s="27" t="n"/>
    </row>
    <row r="573">
      <c r="A573" s="27" t="n"/>
      <c r="B573" s="27" t="n"/>
      <c r="C573" s="27" t="n"/>
      <c r="D573" s="28">
        <f>IF($C573="","",IFERROR(INDEX('Topic Plan'!$C$5:$C$115,MATCH($C573,'Topic Plan'!$B$5:$B$115,0)),"UNKNOWN TOPIC ID"))</f>
        <v/>
      </c>
      <c r="E573" s="28">
        <f>IF($C573="","",IFERROR(INDEX('Topic Plan'!$D$5:$D$115,MATCH($C573,'Topic Plan'!$B$5:$B$115,0)),""))</f>
        <v/>
      </c>
      <c r="F573" s="28">
        <f>IF($C573="","",IFERROR(INDEX('Topic Plan'!$E$5:$E$115,MATCH($C573,'Topic Plan'!$B$5:$B$115,0)),""))</f>
        <v/>
      </c>
      <c r="G573" s="23" t="n"/>
      <c r="H573" s="27" t="n"/>
      <c r="I573" s="27" t="n"/>
      <c r="J573" s="27" t="n"/>
      <c r="K573" s="27" t="n"/>
      <c r="L573" s="27" t="n"/>
      <c r="M573" s="27" t="n"/>
      <c r="N573" s="23" t="n"/>
      <c r="O573" s="29" t="n"/>
      <c r="P573" s="29" t="n"/>
      <c r="Q573" s="29" t="n"/>
      <c r="R573" s="29" t="n"/>
      <c r="S573" s="29" t="n"/>
      <c r="T573" s="29" t="n"/>
      <c r="U573" s="29" t="n"/>
      <c r="V573" s="30">
        <f>IF(OR($A573="",$U573=""),"",IF($S573&lt;&gt;"",MAX(0,$S573-$U573),MAX(0,TODAY()-$U573)))</f>
        <v/>
      </c>
      <c r="W573" s="30">
        <f>IF($A573="","",IF(OR($N573="Live",$N573="Retired"),"",TODAY()-MAX($O573,$P573,$Q573,$R573)))</f>
        <v/>
      </c>
      <c r="X573" s="23" t="n"/>
      <c r="Y573" s="30">
        <f>IF($A573="","",COUNTIFS('Issues Log'!$C$5:$C$504,$A573,'Issues Log'!$K$5:$K$504,"Open")+COUNTIFS('Issues Log'!$C$5:$C$504,$A573,'Issues Log'!$K$5:$K$504,"In progress"))</f>
        <v/>
      </c>
      <c r="Z573" s="27" t="n"/>
    </row>
    <row r="574">
      <c r="A574" s="27" t="n"/>
      <c r="B574" s="27" t="n"/>
      <c r="C574" s="27" t="n"/>
      <c r="D574" s="28">
        <f>IF($C574="","",IFERROR(INDEX('Topic Plan'!$C$5:$C$115,MATCH($C574,'Topic Plan'!$B$5:$B$115,0)),"UNKNOWN TOPIC ID"))</f>
        <v/>
      </c>
      <c r="E574" s="28">
        <f>IF($C574="","",IFERROR(INDEX('Topic Plan'!$D$5:$D$115,MATCH($C574,'Topic Plan'!$B$5:$B$115,0)),""))</f>
        <v/>
      </c>
      <c r="F574" s="28">
        <f>IF($C574="","",IFERROR(INDEX('Topic Plan'!$E$5:$E$115,MATCH($C574,'Topic Plan'!$B$5:$B$115,0)),""))</f>
        <v/>
      </c>
      <c r="G574" s="23" t="n"/>
      <c r="H574" s="27" t="n"/>
      <c r="I574" s="27" t="n"/>
      <c r="J574" s="27" t="n"/>
      <c r="K574" s="27" t="n"/>
      <c r="L574" s="27" t="n"/>
      <c r="M574" s="27" t="n"/>
      <c r="N574" s="23" t="n"/>
      <c r="O574" s="29" t="n"/>
      <c r="P574" s="29" t="n"/>
      <c r="Q574" s="29" t="n"/>
      <c r="R574" s="29" t="n"/>
      <c r="S574" s="29" t="n"/>
      <c r="T574" s="29" t="n"/>
      <c r="U574" s="29" t="n"/>
      <c r="V574" s="30">
        <f>IF(OR($A574="",$U574=""),"",IF($S574&lt;&gt;"",MAX(0,$S574-$U574),MAX(0,TODAY()-$U574)))</f>
        <v/>
      </c>
      <c r="W574" s="30">
        <f>IF($A574="","",IF(OR($N574="Live",$N574="Retired"),"",TODAY()-MAX($O574,$P574,$Q574,$R574)))</f>
        <v/>
      </c>
      <c r="X574" s="23" t="n"/>
      <c r="Y574" s="30">
        <f>IF($A574="","",COUNTIFS('Issues Log'!$C$5:$C$504,$A574,'Issues Log'!$K$5:$K$504,"Open")+COUNTIFS('Issues Log'!$C$5:$C$504,$A574,'Issues Log'!$K$5:$K$504,"In progress"))</f>
        <v/>
      </c>
      <c r="Z574" s="27" t="n"/>
    </row>
    <row r="575">
      <c r="A575" s="27" t="n"/>
      <c r="B575" s="27" t="n"/>
      <c r="C575" s="27" t="n"/>
      <c r="D575" s="28">
        <f>IF($C575="","",IFERROR(INDEX('Topic Plan'!$C$5:$C$115,MATCH($C575,'Topic Plan'!$B$5:$B$115,0)),"UNKNOWN TOPIC ID"))</f>
        <v/>
      </c>
      <c r="E575" s="28">
        <f>IF($C575="","",IFERROR(INDEX('Topic Plan'!$D$5:$D$115,MATCH($C575,'Topic Plan'!$B$5:$B$115,0)),""))</f>
        <v/>
      </c>
      <c r="F575" s="28">
        <f>IF($C575="","",IFERROR(INDEX('Topic Plan'!$E$5:$E$115,MATCH($C575,'Topic Plan'!$B$5:$B$115,0)),""))</f>
        <v/>
      </c>
      <c r="G575" s="23" t="n"/>
      <c r="H575" s="27" t="n"/>
      <c r="I575" s="27" t="n"/>
      <c r="J575" s="27" t="n"/>
      <c r="K575" s="27" t="n"/>
      <c r="L575" s="27" t="n"/>
      <c r="M575" s="27" t="n"/>
      <c r="N575" s="23" t="n"/>
      <c r="O575" s="29" t="n"/>
      <c r="P575" s="29" t="n"/>
      <c r="Q575" s="29" t="n"/>
      <c r="R575" s="29" t="n"/>
      <c r="S575" s="29" t="n"/>
      <c r="T575" s="29" t="n"/>
      <c r="U575" s="29" t="n"/>
      <c r="V575" s="30">
        <f>IF(OR($A575="",$U575=""),"",IF($S575&lt;&gt;"",MAX(0,$S575-$U575),MAX(0,TODAY()-$U575)))</f>
        <v/>
      </c>
      <c r="W575" s="30">
        <f>IF($A575="","",IF(OR($N575="Live",$N575="Retired"),"",TODAY()-MAX($O575,$P575,$Q575,$R575)))</f>
        <v/>
      </c>
      <c r="X575" s="23" t="n"/>
      <c r="Y575" s="30">
        <f>IF($A575="","",COUNTIFS('Issues Log'!$C$5:$C$504,$A575,'Issues Log'!$K$5:$K$504,"Open")+COUNTIFS('Issues Log'!$C$5:$C$504,$A575,'Issues Log'!$K$5:$K$504,"In progress"))</f>
        <v/>
      </c>
      <c r="Z575" s="27" t="n"/>
    </row>
    <row r="576">
      <c r="A576" s="27" t="n"/>
      <c r="B576" s="27" t="n"/>
      <c r="C576" s="27" t="n"/>
      <c r="D576" s="28">
        <f>IF($C576="","",IFERROR(INDEX('Topic Plan'!$C$5:$C$115,MATCH($C576,'Topic Plan'!$B$5:$B$115,0)),"UNKNOWN TOPIC ID"))</f>
        <v/>
      </c>
      <c r="E576" s="28">
        <f>IF($C576="","",IFERROR(INDEX('Topic Plan'!$D$5:$D$115,MATCH($C576,'Topic Plan'!$B$5:$B$115,0)),""))</f>
        <v/>
      </c>
      <c r="F576" s="28">
        <f>IF($C576="","",IFERROR(INDEX('Topic Plan'!$E$5:$E$115,MATCH($C576,'Topic Plan'!$B$5:$B$115,0)),""))</f>
        <v/>
      </c>
      <c r="G576" s="23" t="n"/>
      <c r="H576" s="27" t="n"/>
      <c r="I576" s="27" t="n"/>
      <c r="J576" s="27" t="n"/>
      <c r="K576" s="27" t="n"/>
      <c r="L576" s="27" t="n"/>
      <c r="M576" s="27" t="n"/>
      <c r="N576" s="23" t="n"/>
      <c r="O576" s="29" t="n"/>
      <c r="P576" s="29" t="n"/>
      <c r="Q576" s="29" t="n"/>
      <c r="R576" s="29" t="n"/>
      <c r="S576" s="29" t="n"/>
      <c r="T576" s="29" t="n"/>
      <c r="U576" s="29" t="n"/>
      <c r="V576" s="30">
        <f>IF(OR($A576="",$U576=""),"",IF($S576&lt;&gt;"",MAX(0,$S576-$U576),MAX(0,TODAY()-$U576)))</f>
        <v/>
      </c>
      <c r="W576" s="30">
        <f>IF($A576="","",IF(OR($N576="Live",$N576="Retired"),"",TODAY()-MAX($O576,$P576,$Q576,$R576)))</f>
        <v/>
      </c>
      <c r="X576" s="23" t="n"/>
      <c r="Y576" s="30">
        <f>IF($A576="","",COUNTIFS('Issues Log'!$C$5:$C$504,$A576,'Issues Log'!$K$5:$K$504,"Open")+COUNTIFS('Issues Log'!$C$5:$C$504,$A576,'Issues Log'!$K$5:$K$504,"In progress"))</f>
        <v/>
      </c>
      <c r="Z576" s="27" t="n"/>
    </row>
    <row r="577">
      <c r="A577" s="27" t="n"/>
      <c r="B577" s="27" t="n"/>
      <c r="C577" s="27" t="n"/>
      <c r="D577" s="28">
        <f>IF($C577="","",IFERROR(INDEX('Topic Plan'!$C$5:$C$115,MATCH($C577,'Topic Plan'!$B$5:$B$115,0)),"UNKNOWN TOPIC ID"))</f>
        <v/>
      </c>
      <c r="E577" s="28">
        <f>IF($C577="","",IFERROR(INDEX('Topic Plan'!$D$5:$D$115,MATCH($C577,'Topic Plan'!$B$5:$B$115,0)),""))</f>
        <v/>
      </c>
      <c r="F577" s="28">
        <f>IF($C577="","",IFERROR(INDEX('Topic Plan'!$E$5:$E$115,MATCH($C577,'Topic Plan'!$B$5:$B$115,0)),""))</f>
        <v/>
      </c>
      <c r="G577" s="23" t="n"/>
      <c r="H577" s="27" t="n"/>
      <c r="I577" s="27" t="n"/>
      <c r="J577" s="27" t="n"/>
      <c r="K577" s="27" t="n"/>
      <c r="L577" s="27" t="n"/>
      <c r="M577" s="27" t="n"/>
      <c r="N577" s="23" t="n"/>
      <c r="O577" s="29" t="n"/>
      <c r="P577" s="29" t="n"/>
      <c r="Q577" s="29" t="n"/>
      <c r="R577" s="29" t="n"/>
      <c r="S577" s="29" t="n"/>
      <c r="T577" s="29" t="n"/>
      <c r="U577" s="29" t="n"/>
      <c r="V577" s="30">
        <f>IF(OR($A577="",$U577=""),"",IF($S577&lt;&gt;"",MAX(0,$S577-$U577),MAX(0,TODAY()-$U577)))</f>
        <v/>
      </c>
      <c r="W577" s="30">
        <f>IF($A577="","",IF(OR($N577="Live",$N577="Retired"),"",TODAY()-MAX($O577,$P577,$Q577,$R577)))</f>
        <v/>
      </c>
      <c r="X577" s="23" t="n"/>
      <c r="Y577" s="30">
        <f>IF($A577="","",COUNTIFS('Issues Log'!$C$5:$C$504,$A577,'Issues Log'!$K$5:$K$504,"Open")+COUNTIFS('Issues Log'!$C$5:$C$504,$A577,'Issues Log'!$K$5:$K$504,"In progress"))</f>
        <v/>
      </c>
      <c r="Z577" s="27" t="n"/>
    </row>
    <row r="578">
      <c r="A578" s="27" t="n"/>
      <c r="B578" s="27" t="n"/>
      <c r="C578" s="27" t="n"/>
      <c r="D578" s="28">
        <f>IF($C578="","",IFERROR(INDEX('Topic Plan'!$C$5:$C$115,MATCH($C578,'Topic Plan'!$B$5:$B$115,0)),"UNKNOWN TOPIC ID"))</f>
        <v/>
      </c>
      <c r="E578" s="28">
        <f>IF($C578="","",IFERROR(INDEX('Topic Plan'!$D$5:$D$115,MATCH($C578,'Topic Plan'!$B$5:$B$115,0)),""))</f>
        <v/>
      </c>
      <c r="F578" s="28">
        <f>IF($C578="","",IFERROR(INDEX('Topic Plan'!$E$5:$E$115,MATCH($C578,'Topic Plan'!$B$5:$B$115,0)),""))</f>
        <v/>
      </c>
      <c r="G578" s="23" t="n"/>
      <c r="H578" s="27" t="n"/>
      <c r="I578" s="27" t="n"/>
      <c r="J578" s="27" t="n"/>
      <c r="K578" s="27" t="n"/>
      <c r="L578" s="27" t="n"/>
      <c r="M578" s="27" t="n"/>
      <c r="N578" s="23" t="n"/>
      <c r="O578" s="29" t="n"/>
      <c r="P578" s="29" t="n"/>
      <c r="Q578" s="29" t="n"/>
      <c r="R578" s="29" t="n"/>
      <c r="S578" s="29" t="n"/>
      <c r="T578" s="29" t="n"/>
      <c r="U578" s="29" t="n"/>
      <c r="V578" s="30">
        <f>IF(OR($A578="",$U578=""),"",IF($S578&lt;&gt;"",MAX(0,$S578-$U578),MAX(0,TODAY()-$U578)))</f>
        <v/>
      </c>
      <c r="W578" s="30">
        <f>IF($A578="","",IF(OR($N578="Live",$N578="Retired"),"",TODAY()-MAX($O578,$P578,$Q578,$R578)))</f>
        <v/>
      </c>
      <c r="X578" s="23" t="n"/>
      <c r="Y578" s="30">
        <f>IF($A578="","",COUNTIFS('Issues Log'!$C$5:$C$504,$A578,'Issues Log'!$K$5:$K$504,"Open")+COUNTIFS('Issues Log'!$C$5:$C$504,$A578,'Issues Log'!$K$5:$K$504,"In progress"))</f>
        <v/>
      </c>
      <c r="Z578" s="27" t="n"/>
    </row>
    <row r="579">
      <c r="A579" s="27" t="n"/>
      <c r="B579" s="27" t="n"/>
      <c r="C579" s="27" t="n"/>
      <c r="D579" s="28">
        <f>IF($C579="","",IFERROR(INDEX('Topic Plan'!$C$5:$C$115,MATCH($C579,'Topic Plan'!$B$5:$B$115,0)),"UNKNOWN TOPIC ID"))</f>
        <v/>
      </c>
      <c r="E579" s="28">
        <f>IF($C579="","",IFERROR(INDEX('Topic Plan'!$D$5:$D$115,MATCH($C579,'Topic Plan'!$B$5:$B$115,0)),""))</f>
        <v/>
      </c>
      <c r="F579" s="28">
        <f>IF($C579="","",IFERROR(INDEX('Topic Plan'!$E$5:$E$115,MATCH($C579,'Topic Plan'!$B$5:$B$115,0)),""))</f>
        <v/>
      </c>
      <c r="G579" s="23" t="n"/>
      <c r="H579" s="27" t="n"/>
      <c r="I579" s="27" t="n"/>
      <c r="J579" s="27" t="n"/>
      <c r="K579" s="27" t="n"/>
      <c r="L579" s="27" t="n"/>
      <c r="M579" s="27" t="n"/>
      <c r="N579" s="23" t="n"/>
      <c r="O579" s="29" t="n"/>
      <c r="P579" s="29" t="n"/>
      <c r="Q579" s="29" t="n"/>
      <c r="R579" s="29" t="n"/>
      <c r="S579" s="29" t="n"/>
      <c r="T579" s="29" t="n"/>
      <c r="U579" s="29" t="n"/>
      <c r="V579" s="30">
        <f>IF(OR($A579="",$U579=""),"",IF($S579&lt;&gt;"",MAX(0,$S579-$U579),MAX(0,TODAY()-$U579)))</f>
        <v/>
      </c>
      <c r="W579" s="30">
        <f>IF($A579="","",IF(OR($N579="Live",$N579="Retired"),"",TODAY()-MAX($O579,$P579,$Q579,$R579)))</f>
        <v/>
      </c>
      <c r="X579" s="23" t="n"/>
      <c r="Y579" s="30">
        <f>IF($A579="","",COUNTIFS('Issues Log'!$C$5:$C$504,$A579,'Issues Log'!$K$5:$K$504,"Open")+COUNTIFS('Issues Log'!$C$5:$C$504,$A579,'Issues Log'!$K$5:$K$504,"In progress"))</f>
        <v/>
      </c>
      <c r="Z579" s="27" t="n"/>
    </row>
    <row r="580">
      <c r="A580" s="27" t="n"/>
      <c r="B580" s="27" t="n"/>
      <c r="C580" s="27" t="n"/>
      <c r="D580" s="28">
        <f>IF($C580="","",IFERROR(INDEX('Topic Plan'!$C$5:$C$115,MATCH($C580,'Topic Plan'!$B$5:$B$115,0)),"UNKNOWN TOPIC ID"))</f>
        <v/>
      </c>
      <c r="E580" s="28">
        <f>IF($C580="","",IFERROR(INDEX('Topic Plan'!$D$5:$D$115,MATCH($C580,'Topic Plan'!$B$5:$B$115,0)),""))</f>
        <v/>
      </c>
      <c r="F580" s="28">
        <f>IF($C580="","",IFERROR(INDEX('Topic Plan'!$E$5:$E$115,MATCH($C580,'Topic Plan'!$B$5:$B$115,0)),""))</f>
        <v/>
      </c>
      <c r="G580" s="23" t="n"/>
      <c r="H580" s="27" t="n"/>
      <c r="I580" s="27" t="n"/>
      <c r="J580" s="27" t="n"/>
      <c r="K580" s="27" t="n"/>
      <c r="L580" s="27" t="n"/>
      <c r="M580" s="27" t="n"/>
      <c r="N580" s="23" t="n"/>
      <c r="O580" s="29" t="n"/>
      <c r="P580" s="29" t="n"/>
      <c r="Q580" s="29" t="n"/>
      <c r="R580" s="29" t="n"/>
      <c r="S580" s="29" t="n"/>
      <c r="T580" s="29" t="n"/>
      <c r="U580" s="29" t="n"/>
      <c r="V580" s="30">
        <f>IF(OR($A580="",$U580=""),"",IF($S580&lt;&gt;"",MAX(0,$S580-$U580),MAX(0,TODAY()-$U580)))</f>
        <v/>
      </c>
      <c r="W580" s="30">
        <f>IF($A580="","",IF(OR($N580="Live",$N580="Retired"),"",TODAY()-MAX($O580,$P580,$Q580,$R580)))</f>
        <v/>
      </c>
      <c r="X580" s="23" t="n"/>
      <c r="Y580" s="30">
        <f>IF($A580="","",COUNTIFS('Issues Log'!$C$5:$C$504,$A580,'Issues Log'!$K$5:$K$504,"Open")+COUNTIFS('Issues Log'!$C$5:$C$504,$A580,'Issues Log'!$K$5:$K$504,"In progress"))</f>
        <v/>
      </c>
      <c r="Z580" s="27" t="n"/>
    </row>
    <row r="581">
      <c r="A581" s="27" t="n"/>
      <c r="B581" s="27" t="n"/>
      <c r="C581" s="27" t="n"/>
      <c r="D581" s="28">
        <f>IF($C581="","",IFERROR(INDEX('Topic Plan'!$C$5:$C$115,MATCH($C581,'Topic Plan'!$B$5:$B$115,0)),"UNKNOWN TOPIC ID"))</f>
        <v/>
      </c>
      <c r="E581" s="28">
        <f>IF($C581="","",IFERROR(INDEX('Topic Plan'!$D$5:$D$115,MATCH($C581,'Topic Plan'!$B$5:$B$115,0)),""))</f>
        <v/>
      </c>
      <c r="F581" s="28">
        <f>IF($C581="","",IFERROR(INDEX('Topic Plan'!$E$5:$E$115,MATCH($C581,'Topic Plan'!$B$5:$B$115,0)),""))</f>
        <v/>
      </c>
      <c r="G581" s="23" t="n"/>
      <c r="H581" s="27" t="n"/>
      <c r="I581" s="27" t="n"/>
      <c r="J581" s="27" t="n"/>
      <c r="K581" s="27" t="n"/>
      <c r="L581" s="27" t="n"/>
      <c r="M581" s="27" t="n"/>
      <c r="N581" s="23" t="n"/>
      <c r="O581" s="29" t="n"/>
      <c r="P581" s="29" t="n"/>
      <c r="Q581" s="29" t="n"/>
      <c r="R581" s="29" t="n"/>
      <c r="S581" s="29" t="n"/>
      <c r="T581" s="29" t="n"/>
      <c r="U581" s="29" t="n"/>
      <c r="V581" s="30">
        <f>IF(OR($A581="",$U581=""),"",IF($S581&lt;&gt;"",MAX(0,$S581-$U581),MAX(0,TODAY()-$U581)))</f>
        <v/>
      </c>
      <c r="W581" s="30">
        <f>IF($A581="","",IF(OR($N581="Live",$N581="Retired"),"",TODAY()-MAX($O581,$P581,$Q581,$R581)))</f>
        <v/>
      </c>
      <c r="X581" s="23" t="n"/>
      <c r="Y581" s="30">
        <f>IF($A581="","",COUNTIFS('Issues Log'!$C$5:$C$504,$A581,'Issues Log'!$K$5:$K$504,"Open")+COUNTIFS('Issues Log'!$C$5:$C$504,$A581,'Issues Log'!$K$5:$K$504,"In progress"))</f>
        <v/>
      </c>
      <c r="Z581" s="27" t="n"/>
    </row>
    <row r="582">
      <c r="A582" s="27" t="n"/>
      <c r="B582" s="27" t="n"/>
      <c r="C582" s="27" t="n"/>
      <c r="D582" s="28">
        <f>IF($C582="","",IFERROR(INDEX('Topic Plan'!$C$5:$C$115,MATCH($C582,'Topic Plan'!$B$5:$B$115,0)),"UNKNOWN TOPIC ID"))</f>
        <v/>
      </c>
      <c r="E582" s="28">
        <f>IF($C582="","",IFERROR(INDEX('Topic Plan'!$D$5:$D$115,MATCH($C582,'Topic Plan'!$B$5:$B$115,0)),""))</f>
        <v/>
      </c>
      <c r="F582" s="28">
        <f>IF($C582="","",IFERROR(INDEX('Topic Plan'!$E$5:$E$115,MATCH($C582,'Topic Plan'!$B$5:$B$115,0)),""))</f>
        <v/>
      </c>
      <c r="G582" s="23" t="n"/>
      <c r="H582" s="27" t="n"/>
      <c r="I582" s="27" t="n"/>
      <c r="J582" s="27" t="n"/>
      <c r="K582" s="27" t="n"/>
      <c r="L582" s="27" t="n"/>
      <c r="M582" s="27" t="n"/>
      <c r="N582" s="23" t="n"/>
      <c r="O582" s="29" t="n"/>
      <c r="P582" s="29" t="n"/>
      <c r="Q582" s="29" t="n"/>
      <c r="R582" s="29" t="n"/>
      <c r="S582" s="29" t="n"/>
      <c r="T582" s="29" t="n"/>
      <c r="U582" s="29" t="n"/>
      <c r="V582" s="30">
        <f>IF(OR($A582="",$U582=""),"",IF($S582&lt;&gt;"",MAX(0,$S582-$U582),MAX(0,TODAY()-$U582)))</f>
        <v/>
      </c>
      <c r="W582" s="30">
        <f>IF($A582="","",IF(OR($N582="Live",$N582="Retired"),"",TODAY()-MAX($O582,$P582,$Q582,$R582)))</f>
        <v/>
      </c>
      <c r="X582" s="23" t="n"/>
      <c r="Y582" s="30">
        <f>IF($A582="","",COUNTIFS('Issues Log'!$C$5:$C$504,$A582,'Issues Log'!$K$5:$K$504,"Open")+COUNTIFS('Issues Log'!$C$5:$C$504,$A582,'Issues Log'!$K$5:$K$504,"In progress"))</f>
        <v/>
      </c>
      <c r="Z582" s="27" t="n"/>
    </row>
    <row r="583">
      <c r="A583" s="27" t="n"/>
      <c r="B583" s="27" t="n"/>
      <c r="C583" s="27" t="n"/>
      <c r="D583" s="28">
        <f>IF($C583="","",IFERROR(INDEX('Topic Plan'!$C$5:$C$115,MATCH($C583,'Topic Plan'!$B$5:$B$115,0)),"UNKNOWN TOPIC ID"))</f>
        <v/>
      </c>
      <c r="E583" s="28">
        <f>IF($C583="","",IFERROR(INDEX('Topic Plan'!$D$5:$D$115,MATCH($C583,'Topic Plan'!$B$5:$B$115,0)),""))</f>
        <v/>
      </c>
      <c r="F583" s="28">
        <f>IF($C583="","",IFERROR(INDEX('Topic Plan'!$E$5:$E$115,MATCH($C583,'Topic Plan'!$B$5:$B$115,0)),""))</f>
        <v/>
      </c>
      <c r="G583" s="23" t="n"/>
      <c r="H583" s="27" t="n"/>
      <c r="I583" s="27" t="n"/>
      <c r="J583" s="27" t="n"/>
      <c r="K583" s="27" t="n"/>
      <c r="L583" s="27" t="n"/>
      <c r="M583" s="27" t="n"/>
      <c r="N583" s="23" t="n"/>
      <c r="O583" s="29" t="n"/>
      <c r="P583" s="29" t="n"/>
      <c r="Q583" s="29" t="n"/>
      <c r="R583" s="29" t="n"/>
      <c r="S583" s="29" t="n"/>
      <c r="T583" s="29" t="n"/>
      <c r="U583" s="29" t="n"/>
      <c r="V583" s="30">
        <f>IF(OR($A583="",$U583=""),"",IF($S583&lt;&gt;"",MAX(0,$S583-$U583),MAX(0,TODAY()-$U583)))</f>
        <v/>
      </c>
      <c r="W583" s="30">
        <f>IF($A583="","",IF(OR($N583="Live",$N583="Retired"),"",TODAY()-MAX($O583,$P583,$Q583,$R583)))</f>
        <v/>
      </c>
      <c r="X583" s="23" t="n"/>
      <c r="Y583" s="30">
        <f>IF($A583="","",COUNTIFS('Issues Log'!$C$5:$C$504,$A583,'Issues Log'!$K$5:$K$504,"Open")+COUNTIFS('Issues Log'!$C$5:$C$504,$A583,'Issues Log'!$K$5:$K$504,"In progress"))</f>
        <v/>
      </c>
      <c r="Z583" s="27" t="n"/>
    </row>
    <row r="584">
      <c r="A584" s="27" t="n"/>
      <c r="B584" s="27" t="n"/>
      <c r="C584" s="27" t="n"/>
      <c r="D584" s="28">
        <f>IF($C584="","",IFERROR(INDEX('Topic Plan'!$C$5:$C$115,MATCH($C584,'Topic Plan'!$B$5:$B$115,0)),"UNKNOWN TOPIC ID"))</f>
        <v/>
      </c>
      <c r="E584" s="28">
        <f>IF($C584="","",IFERROR(INDEX('Topic Plan'!$D$5:$D$115,MATCH($C584,'Topic Plan'!$B$5:$B$115,0)),""))</f>
        <v/>
      </c>
      <c r="F584" s="28">
        <f>IF($C584="","",IFERROR(INDEX('Topic Plan'!$E$5:$E$115,MATCH($C584,'Topic Plan'!$B$5:$B$115,0)),""))</f>
        <v/>
      </c>
      <c r="G584" s="23" t="n"/>
      <c r="H584" s="27" t="n"/>
      <c r="I584" s="27" t="n"/>
      <c r="J584" s="27" t="n"/>
      <c r="K584" s="27" t="n"/>
      <c r="L584" s="27" t="n"/>
      <c r="M584" s="27" t="n"/>
      <c r="N584" s="23" t="n"/>
      <c r="O584" s="29" t="n"/>
      <c r="P584" s="29" t="n"/>
      <c r="Q584" s="29" t="n"/>
      <c r="R584" s="29" t="n"/>
      <c r="S584" s="29" t="n"/>
      <c r="T584" s="29" t="n"/>
      <c r="U584" s="29" t="n"/>
      <c r="V584" s="30">
        <f>IF(OR($A584="",$U584=""),"",IF($S584&lt;&gt;"",MAX(0,$S584-$U584),MAX(0,TODAY()-$U584)))</f>
        <v/>
      </c>
      <c r="W584" s="30">
        <f>IF($A584="","",IF(OR($N584="Live",$N584="Retired"),"",TODAY()-MAX($O584,$P584,$Q584,$R584)))</f>
        <v/>
      </c>
      <c r="X584" s="23" t="n"/>
      <c r="Y584" s="30">
        <f>IF($A584="","",COUNTIFS('Issues Log'!$C$5:$C$504,$A584,'Issues Log'!$K$5:$K$504,"Open")+COUNTIFS('Issues Log'!$C$5:$C$504,$A584,'Issues Log'!$K$5:$K$504,"In progress"))</f>
        <v/>
      </c>
      <c r="Z584" s="27" t="n"/>
    </row>
    <row r="585">
      <c r="A585" s="27" t="n"/>
      <c r="B585" s="27" t="n"/>
      <c r="C585" s="27" t="n"/>
      <c r="D585" s="28">
        <f>IF($C585="","",IFERROR(INDEX('Topic Plan'!$C$5:$C$115,MATCH($C585,'Topic Plan'!$B$5:$B$115,0)),"UNKNOWN TOPIC ID"))</f>
        <v/>
      </c>
      <c r="E585" s="28">
        <f>IF($C585="","",IFERROR(INDEX('Topic Plan'!$D$5:$D$115,MATCH($C585,'Topic Plan'!$B$5:$B$115,0)),""))</f>
        <v/>
      </c>
      <c r="F585" s="28">
        <f>IF($C585="","",IFERROR(INDEX('Topic Plan'!$E$5:$E$115,MATCH($C585,'Topic Plan'!$B$5:$B$115,0)),""))</f>
        <v/>
      </c>
      <c r="G585" s="23" t="n"/>
      <c r="H585" s="27" t="n"/>
      <c r="I585" s="27" t="n"/>
      <c r="J585" s="27" t="n"/>
      <c r="K585" s="27" t="n"/>
      <c r="L585" s="27" t="n"/>
      <c r="M585" s="27" t="n"/>
      <c r="N585" s="23" t="n"/>
      <c r="O585" s="29" t="n"/>
      <c r="P585" s="29" t="n"/>
      <c r="Q585" s="29" t="n"/>
      <c r="R585" s="29" t="n"/>
      <c r="S585" s="29" t="n"/>
      <c r="T585" s="29" t="n"/>
      <c r="U585" s="29" t="n"/>
      <c r="V585" s="30">
        <f>IF(OR($A585="",$U585=""),"",IF($S585&lt;&gt;"",MAX(0,$S585-$U585),MAX(0,TODAY()-$U585)))</f>
        <v/>
      </c>
      <c r="W585" s="30">
        <f>IF($A585="","",IF(OR($N585="Live",$N585="Retired"),"",TODAY()-MAX($O585,$P585,$Q585,$R585)))</f>
        <v/>
      </c>
      <c r="X585" s="23" t="n"/>
      <c r="Y585" s="30">
        <f>IF($A585="","",COUNTIFS('Issues Log'!$C$5:$C$504,$A585,'Issues Log'!$K$5:$K$504,"Open")+COUNTIFS('Issues Log'!$C$5:$C$504,$A585,'Issues Log'!$K$5:$K$504,"In progress"))</f>
        <v/>
      </c>
      <c r="Z585" s="27" t="n"/>
    </row>
    <row r="586">
      <c r="A586" s="27" t="n"/>
      <c r="B586" s="27" t="n"/>
      <c r="C586" s="27" t="n"/>
      <c r="D586" s="28">
        <f>IF($C586="","",IFERROR(INDEX('Topic Plan'!$C$5:$C$115,MATCH($C586,'Topic Plan'!$B$5:$B$115,0)),"UNKNOWN TOPIC ID"))</f>
        <v/>
      </c>
      <c r="E586" s="28">
        <f>IF($C586="","",IFERROR(INDEX('Topic Plan'!$D$5:$D$115,MATCH($C586,'Topic Plan'!$B$5:$B$115,0)),""))</f>
        <v/>
      </c>
      <c r="F586" s="28">
        <f>IF($C586="","",IFERROR(INDEX('Topic Plan'!$E$5:$E$115,MATCH($C586,'Topic Plan'!$B$5:$B$115,0)),""))</f>
        <v/>
      </c>
      <c r="G586" s="23" t="n"/>
      <c r="H586" s="27" t="n"/>
      <c r="I586" s="27" t="n"/>
      <c r="J586" s="27" t="n"/>
      <c r="K586" s="27" t="n"/>
      <c r="L586" s="27" t="n"/>
      <c r="M586" s="27" t="n"/>
      <c r="N586" s="23" t="n"/>
      <c r="O586" s="29" t="n"/>
      <c r="P586" s="29" t="n"/>
      <c r="Q586" s="29" t="n"/>
      <c r="R586" s="29" t="n"/>
      <c r="S586" s="29" t="n"/>
      <c r="T586" s="29" t="n"/>
      <c r="U586" s="29" t="n"/>
      <c r="V586" s="30">
        <f>IF(OR($A586="",$U586=""),"",IF($S586&lt;&gt;"",MAX(0,$S586-$U586),MAX(0,TODAY()-$U586)))</f>
        <v/>
      </c>
      <c r="W586" s="30">
        <f>IF($A586="","",IF(OR($N586="Live",$N586="Retired"),"",TODAY()-MAX($O586,$P586,$Q586,$R586)))</f>
        <v/>
      </c>
      <c r="X586" s="23" t="n"/>
      <c r="Y586" s="30">
        <f>IF($A586="","",COUNTIFS('Issues Log'!$C$5:$C$504,$A586,'Issues Log'!$K$5:$K$504,"Open")+COUNTIFS('Issues Log'!$C$5:$C$504,$A586,'Issues Log'!$K$5:$K$504,"In progress"))</f>
        <v/>
      </c>
      <c r="Z586" s="27" t="n"/>
    </row>
    <row r="587">
      <c r="A587" s="27" t="n"/>
      <c r="B587" s="27" t="n"/>
      <c r="C587" s="27" t="n"/>
      <c r="D587" s="28">
        <f>IF($C587="","",IFERROR(INDEX('Topic Plan'!$C$5:$C$115,MATCH($C587,'Topic Plan'!$B$5:$B$115,0)),"UNKNOWN TOPIC ID"))</f>
        <v/>
      </c>
      <c r="E587" s="28">
        <f>IF($C587="","",IFERROR(INDEX('Topic Plan'!$D$5:$D$115,MATCH($C587,'Topic Plan'!$B$5:$B$115,0)),""))</f>
        <v/>
      </c>
      <c r="F587" s="28">
        <f>IF($C587="","",IFERROR(INDEX('Topic Plan'!$E$5:$E$115,MATCH($C587,'Topic Plan'!$B$5:$B$115,0)),""))</f>
        <v/>
      </c>
      <c r="G587" s="23" t="n"/>
      <c r="H587" s="27" t="n"/>
      <c r="I587" s="27" t="n"/>
      <c r="J587" s="27" t="n"/>
      <c r="K587" s="27" t="n"/>
      <c r="L587" s="27" t="n"/>
      <c r="M587" s="27" t="n"/>
      <c r="N587" s="23" t="n"/>
      <c r="O587" s="29" t="n"/>
      <c r="P587" s="29" t="n"/>
      <c r="Q587" s="29" t="n"/>
      <c r="R587" s="29" t="n"/>
      <c r="S587" s="29" t="n"/>
      <c r="T587" s="29" t="n"/>
      <c r="U587" s="29" t="n"/>
      <c r="V587" s="30">
        <f>IF(OR($A587="",$U587=""),"",IF($S587&lt;&gt;"",MAX(0,$S587-$U587),MAX(0,TODAY()-$U587)))</f>
        <v/>
      </c>
      <c r="W587" s="30">
        <f>IF($A587="","",IF(OR($N587="Live",$N587="Retired"),"",TODAY()-MAX($O587,$P587,$Q587,$R587)))</f>
        <v/>
      </c>
      <c r="X587" s="23" t="n"/>
      <c r="Y587" s="30">
        <f>IF($A587="","",COUNTIFS('Issues Log'!$C$5:$C$504,$A587,'Issues Log'!$K$5:$K$504,"Open")+COUNTIFS('Issues Log'!$C$5:$C$504,$A587,'Issues Log'!$K$5:$K$504,"In progress"))</f>
        <v/>
      </c>
      <c r="Z587" s="27" t="n"/>
    </row>
    <row r="588">
      <c r="A588" s="27" t="n"/>
      <c r="B588" s="27" t="n"/>
      <c r="C588" s="27" t="n"/>
      <c r="D588" s="28">
        <f>IF($C588="","",IFERROR(INDEX('Topic Plan'!$C$5:$C$115,MATCH($C588,'Topic Plan'!$B$5:$B$115,0)),"UNKNOWN TOPIC ID"))</f>
        <v/>
      </c>
      <c r="E588" s="28">
        <f>IF($C588="","",IFERROR(INDEX('Topic Plan'!$D$5:$D$115,MATCH($C588,'Topic Plan'!$B$5:$B$115,0)),""))</f>
        <v/>
      </c>
      <c r="F588" s="28">
        <f>IF($C588="","",IFERROR(INDEX('Topic Plan'!$E$5:$E$115,MATCH($C588,'Topic Plan'!$B$5:$B$115,0)),""))</f>
        <v/>
      </c>
      <c r="G588" s="23" t="n"/>
      <c r="H588" s="27" t="n"/>
      <c r="I588" s="27" t="n"/>
      <c r="J588" s="27" t="n"/>
      <c r="K588" s="27" t="n"/>
      <c r="L588" s="27" t="n"/>
      <c r="M588" s="27" t="n"/>
      <c r="N588" s="23" t="n"/>
      <c r="O588" s="29" t="n"/>
      <c r="P588" s="29" t="n"/>
      <c r="Q588" s="29" t="n"/>
      <c r="R588" s="29" t="n"/>
      <c r="S588" s="29" t="n"/>
      <c r="T588" s="29" t="n"/>
      <c r="U588" s="29" t="n"/>
      <c r="V588" s="30">
        <f>IF(OR($A588="",$U588=""),"",IF($S588&lt;&gt;"",MAX(0,$S588-$U588),MAX(0,TODAY()-$U588)))</f>
        <v/>
      </c>
      <c r="W588" s="30">
        <f>IF($A588="","",IF(OR($N588="Live",$N588="Retired"),"",TODAY()-MAX($O588,$P588,$Q588,$R588)))</f>
        <v/>
      </c>
      <c r="X588" s="23" t="n"/>
      <c r="Y588" s="30">
        <f>IF($A588="","",COUNTIFS('Issues Log'!$C$5:$C$504,$A588,'Issues Log'!$K$5:$K$504,"Open")+COUNTIFS('Issues Log'!$C$5:$C$504,$A588,'Issues Log'!$K$5:$K$504,"In progress"))</f>
        <v/>
      </c>
      <c r="Z588" s="27" t="n"/>
    </row>
    <row r="589">
      <c r="A589" s="27" t="n"/>
      <c r="B589" s="27" t="n"/>
      <c r="C589" s="27" t="n"/>
      <c r="D589" s="28">
        <f>IF($C589="","",IFERROR(INDEX('Topic Plan'!$C$5:$C$115,MATCH($C589,'Topic Plan'!$B$5:$B$115,0)),"UNKNOWN TOPIC ID"))</f>
        <v/>
      </c>
      <c r="E589" s="28">
        <f>IF($C589="","",IFERROR(INDEX('Topic Plan'!$D$5:$D$115,MATCH($C589,'Topic Plan'!$B$5:$B$115,0)),""))</f>
        <v/>
      </c>
      <c r="F589" s="28">
        <f>IF($C589="","",IFERROR(INDEX('Topic Plan'!$E$5:$E$115,MATCH($C589,'Topic Plan'!$B$5:$B$115,0)),""))</f>
        <v/>
      </c>
      <c r="G589" s="23" t="n"/>
      <c r="H589" s="27" t="n"/>
      <c r="I589" s="27" t="n"/>
      <c r="J589" s="27" t="n"/>
      <c r="K589" s="27" t="n"/>
      <c r="L589" s="27" t="n"/>
      <c r="M589" s="27" t="n"/>
      <c r="N589" s="23" t="n"/>
      <c r="O589" s="29" t="n"/>
      <c r="P589" s="29" t="n"/>
      <c r="Q589" s="29" t="n"/>
      <c r="R589" s="29" t="n"/>
      <c r="S589" s="29" t="n"/>
      <c r="T589" s="29" t="n"/>
      <c r="U589" s="29" t="n"/>
      <c r="V589" s="30">
        <f>IF(OR($A589="",$U589=""),"",IF($S589&lt;&gt;"",MAX(0,$S589-$U589),MAX(0,TODAY()-$U589)))</f>
        <v/>
      </c>
      <c r="W589" s="30">
        <f>IF($A589="","",IF(OR($N589="Live",$N589="Retired"),"",TODAY()-MAX($O589,$P589,$Q589,$R589)))</f>
        <v/>
      </c>
      <c r="X589" s="23" t="n"/>
      <c r="Y589" s="30">
        <f>IF($A589="","",COUNTIFS('Issues Log'!$C$5:$C$504,$A589,'Issues Log'!$K$5:$K$504,"Open")+COUNTIFS('Issues Log'!$C$5:$C$504,$A589,'Issues Log'!$K$5:$K$504,"In progress"))</f>
        <v/>
      </c>
      <c r="Z589" s="27" t="n"/>
    </row>
    <row r="590">
      <c r="A590" s="27" t="n"/>
      <c r="B590" s="27" t="n"/>
      <c r="C590" s="27" t="n"/>
      <c r="D590" s="28">
        <f>IF($C590="","",IFERROR(INDEX('Topic Plan'!$C$5:$C$115,MATCH($C590,'Topic Plan'!$B$5:$B$115,0)),"UNKNOWN TOPIC ID"))</f>
        <v/>
      </c>
      <c r="E590" s="28">
        <f>IF($C590="","",IFERROR(INDEX('Topic Plan'!$D$5:$D$115,MATCH($C590,'Topic Plan'!$B$5:$B$115,0)),""))</f>
        <v/>
      </c>
      <c r="F590" s="28">
        <f>IF($C590="","",IFERROR(INDEX('Topic Plan'!$E$5:$E$115,MATCH($C590,'Topic Plan'!$B$5:$B$115,0)),""))</f>
        <v/>
      </c>
      <c r="G590" s="23" t="n"/>
      <c r="H590" s="27" t="n"/>
      <c r="I590" s="27" t="n"/>
      <c r="J590" s="27" t="n"/>
      <c r="K590" s="27" t="n"/>
      <c r="L590" s="27" t="n"/>
      <c r="M590" s="27" t="n"/>
      <c r="N590" s="23" t="n"/>
      <c r="O590" s="29" t="n"/>
      <c r="P590" s="29" t="n"/>
      <c r="Q590" s="29" t="n"/>
      <c r="R590" s="29" t="n"/>
      <c r="S590" s="29" t="n"/>
      <c r="T590" s="29" t="n"/>
      <c r="U590" s="29" t="n"/>
      <c r="V590" s="30">
        <f>IF(OR($A590="",$U590=""),"",IF($S590&lt;&gt;"",MAX(0,$S590-$U590),MAX(0,TODAY()-$U590)))</f>
        <v/>
      </c>
      <c r="W590" s="30">
        <f>IF($A590="","",IF(OR($N590="Live",$N590="Retired"),"",TODAY()-MAX($O590,$P590,$Q590,$R590)))</f>
        <v/>
      </c>
      <c r="X590" s="23" t="n"/>
      <c r="Y590" s="30">
        <f>IF($A590="","",COUNTIFS('Issues Log'!$C$5:$C$504,$A590,'Issues Log'!$K$5:$K$504,"Open")+COUNTIFS('Issues Log'!$C$5:$C$504,$A590,'Issues Log'!$K$5:$K$504,"In progress"))</f>
        <v/>
      </c>
      <c r="Z590" s="27" t="n"/>
    </row>
    <row r="591">
      <c r="A591" s="27" t="n"/>
      <c r="B591" s="27" t="n"/>
      <c r="C591" s="27" t="n"/>
      <c r="D591" s="28">
        <f>IF($C591="","",IFERROR(INDEX('Topic Plan'!$C$5:$C$115,MATCH($C591,'Topic Plan'!$B$5:$B$115,0)),"UNKNOWN TOPIC ID"))</f>
        <v/>
      </c>
      <c r="E591" s="28">
        <f>IF($C591="","",IFERROR(INDEX('Topic Plan'!$D$5:$D$115,MATCH($C591,'Topic Plan'!$B$5:$B$115,0)),""))</f>
        <v/>
      </c>
      <c r="F591" s="28">
        <f>IF($C591="","",IFERROR(INDEX('Topic Plan'!$E$5:$E$115,MATCH($C591,'Topic Plan'!$B$5:$B$115,0)),""))</f>
        <v/>
      </c>
      <c r="G591" s="23" t="n"/>
      <c r="H591" s="27" t="n"/>
      <c r="I591" s="27" t="n"/>
      <c r="J591" s="27" t="n"/>
      <c r="K591" s="27" t="n"/>
      <c r="L591" s="27" t="n"/>
      <c r="M591" s="27" t="n"/>
      <c r="N591" s="23" t="n"/>
      <c r="O591" s="29" t="n"/>
      <c r="P591" s="29" t="n"/>
      <c r="Q591" s="29" t="n"/>
      <c r="R591" s="29" t="n"/>
      <c r="S591" s="29" t="n"/>
      <c r="T591" s="29" t="n"/>
      <c r="U591" s="29" t="n"/>
      <c r="V591" s="30">
        <f>IF(OR($A591="",$U591=""),"",IF($S591&lt;&gt;"",MAX(0,$S591-$U591),MAX(0,TODAY()-$U591)))</f>
        <v/>
      </c>
      <c r="W591" s="30">
        <f>IF($A591="","",IF(OR($N591="Live",$N591="Retired"),"",TODAY()-MAX($O591,$P591,$Q591,$R591)))</f>
        <v/>
      </c>
      <c r="X591" s="23" t="n"/>
      <c r="Y591" s="30">
        <f>IF($A591="","",COUNTIFS('Issues Log'!$C$5:$C$504,$A591,'Issues Log'!$K$5:$K$504,"Open")+COUNTIFS('Issues Log'!$C$5:$C$504,$A591,'Issues Log'!$K$5:$K$504,"In progress"))</f>
        <v/>
      </c>
      <c r="Z591" s="27" t="n"/>
    </row>
    <row r="592">
      <c r="A592" s="27" t="n"/>
      <c r="B592" s="27" t="n"/>
      <c r="C592" s="27" t="n"/>
      <c r="D592" s="28">
        <f>IF($C592="","",IFERROR(INDEX('Topic Plan'!$C$5:$C$115,MATCH($C592,'Topic Plan'!$B$5:$B$115,0)),"UNKNOWN TOPIC ID"))</f>
        <v/>
      </c>
      <c r="E592" s="28">
        <f>IF($C592="","",IFERROR(INDEX('Topic Plan'!$D$5:$D$115,MATCH($C592,'Topic Plan'!$B$5:$B$115,0)),""))</f>
        <v/>
      </c>
      <c r="F592" s="28">
        <f>IF($C592="","",IFERROR(INDEX('Topic Plan'!$E$5:$E$115,MATCH($C592,'Topic Plan'!$B$5:$B$115,0)),""))</f>
        <v/>
      </c>
      <c r="G592" s="23" t="n"/>
      <c r="H592" s="27" t="n"/>
      <c r="I592" s="27" t="n"/>
      <c r="J592" s="27" t="n"/>
      <c r="K592" s="27" t="n"/>
      <c r="L592" s="27" t="n"/>
      <c r="M592" s="27" t="n"/>
      <c r="N592" s="23" t="n"/>
      <c r="O592" s="29" t="n"/>
      <c r="P592" s="29" t="n"/>
      <c r="Q592" s="29" t="n"/>
      <c r="R592" s="29" t="n"/>
      <c r="S592" s="29" t="n"/>
      <c r="T592" s="29" t="n"/>
      <c r="U592" s="29" t="n"/>
      <c r="V592" s="30">
        <f>IF(OR($A592="",$U592=""),"",IF($S592&lt;&gt;"",MAX(0,$S592-$U592),MAX(0,TODAY()-$U592)))</f>
        <v/>
      </c>
      <c r="W592" s="30">
        <f>IF($A592="","",IF(OR($N592="Live",$N592="Retired"),"",TODAY()-MAX($O592,$P592,$Q592,$R592)))</f>
        <v/>
      </c>
      <c r="X592" s="23" t="n"/>
      <c r="Y592" s="30">
        <f>IF($A592="","",COUNTIFS('Issues Log'!$C$5:$C$504,$A592,'Issues Log'!$K$5:$K$504,"Open")+COUNTIFS('Issues Log'!$C$5:$C$504,$A592,'Issues Log'!$K$5:$K$504,"In progress"))</f>
        <v/>
      </c>
      <c r="Z592" s="27" t="n"/>
    </row>
    <row r="593">
      <c r="A593" s="27" t="n"/>
      <c r="B593" s="27" t="n"/>
      <c r="C593" s="27" t="n"/>
      <c r="D593" s="28">
        <f>IF($C593="","",IFERROR(INDEX('Topic Plan'!$C$5:$C$115,MATCH($C593,'Topic Plan'!$B$5:$B$115,0)),"UNKNOWN TOPIC ID"))</f>
        <v/>
      </c>
      <c r="E593" s="28">
        <f>IF($C593="","",IFERROR(INDEX('Topic Plan'!$D$5:$D$115,MATCH($C593,'Topic Plan'!$B$5:$B$115,0)),""))</f>
        <v/>
      </c>
      <c r="F593" s="28">
        <f>IF($C593="","",IFERROR(INDEX('Topic Plan'!$E$5:$E$115,MATCH($C593,'Topic Plan'!$B$5:$B$115,0)),""))</f>
        <v/>
      </c>
      <c r="G593" s="23" t="n"/>
      <c r="H593" s="27" t="n"/>
      <c r="I593" s="27" t="n"/>
      <c r="J593" s="27" t="n"/>
      <c r="K593" s="27" t="n"/>
      <c r="L593" s="27" t="n"/>
      <c r="M593" s="27" t="n"/>
      <c r="N593" s="23" t="n"/>
      <c r="O593" s="29" t="n"/>
      <c r="P593" s="29" t="n"/>
      <c r="Q593" s="29" t="n"/>
      <c r="R593" s="29" t="n"/>
      <c r="S593" s="29" t="n"/>
      <c r="T593" s="29" t="n"/>
      <c r="U593" s="29" t="n"/>
      <c r="V593" s="30">
        <f>IF(OR($A593="",$U593=""),"",IF($S593&lt;&gt;"",MAX(0,$S593-$U593),MAX(0,TODAY()-$U593)))</f>
        <v/>
      </c>
      <c r="W593" s="30">
        <f>IF($A593="","",IF(OR($N593="Live",$N593="Retired"),"",TODAY()-MAX($O593,$P593,$Q593,$R593)))</f>
        <v/>
      </c>
      <c r="X593" s="23" t="n"/>
      <c r="Y593" s="30">
        <f>IF($A593="","",COUNTIFS('Issues Log'!$C$5:$C$504,$A593,'Issues Log'!$K$5:$K$504,"Open")+COUNTIFS('Issues Log'!$C$5:$C$504,$A593,'Issues Log'!$K$5:$K$504,"In progress"))</f>
        <v/>
      </c>
      <c r="Z593" s="27" t="n"/>
    </row>
    <row r="594">
      <c r="A594" s="27" t="n"/>
      <c r="B594" s="27" t="n"/>
      <c r="C594" s="27" t="n"/>
      <c r="D594" s="28">
        <f>IF($C594="","",IFERROR(INDEX('Topic Plan'!$C$5:$C$115,MATCH($C594,'Topic Plan'!$B$5:$B$115,0)),"UNKNOWN TOPIC ID"))</f>
        <v/>
      </c>
      <c r="E594" s="28">
        <f>IF($C594="","",IFERROR(INDEX('Topic Plan'!$D$5:$D$115,MATCH($C594,'Topic Plan'!$B$5:$B$115,0)),""))</f>
        <v/>
      </c>
      <c r="F594" s="28">
        <f>IF($C594="","",IFERROR(INDEX('Topic Plan'!$E$5:$E$115,MATCH($C594,'Topic Plan'!$B$5:$B$115,0)),""))</f>
        <v/>
      </c>
      <c r="G594" s="23" t="n"/>
      <c r="H594" s="27" t="n"/>
      <c r="I594" s="27" t="n"/>
      <c r="J594" s="27" t="n"/>
      <c r="K594" s="27" t="n"/>
      <c r="L594" s="27" t="n"/>
      <c r="M594" s="27" t="n"/>
      <c r="N594" s="23" t="n"/>
      <c r="O594" s="29" t="n"/>
      <c r="P594" s="29" t="n"/>
      <c r="Q594" s="29" t="n"/>
      <c r="R594" s="29" t="n"/>
      <c r="S594" s="29" t="n"/>
      <c r="T594" s="29" t="n"/>
      <c r="U594" s="29" t="n"/>
      <c r="V594" s="30">
        <f>IF(OR($A594="",$U594=""),"",IF($S594&lt;&gt;"",MAX(0,$S594-$U594),MAX(0,TODAY()-$U594)))</f>
        <v/>
      </c>
      <c r="W594" s="30">
        <f>IF($A594="","",IF(OR($N594="Live",$N594="Retired"),"",TODAY()-MAX($O594,$P594,$Q594,$R594)))</f>
        <v/>
      </c>
      <c r="X594" s="23" t="n"/>
      <c r="Y594" s="30">
        <f>IF($A594="","",COUNTIFS('Issues Log'!$C$5:$C$504,$A594,'Issues Log'!$K$5:$K$504,"Open")+COUNTIFS('Issues Log'!$C$5:$C$504,$A594,'Issues Log'!$K$5:$K$504,"In progress"))</f>
        <v/>
      </c>
      <c r="Z594" s="27" t="n"/>
    </row>
    <row r="595">
      <c r="A595" s="27" t="n"/>
      <c r="B595" s="27" t="n"/>
      <c r="C595" s="27" t="n"/>
      <c r="D595" s="28">
        <f>IF($C595="","",IFERROR(INDEX('Topic Plan'!$C$5:$C$115,MATCH($C595,'Topic Plan'!$B$5:$B$115,0)),"UNKNOWN TOPIC ID"))</f>
        <v/>
      </c>
      <c r="E595" s="28">
        <f>IF($C595="","",IFERROR(INDEX('Topic Plan'!$D$5:$D$115,MATCH($C595,'Topic Plan'!$B$5:$B$115,0)),""))</f>
        <v/>
      </c>
      <c r="F595" s="28">
        <f>IF($C595="","",IFERROR(INDEX('Topic Plan'!$E$5:$E$115,MATCH($C595,'Topic Plan'!$B$5:$B$115,0)),""))</f>
        <v/>
      </c>
      <c r="G595" s="23" t="n"/>
      <c r="H595" s="27" t="n"/>
      <c r="I595" s="27" t="n"/>
      <c r="J595" s="27" t="n"/>
      <c r="K595" s="27" t="n"/>
      <c r="L595" s="27" t="n"/>
      <c r="M595" s="27" t="n"/>
      <c r="N595" s="23" t="n"/>
      <c r="O595" s="29" t="n"/>
      <c r="P595" s="29" t="n"/>
      <c r="Q595" s="29" t="n"/>
      <c r="R595" s="29" t="n"/>
      <c r="S595" s="29" t="n"/>
      <c r="T595" s="29" t="n"/>
      <c r="U595" s="29" t="n"/>
      <c r="V595" s="30">
        <f>IF(OR($A595="",$U595=""),"",IF($S595&lt;&gt;"",MAX(0,$S595-$U595),MAX(0,TODAY()-$U595)))</f>
        <v/>
      </c>
      <c r="W595" s="30">
        <f>IF($A595="","",IF(OR($N595="Live",$N595="Retired"),"",TODAY()-MAX($O595,$P595,$Q595,$R595)))</f>
        <v/>
      </c>
      <c r="X595" s="23" t="n"/>
      <c r="Y595" s="30">
        <f>IF($A595="","",COUNTIFS('Issues Log'!$C$5:$C$504,$A595,'Issues Log'!$K$5:$K$504,"Open")+COUNTIFS('Issues Log'!$C$5:$C$504,$A595,'Issues Log'!$K$5:$K$504,"In progress"))</f>
        <v/>
      </c>
      <c r="Z595" s="27" t="n"/>
    </row>
    <row r="596">
      <c r="A596" s="27" t="n"/>
      <c r="B596" s="27" t="n"/>
      <c r="C596" s="27" t="n"/>
      <c r="D596" s="28">
        <f>IF($C596="","",IFERROR(INDEX('Topic Plan'!$C$5:$C$115,MATCH($C596,'Topic Plan'!$B$5:$B$115,0)),"UNKNOWN TOPIC ID"))</f>
        <v/>
      </c>
      <c r="E596" s="28">
        <f>IF($C596="","",IFERROR(INDEX('Topic Plan'!$D$5:$D$115,MATCH($C596,'Topic Plan'!$B$5:$B$115,0)),""))</f>
        <v/>
      </c>
      <c r="F596" s="28">
        <f>IF($C596="","",IFERROR(INDEX('Topic Plan'!$E$5:$E$115,MATCH($C596,'Topic Plan'!$B$5:$B$115,0)),""))</f>
        <v/>
      </c>
      <c r="G596" s="23" t="n"/>
      <c r="H596" s="27" t="n"/>
      <c r="I596" s="27" t="n"/>
      <c r="J596" s="27" t="n"/>
      <c r="K596" s="27" t="n"/>
      <c r="L596" s="27" t="n"/>
      <c r="M596" s="27" t="n"/>
      <c r="N596" s="23" t="n"/>
      <c r="O596" s="29" t="n"/>
      <c r="P596" s="29" t="n"/>
      <c r="Q596" s="29" t="n"/>
      <c r="R596" s="29" t="n"/>
      <c r="S596" s="29" t="n"/>
      <c r="T596" s="29" t="n"/>
      <c r="U596" s="29" t="n"/>
      <c r="V596" s="30">
        <f>IF(OR($A596="",$U596=""),"",IF($S596&lt;&gt;"",MAX(0,$S596-$U596),MAX(0,TODAY()-$U596)))</f>
        <v/>
      </c>
      <c r="W596" s="30">
        <f>IF($A596="","",IF(OR($N596="Live",$N596="Retired"),"",TODAY()-MAX($O596,$P596,$Q596,$R596)))</f>
        <v/>
      </c>
      <c r="X596" s="23" t="n"/>
      <c r="Y596" s="30">
        <f>IF($A596="","",COUNTIFS('Issues Log'!$C$5:$C$504,$A596,'Issues Log'!$K$5:$K$504,"Open")+COUNTIFS('Issues Log'!$C$5:$C$504,$A596,'Issues Log'!$K$5:$K$504,"In progress"))</f>
        <v/>
      </c>
      <c r="Z596" s="27" t="n"/>
    </row>
    <row r="597">
      <c r="A597" s="27" t="n"/>
      <c r="B597" s="27" t="n"/>
      <c r="C597" s="27" t="n"/>
      <c r="D597" s="28">
        <f>IF($C597="","",IFERROR(INDEX('Topic Plan'!$C$5:$C$115,MATCH($C597,'Topic Plan'!$B$5:$B$115,0)),"UNKNOWN TOPIC ID"))</f>
        <v/>
      </c>
      <c r="E597" s="28">
        <f>IF($C597="","",IFERROR(INDEX('Topic Plan'!$D$5:$D$115,MATCH($C597,'Topic Plan'!$B$5:$B$115,0)),""))</f>
        <v/>
      </c>
      <c r="F597" s="28">
        <f>IF($C597="","",IFERROR(INDEX('Topic Plan'!$E$5:$E$115,MATCH($C597,'Topic Plan'!$B$5:$B$115,0)),""))</f>
        <v/>
      </c>
      <c r="G597" s="23" t="n"/>
      <c r="H597" s="27" t="n"/>
      <c r="I597" s="27" t="n"/>
      <c r="J597" s="27" t="n"/>
      <c r="K597" s="27" t="n"/>
      <c r="L597" s="27" t="n"/>
      <c r="M597" s="27" t="n"/>
      <c r="N597" s="23" t="n"/>
      <c r="O597" s="29" t="n"/>
      <c r="P597" s="29" t="n"/>
      <c r="Q597" s="29" t="n"/>
      <c r="R597" s="29" t="n"/>
      <c r="S597" s="29" t="n"/>
      <c r="T597" s="29" t="n"/>
      <c r="U597" s="29" t="n"/>
      <c r="V597" s="30">
        <f>IF(OR($A597="",$U597=""),"",IF($S597&lt;&gt;"",MAX(0,$S597-$U597),MAX(0,TODAY()-$U597)))</f>
        <v/>
      </c>
      <c r="W597" s="30">
        <f>IF($A597="","",IF(OR($N597="Live",$N597="Retired"),"",TODAY()-MAX($O597,$P597,$Q597,$R597)))</f>
        <v/>
      </c>
      <c r="X597" s="23" t="n"/>
      <c r="Y597" s="30">
        <f>IF($A597="","",COUNTIFS('Issues Log'!$C$5:$C$504,$A597,'Issues Log'!$K$5:$K$504,"Open")+COUNTIFS('Issues Log'!$C$5:$C$504,$A597,'Issues Log'!$K$5:$K$504,"In progress"))</f>
        <v/>
      </c>
      <c r="Z597" s="27" t="n"/>
    </row>
    <row r="598">
      <c r="A598" s="27" t="n"/>
      <c r="B598" s="27" t="n"/>
      <c r="C598" s="27" t="n"/>
      <c r="D598" s="28">
        <f>IF($C598="","",IFERROR(INDEX('Topic Plan'!$C$5:$C$115,MATCH($C598,'Topic Plan'!$B$5:$B$115,0)),"UNKNOWN TOPIC ID"))</f>
        <v/>
      </c>
      <c r="E598" s="28">
        <f>IF($C598="","",IFERROR(INDEX('Topic Plan'!$D$5:$D$115,MATCH($C598,'Topic Plan'!$B$5:$B$115,0)),""))</f>
        <v/>
      </c>
      <c r="F598" s="28">
        <f>IF($C598="","",IFERROR(INDEX('Topic Plan'!$E$5:$E$115,MATCH($C598,'Topic Plan'!$B$5:$B$115,0)),""))</f>
        <v/>
      </c>
      <c r="G598" s="23" t="n"/>
      <c r="H598" s="27" t="n"/>
      <c r="I598" s="27" t="n"/>
      <c r="J598" s="27" t="n"/>
      <c r="K598" s="27" t="n"/>
      <c r="L598" s="27" t="n"/>
      <c r="M598" s="27" t="n"/>
      <c r="N598" s="23" t="n"/>
      <c r="O598" s="29" t="n"/>
      <c r="P598" s="29" t="n"/>
      <c r="Q598" s="29" t="n"/>
      <c r="R598" s="29" t="n"/>
      <c r="S598" s="29" t="n"/>
      <c r="T598" s="29" t="n"/>
      <c r="U598" s="29" t="n"/>
      <c r="V598" s="30">
        <f>IF(OR($A598="",$U598=""),"",IF($S598&lt;&gt;"",MAX(0,$S598-$U598),MAX(0,TODAY()-$U598)))</f>
        <v/>
      </c>
      <c r="W598" s="30">
        <f>IF($A598="","",IF(OR($N598="Live",$N598="Retired"),"",TODAY()-MAX($O598,$P598,$Q598,$R598)))</f>
        <v/>
      </c>
      <c r="X598" s="23" t="n"/>
      <c r="Y598" s="30">
        <f>IF($A598="","",COUNTIFS('Issues Log'!$C$5:$C$504,$A598,'Issues Log'!$K$5:$K$504,"Open")+COUNTIFS('Issues Log'!$C$5:$C$504,$A598,'Issues Log'!$K$5:$K$504,"In progress"))</f>
        <v/>
      </c>
      <c r="Z598" s="27" t="n"/>
    </row>
    <row r="599">
      <c r="A599" s="27" t="n"/>
      <c r="B599" s="27" t="n"/>
      <c r="C599" s="27" t="n"/>
      <c r="D599" s="28">
        <f>IF($C599="","",IFERROR(INDEX('Topic Plan'!$C$5:$C$115,MATCH($C599,'Topic Plan'!$B$5:$B$115,0)),"UNKNOWN TOPIC ID"))</f>
        <v/>
      </c>
      <c r="E599" s="28">
        <f>IF($C599="","",IFERROR(INDEX('Topic Plan'!$D$5:$D$115,MATCH($C599,'Topic Plan'!$B$5:$B$115,0)),""))</f>
        <v/>
      </c>
      <c r="F599" s="28">
        <f>IF($C599="","",IFERROR(INDEX('Topic Plan'!$E$5:$E$115,MATCH($C599,'Topic Plan'!$B$5:$B$115,0)),""))</f>
        <v/>
      </c>
      <c r="G599" s="23" t="n"/>
      <c r="H599" s="27" t="n"/>
      <c r="I599" s="27" t="n"/>
      <c r="J599" s="27" t="n"/>
      <c r="K599" s="27" t="n"/>
      <c r="L599" s="27" t="n"/>
      <c r="M599" s="27" t="n"/>
      <c r="N599" s="23" t="n"/>
      <c r="O599" s="29" t="n"/>
      <c r="P599" s="29" t="n"/>
      <c r="Q599" s="29" t="n"/>
      <c r="R599" s="29" t="n"/>
      <c r="S599" s="29" t="n"/>
      <c r="T599" s="29" t="n"/>
      <c r="U599" s="29" t="n"/>
      <c r="V599" s="30">
        <f>IF(OR($A599="",$U599=""),"",IF($S599&lt;&gt;"",MAX(0,$S599-$U599),MAX(0,TODAY()-$U599)))</f>
        <v/>
      </c>
      <c r="W599" s="30">
        <f>IF($A599="","",IF(OR($N599="Live",$N599="Retired"),"",TODAY()-MAX($O599,$P599,$Q599,$R599)))</f>
        <v/>
      </c>
      <c r="X599" s="23" t="n"/>
      <c r="Y599" s="30">
        <f>IF($A599="","",COUNTIFS('Issues Log'!$C$5:$C$504,$A599,'Issues Log'!$K$5:$K$504,"Open")+COUNTIFS('Issues Log'!$C$5:$C$504,$A599,'Issues Log'!$K$5:$K$504,"In progress"))</f>
        <v/>
      </c>
      <c r="Z599" s="27" t="n"/>
    </row>
    <row r="600">
      <c r="A600" s="27" t="n"/>
      <c r="B600" s="27" t="n"/>
      <c r="C600" s="27" t="n"/>
      <c r="D600" s="28">
        <f>IF($C600="","",IFERROR(INDEX('Topic Plan'!$C$5:$C$115,MATCH($C600,'Topic Plan'!$B$5:$B$115,0)),"UNKNOWN TOPIC ID"))</f>
        <v/>
      </c>
      <c r="E600" s="28">
        <f>IF($C600="","",IFERROR(INDEX('Topic Plan'!$D$5:$D$115,MATCH($C600,'Topic Plan'!$B$5:$B$115,0)),""))</f>
        <v/>
      </c>
      <c r="F600" s="28">
        <f>IF($C600="","",IFERROR(INDEX('Topic Plan'!$E$5:$E$115,MATCH($C600,'Topic Plan'!$B$5:$B$115,0)),""))</f>
        <v/>
      </c>
      <c r="G600" s="23" t="n"/>
      <c r="H600" s="27" t="n"/>
      <c r="I600" s="27" t="n"/>
      <c r="J600" s="27" t="n"/>
      <c r="K600" s="27" t="n"/>
      <c r="L600" s="27" t="n"/>
      <c r="M600" s="27" t="n"/>
      <c r="N600" s="23" t="n"/>
      <c r="O600" s="29" t="n"/>
      <c r="P600" s="29" t="n"/>
      <c r="Q600" s="29" t="n"/>
      <c r="R600" s="29" t="n"/>
      <c r="S600" s="29" t="n"/>
      <c r="T600" s="29" t="n"/>
      <c r="U600" s="29" t="n"/>
      <c r="V600" s="30">
        <f>IF(OR($A600="",$U600=""),"",IF($S600&lt;&gt;"",MAX(0,$S600-$U600),MAX(0,TODAY()-$U600)))</f>
        <v/>
      </c>
      <c r="W600" s="30">
        <f>IF($A600="","",IF(OR($N600="Live",$N600="Retired"),"",TODAY()-MAX($O600,$P600,$Q600,$R600)))</f>
        <v/>
      </c>
      <c r="X600" s="23" t="n"/>
      <c r="Y600" s="30">
        <f>IF($A600="","",COUNTIFS('Issues Log'!$C$5:$C$504,$A600,'Issues Log'!$K$5:$K$504,"Open")+COUNTIFS('Issues Log'!$C$5:$C$504,$A600,'Issues Log'!$K$5:$K$504,"In progress"))</f>
        <v/>
      </c>
      <c r="Z600" s="27" t="n"/>
    </row>
    <row r="601">
      <c r="A601" s="27" t="n"/>
      <c r="B601" s="27" t="n"/>
      <c r="C601" s="27" t="n"/>
      <c r="D601" s="28">
        <f>IF($C601="","",IFERROR(INDEX('Topic Plan'!$C$5:$C$115,MATCH($C601,'Topic Plan'!$B$5:$B$115,0)),"UNKNOWN TOPIC ID"))</f>
        <v/>
      </c>
      <c r="E601" s="28">
        <f>IF($C601="","",IFERROR(INDEX('Topic Plan'!$D$5:$D$115,MATCH($C601,'Topic Plan'!$B$5:$B$115,0)),""))</f>
        <v/>
      </c>
      <c r="F601" s="28">
        <f>IF($C601="","",IFERROR(INDEX('Topic Plan'!$E$5:$E$115,MATCH($C601,'Topic Plan'!$B$5:$B$115,0)),""))</f>
        <v/>
      </c>
      <c r="G601" s="23" t="n"/>
      <c r="H601" s="27" t="n"/>
      <c r="I601" s="27" t="n"/>
      <c r="J601" s="27" t="n"/>
      <c r="K601" s="27" t="n"/>
      <c r="L601" s="27" t="n"/>
      <c r="M601" s="27" t="n"/>
      <c r="N601" s="23" t="n"/>
      <c r="O601" s="29" t="n"/>
      <c r="P601" s="29" t="n"/>
      <c r="Q601" s="29" t="n"/>
      <c r="R601" s="29" t="n"/>
      <c r="S601" s="29" t="n"/>
      <c r="T601" s="29" t="n"/>
      <c r="U601" s="29" t="n"/>
      <c r="V601" s="30">
        <f>IF(OR($A601="",$U601=""),"",IF($S601&lt;&gt;"",MAX(0,$S601-$U601),MAX(0,TODAY()-$U601)))</f>
        <v/>
      </c>
      <c r="W601" s="30">
        <f>IF($A601="","",IF(OR($N601="Live",$N601="Retired"),"",TODAY()-MAX($O601,$P601,$Q601,$R601)))</f>
        <v/>
      </c>
      <c r="X601" s="23" t="n"/>
      <c r="Y601" s="30">
        <f>IF($A601="","",COUNTIFS('Issues Log'!$C$5:$C$504,$A601,'Issues Log'!$K$5:$K$504,"Open")+COUNTIFS('Issues Log'!$C$5:$C$504,$A601,'Issues Log'!$K$5:$K$504,"In progress"))</f>
        <v/>
      </c>
      <c r="Z601" s="27" t="n"/>
    </row>
    <row r="602">
      <c r="A602" s="27" t="n"/>
      <c r="B602" s="27" t="n"/>
      <c r="C602" s="27" t="n"/>
      <c r="D602" s="28">
        <f>IF($C602="","",IFERROR(INDEX('Topic Plan'!$C$5:$C$115,MATCH($C602,'Topic Plan'!$B$5:$B$115,0)),"UNKNOWN TOPIC ID"))</f>
        <v/>
      </c>
      <c r="E602" s="28">
        <f>IF($C602="","",IFERROR(INDEX('Topic Plan'!$D$5:$D$115,MATCH($C602,'Topic Plan'!$B$5:$B$115,0)),""))</f>
        <v/>
      </c>
      <c r="F602" s="28">
        <f>IF($C602="","",IFERROR(INDEX('Topic Plan'!$E$5:$E$115,MATCH($C602,'Topic Plan'!$B$5:$B$115,0)),""))</f>
        <v/>
      </c>
      <c r="G602" s="23" t="n"/>
      <c r="H602" s="27" t="n"/>
      <c r="I602" s="27" t="n"/>
      <c r="J602" s="27" t="n"/>
      <c r="K602" s="27" t="n"/>
      <c r="L602" s="27" t="n"/>
      <c r="M602" s="27" t="n"/>
      <c r="N602" s="23" t="n"/>
      <c r="O602" s="29" t="n"/>
      <c r="P602" s="29" t="n"/>
      <c r="Q602" s="29" t="n"/>
      <c r="R602" s="29" t="n"/>
      <c r="S602" s="29" t="n"/>
      <c r="T602" s="29" t="n"/>
      <c r="U602" s="29" t="n"/>
      <c r="V602" s="30">
        <f>IF(OR($A602="",$U602=""),"",IF($S602&lt;&gt;"",MAX(0,$S602-$U602),MAX(0,TODAY()-$U602)))</f>
        <v/>
      </c>
      <c r="W602" s="30">
        <f>IF($A602="","",IF(OR($N602="Live",$N602="Retired"),"",TODAY()-MAX($O602,$P602,$Q602,$R602)))</f>
        <v/>
      </c>
      <c r="X602" s="23" t="n"/>
      <c r="Y602" s="30">
        <f>IF($A602="","",COUNTIFS('Issues Log'!$C$5:$C$504,$A602,'Issues Log'!$K$5:$K$504,"Open")+COUNTIFS('Issues Log'!$C$5:$C$504,$A602,'Issues Log'!$K$5:$K$504,"In progress"))</f>
        <v/>
      </c>
      <c r="Z602" s="27" t="n"/>
    </row>
    <row r="603">
      <c r="A603" s="27" t="n"/>
      <c r="B603" s="27" t="n"/>
      <c r="C603" s="27" t="n"/>
      <c r="D603" s="28">
        <f>IF($C603="","",IFERROR(INDEX('Topic Plan'!$C$5:$C$115,MATCH($C603,'Topic Plan'!$B$5:$B$115,0)),"UNKNOWN TOPIC ID"))</f>
        <v/>
      </c>
      <c r="E603" s="28">
        <f>IF($C603="","",IFERROR(INDEX('Topic Plan'!$D$5:$D$115,MATCH($C603,'Topic Plan'!$B$5:$B$115,0)),""))</f>
        <v/>
      </c>
      <c r="F603" s="28">
        <f>IF($C603="","",IFERROR(INDEX('Topic Plan'!$E$5:$E$115,MATCH($C603,'Topic Plan'!$B$5:$B$115,0)),""))</f>
        <v/>
      </c>
      <c r="G603" s="23" t="n"/>
      <c r="H603" s="27" t="n"/>
      <c r="I603" s="27" t="n"/>
      <c r="J603" s="27" t="n"/>
      <c r="K603" s="27" t="n"/>
      <c r="L603" s="27" t="n"/>
      <c r="M603" s="27" t="n"/>
      <c r="N603" s="23" t="n"/>
      <c r="O603" s="29" t="n"/>
      <c r="P603" s="29" t="n"/>
      <c r="Q603" s="29" t="n"/>
      <c r="R603" s="29" t="n"/>
      <c r="S603" s="29" t="n"/>
      <c r="T603" s="29" t="n"/>
      <c r="U603" s="29" t="n"/>
      <c r="V603" s="30">
        <f>IF(OR($A603="",$U603=""),"",IF($S603&lt;&gt;"",MAX(0,$S603-$U603),MAX(0,TODAY()-$U603)))</f>
        <v/>
      </c>
      <c r="W603" s="30">
        <f>IF($A603="","",IF(OR($N603="Live",$N603="Retired"),"",TODAY()-MAX($O603,$P603,$Q603,$R603)))</f>
        <v/>
      </c>
      <c r="X603" s="23" t="n"/>
      <c r="Y603" s="30">
        <f>IF($A603="","",COUNTIFS('Issues Log'!$C$5:$C$504,$A603,'Issues Log'!$K$5:$K$504,"Open")+COUNTIFS('Issues Log'!$C$5:$C$504,$A603,'Issues Log'!$K$5:$K$504,"In progress"))</f>
        <v/>
      </c>
      <c r="Z603" s="27" t="n"/>
    </row>
    <row r="604">
      <c r="A604" s="27" t="n"/>
      <c r="B604" s="27" t="n"/>
      <c r="C604" s="27" t="n"/>
      <c r="D604" s="28">
        <f>IF($C604="","",IFERROR(INDEX('Topic Plan'!$C$5:$C$115,MATCH($C604,'Topic Plan'!$B$5:$B$115,0)),"UNKNOWN TOPIC ID"))</f>
        <v/>
      </c>
      <c r="E604" s="28">
        <f>IF($C604="","",IFERROR(INDEX('Topic Plan'!$D$5:$D$115,MATCH($C604,'Topic Plan'!$B$5:$B$115,0)),""))</f>
        <v/>
      </c>
      <c r="F604" s="28">
        <f>IF($C604="","",IFERROR(INDEX('Topic Plan'!$E$5:$E$115,MATCH($C604,'Topic Plan'!$B$5:$B$115,0)),""))</f>
        <v/>
      </c>
      <c r="G604" s="23" t="n"/>
      <c r="H604" s="27" t="n"/>
      <c r="I604" s="27" t="n"/>
      <c r="J604" s="27" t="n"/>
      <c r="K604" s="27" t="n"/>
      <c r="L604" s="27" t="n"/>
      <c r="M604" s="27" t="n"/>
      <c r="N604" s="23" t="n"/>
      <c r="O604" s="29" t="n"/>
      <c r="P604" s="29" t="n"/>
      <c r="Q604" s="29" t="n"/>
      <c r="R604" s="29" t="n"/>
      <c r="S604" s="29" t="n"/>
      <c r="T604" s="29" t="n"/>
      <c r="U604" s="29" t="n"/>
      <c r="V604" s="30">
        <f>IF(OR($A604="",$U604=""),"",IF($S604&lt;&gt;"",MAX(0,$S604-$U604),MAX(0,TODAY()-$U604)))</f>
        <v/>
      </c>
      <c r="W604" s="30">
        <f>IF($A604="","",IF(OR($N604="Live",$N604="Retired"),"",TODAY()-MAX($O604,$P604,$Q604,$R604)))</f>
        <v/>
      </c>
      <c r="X604" s="23" t="n"/>
      <c r="Y604" s="30">
        <f>IF($A604="","",COUNTIFS('Issues Log'!$C$5:$C$504,$A604,'Issues Log'!$K$5:$K$504,"Open")+COUNTIFS('Issues Log'!$C$5:$C$504,$A604,'Issues Log'!$K$5:$K$504,"In progress"))</f>
        <v/>
      </c>
      <c r="Z604" s="27" t="n"/>
    </row>
    <row r="605">
      <c r="A605" s="27" t="n"/>
      <c r="B605" s="27" t="n"/>
      <c r="C605" s="27" t="n"/>
      <c r="D605" s="28">
        <f>IF($C605="","",IFERROR(INDEX('Topic Plan'!$C$5:$C$115,MATCH($C605,'Topic Plan'!$B$5:$B$115,0)),"UNKNOWN TOPIC ID"))</f>
        <v/>
      </c>
      <c r="E605" s="28">
        <f>IF($C605="","",IFERROR(INDEX('Topic Plan'!$D$5:$D$115,MATCH($C605,'Topic Plan'!$B$5:$B$115,0)),""))</f>
        <v/>
      </c>
      <c r="F605" s="28">
        <f>IF($C605="","",IFERROR(INDEX('Topic Plan'!$E$5:$E$115,MATCH($C605,'Topic Plan'!$B$5:$B$115,0)),""))</f>
        <v/>
      </c>
      <c r="G605" s="23" t="n"/>
      <c r="H605" s="27" t="n"/>
      <c r="I605" s="27" t="n"/>
      <c r="J605" s="27" t="n"/>
      <c r="K605" s="27" t="n"/>
      <c r="L605" s="27" t="n"/>
      <c r="M605" s="27" t="n"/>
      <c r="N605" s="23" t="n"/>
      <c r="O605" s="29" t="n"/>
      <c r="P605" s="29" t="n"/>
      <c r="Q605" s="29" t="n"/>
      <c r="R605" s="29" t="n"/>
      <c r="S605" s="29" t="n"/>
      <c r="T605" s="29" t="n"/>
      <c r="U605" s="29" t="n"/>
      <c r="V605" s="30">
        <f>IF(OR($A605="",$U605=""),"",IF($S605&lt;&gt;"",MAX(0,$S605-$U605),MAX(0,TODAY()-$U605)))</f>
        <v/>
      </c>
      <c r="W605" s="30">
        <f>IF($A605="","",IF(OR($N605="Live",$N605="Retired"),"",TODAY()-MAX($O605,$P605,$Q605,$R605)))</f>
        <v/>
      </c>
      <c r="X605" s="23" t="n"/>
      <c r="Y605" s="30">
        <f>IF($A605="","",COUNTIFS('Issues Log'!$C$5:$C$504,$A605,'Issues Log'!$K$5:$K$504,"Open")+COUNTIFS('Issues Log'!$C$5:$C$504,$A605,'Issues Log'!$K$5:$K$504,"In progress"))</f>
        <v/>
      </c>
      <c r="Z605" s="27" t="n"/>
    </row>
    <row r="606">
      <c r="A606" s="27" t="n"/>
      <c r="B606" s="27" t="n"/>
      <c r="C606" s="27" t="n"/>
      <c r="D606" s="28">
        <f>IF($C606="","",IFERROR(INDEX('Topic Plan'!$C$5:$C$115,MATCH($C606,'Topic Plan'!$B$5:$B$115,0)),"UNKNOWN TOPIC ID"))</f>
        <v/>
      </c>
      <c r="E606" s="28">
        <f>IF($C606="","",IFERROR(INDEX('Topic Plan'!$D$5:$D$115,MATCH($C606,'Topic Plan'!$B$5:$B$115,0)),""))</f>
        <v/>
      </c>
      <c r="F606" s="28">
        <f>IF($C606="","",IFERROR(INDEX('Topic Plan'!$E$5:$E$115,MATCH($C606,'Topic Plan'!$B$5:$B$115,0)),""))</f>
        <v/>
      </c>
      <c r="G606" s="23" t="n"/>
      <c r="H606" s="27" t="n"/>
      <c r="I606" s="27" t="n"/>
      <c r="J606" s="27" t="n"/>
      <c r="K606" s="27" t="n"/>
      <c r="L606" s="27" t="n"/>
      <c r="M606" s="27" t="n"/>
      <c r="N606" s="23" t="n"/>
      <c r="O606" s="29" t="n"/>
      <c r="P606" s="29" t="n"/>
      <c r="Q606" s="29" t="n"/>
      <c r="R606" s="29" t="n"/>
      <c r="S606" s="29" t="n"/>
      <c r="T606" s="29" t="n"/>
      <c r="U606" s="29" t="n"/>
      <c r="V606" s="30">
        <f>IF(OR($A606="",$U606=""),"",IF($S606&lt;&gt;"",MAX(0,$S606-$U606),MAX(0,TODAY()-$U606)))</f>
        <v/>
      </c>
      <c r="W606" s="30">
        <f>IF($A606="","",IF(OR($N606="Live",$N606="Retired"),"",TODAY()-MAX($O606,$P606,$Q606,$R606)))</f>
        <v/>
      </c>
      <c r="X606" s="23" t="n"/>
      <c r="Y606" s="30">
        <f>IF($A606="","",COUNTIFS('Issues Log'!$C$5:$C$504,$A606,'Issues Log'!$K$5:$K$504,"Open")+COUNTIFS('Issues Log'!$C$5:$C$504,$A606,'Issues Log'!$K$5:$K$504,"In progress"))</f>
        <v/>
      </c>
      <c r="Z606" s="27" t="n"/>
    </row>
    <row r="607">
      <c r="A607" s="27" t="n"/>
      <c r="B607" s="27" t="n"/>
      <c r="C607" s="27" t="n"/>
      <c r="D607" s="28">
        <f>IF($C607="","",IFERROR(INDEX('Topic Plan'!$C$5:$C$115,MATCH($C607,'Topic Plan'!$B$5:$B$115,0)),"UNKNOWN TOPIC ID"))</f>
        <v/>
      </c>
      <c r="E607" s="28">
        <f>IF($C607="","",IFERROR(INDEX('Topic Plan'!$D$5:$D$115,MATCH($C607,'Topic Plan'!$B$5:$B$115,0)),""))</f>
        <v/>
      </c>
      <c r="F607" s="28">
        <f>IF($C607="","",IFERROR(INDEX('Topic Plan'!$E$5:$E$115,MATCH($C607,'Topic Plan'!$B$5:$B$115,0)),""))</f>
        <v/>
      </c>
      <c r="G607" s="23" t="n"/>
      <c r="H607" s="27" t="n"/>
      <c r="I607" s="27" t="n"/>
      <c r="J607" s="27" t="n"/>
      <c r="K607" s="27" t="n"/>
      <c r="L607" s="27" t="n"/>
      <c r="M607" s="27" t="n"/>
      <c r="N607" s="23" t="n"/>
      <c r="O607" s="29" t="n"/>
      <c r="P607" s="29" t="n"/>
      <c r="Q607" s="29" t="n"/>
      <c r="R607" s="29" t="n"/>
      <c r="S607" s="29" t="n"/>
      <c r="T607" s="29" t="n"/>
      <c r="U607" s="29" t="n"/>
      <c r="V607" s="30">
        <f>IF(OR($A607="",$U607=""),"",IF($S607&lt;&gt;"",MAX(0,$S607-$U607),MAX(0,TODAY()-$U607)))</f>
        <v/>
      </c>
      <c r="W607" s="30">
        <f>IF($A607="","",IF(OR($N607="Live",$N607="Retired"),"",TODAY()-MAX($O607,$P607,$Q607,$R607)))</f>
        <v/>
      </c>
      <c r="X607" s="23" t="n"/>
      <c r="Y607" s="30">
        <f>IF($A607="","",COUNTIFS('Issues Log'!$C$5:$C$504,$A607,'Issues Log'!$K$5:$K$504,"Open")+COUNTIFS('Issues Log'!$C$5:$C$504,$A607,'Issues Log'!$K$5:$K$504,"In progress"))</f>
        <v/>
      </c>
      <c r="Z607" s="27" t="n"/>
    </row>
    <row r="608">
      <c r="A608" s="27" t="n"/>
      <c r="B608" s="27" t="n"/>
      <c r="C608" s="27" t="n"/>
      <c r="D608" s="28">
        <f>IF($C608="","",IFERROR(INDEX('Topic Plan'!$C$5:$C$115,MATCH($C608,'Topic Plan'!$B$5:$B$115,0)),"UNKNOWN TOPIC ID"))</f>
        <v/>
      </c>
      <c r="E608" s="28">
        <f>IF($C608="","",IFERROR(INDEX('Topic Plan'!$D$5:$D$115,MATCH($C608,'Topic Plan'!$B$5:$B$115,0)),""))</f>
        <v/>
      </c>
      <c r="F608" s="28">
        <f>IF($C608="","",IFERROR(INDEX('Topic Plan'!$E$5:$E$115,MATCH($C608,'Topic Plan'!$B$5:$B$115,0)),""))</f>
        <v/>
      </c>
      <c r="G608" s="23" t="n"/>
      <c r="H608" s="27" t="n"/>
      <c r="I608" s="27" t="n"/>
      <c r="J608" s="27" t="n"/>
      <c r="K608" s="27" t="n"/>
      <c r="L608" s="27" t="n"/>
      <c r="M608" s="27" t="n"/>
      <c r="N608" s="23" t="n"/>
      <c r="O608" s="29" t="n"/>
      <c r="P608" s="29" t="n"/>
      <c r="Q608" s="29" t="n"/>
      <c r="R608" s="29" t="n"/>
      <c r="S608" s="29" t="n"/>
      <c r="T608" s="29" t="n"/>
      <c r="U608" s="29" t="n"/>
      <c r="V608" s="30">
        <f>IF(OR($A608="",$U608=""),"",IF($S608&lt;&gt;"",MAX(0,$S608-$U608),MAX(0,TODAY()-$U608)))</f>
        <v/>
      </c>
      <c r="W608" s="30">
        <f>IF($A608="","",IF(OR($N608="Live",$N608="Retired"),"",TODAY()-MAX($O608,$P608,$Q608,$R608)))</f>
        <v/>
      </c>
      <c r="X608" s="23" t="n"/>
      <c r="Y608" s="30">
        <f>IF($A608="","",COUNTIFS('Issues Log'!$C$5:$C$504,$A608,'Issues Log'!$K$5:$K$504,"Open")+COUNTIFS('Issues Log'!$C$5:$C$504,$A608,'Issues Log'!$K$5:$K$504,"In progress"))</f>
        <v/>
      </c>
      <c r="Z608" s="27" t="n"/>
    </row>
    <row r="609">
      <c r="A609" s="27" t="n"/>
      <c r="B609" s="27" t="n"/>
      <c r="C609" s="27" t="n"/>
      <c r="D609" s="28">
        <f>IF($C609="","",IFERROR(INDEX('Topic Plan'!$C$5:$C$115,MATCH($C609,'Topic Plan'!$B$5:$B$115,0)),"UNKNOWN TOPIC ID"))</f>
        <v/>
      </c>
      <c r="E609" s="28">
        <f>IF($C609="","",IFERROR(INDEX('Topic Plan'!$D$5:$D$115,MATCH($C609,'Topic Plan'!$B$5:$B$115,0)),""))</f>
        <v/>
      </c>
      <c r="F609" s="28">
        <f>IF($C609="","",IFERROR(INDEX('Topic Plan'!$E$5:$E$115,MATCH($C609,'Topic Plan'!$B$5:$B$115,0)),""))</f>
        <v/>
      </c>
      <c r="G609" s="23" t="n"/>
      <c r="H609" s="27" t="n"/>
      <c r="I609" s="27" t="n"/>
      <c r="J609" s="27" t="n"/>
      <c r="K609" s="27" t="n"/>
      <c r="L609" s="27" t="n"/>
      <c r="M609" s="27" t="n"/>
      <c r="N609" s="23" t="n"/>
      <c r="O609" s="29" t="n"/>
      <c r="P609" s="29" t="n"/>
      <c r="Q609" s="29" t="n"/>
      <c r="R609" s="29" t="n"/>
      <c r="S609" s="29" t="n"/>
      <c r="T609" s="29" t="n"/>
      <c r="U609" s="29" t="n"/>
      <c r="V609" s="30">
        <f>IF(OR($A609="",$U609=""),"",IF($S609&lt;&gt;"",MAX(0,$S609-$U609),MAX(0,TODAY()-$U609)))</f>
        <v/>
      </c>
      <c r="W609" s="30">
        <f>IF($A609="","",IF(OR($N609="Live",$N609="Retired"),"",TODAY()-MAX($O609,$P609,$Q609,$R609)))</f>
        <v/>
      </c>
      <c r="X609" s="23" t="n"/>
      <c r="Y609" s="30">
        <f>IF($A609="","",COUNTIFS('Issues Log'!$C$5:$C$504,$A609,'Issues Log'!$K$5:$K$504,"Open")+COUNTIFS('Issues Log'!$C$5:$C$504,$A609,'Issues Log'!$K$5:$K$504,"In progress"))</f>
        <v/>
      </c>
      <c r="Z609" s="27" t="n"/>
    </row>
    <row r="610">
      <c r="A610" s="27" t="n"/>
      <c r="B610" s="27" t="n"/>
      <c r="C610" s="27" t="n"/>
      <c r="D610" s="28">
        <f>IF($C610="","",IFERROR(INDEX('Topic Plan'!$C$5:$C$115,MATCH($C610,'Topic Plan'!$B$5:$B$115,0)),"UNKNOWN TOPIC ID"))</f>
        <v/>
      </c>
      <c r="E610" s="28">
        <f>IF($C610="","",IFERROR(INDEX('Topic Plan'!$D$5:$D$115,MATCH($C610,'Topic Plan'!$B$5:$B$115,0)),""))</f>
        <v/>
      </c>
      <c r="F610" s="28">
        <f>IF($C610="","",IFERROR(INDEX('Topic Plan'!$E$5:$E$115,MATCH($C610,'Topic Plan'!$B$5:$B$115,0)),""))</f>
        <v/>
      </c>
      <c r="G610" s="23" t="n"/>
      <c r="H610" s="27" t="n"/>
      <c r="I610" s="27" t="n"/>
      <c r="J610" s="27" t="n"/>
      <c r="K610" s="27" t="n"/>
      <c r="L610" s="27" t="n"/>
      <c r="M610" s="27" t="n"/>
      <c r="N610" s="23" t="n"/>
      <c r="O610" s="29" t="n"/>
      <c r="P610" s="29" t="n"/>
      <c r="Q610" s="29" t="n"/>
      <c r="R610" s="29" t="n"/>
      <c r="S610" s="29" t="n"/>
      <c r="T610" s="29" t="n"/>
      <c r="U610" s="29" t="n"/>
      <c r="V610" s="30">
        <f>IF(OR($A610="",$U610=""),"",IF($S610&lt;&gt;"",MAX(0,$S610-$U610),MAX(0,TODAY()-$U610)))</f>
        <v/>
      </c>
      <c r="W610" s="30">
        <f>IF($A610="","",IF(OR($N610="Live",$N610="Retired"),"",TODAY()-MAX($O610,$P610,$Q610,$R610)))</f>
        <v/>
      </c>
      <c r="X610" s="23" t="n"/>
      <c r="Y610" s="30">
        <f>IF($A610="","",COUNTIFS('Issues Log'!$C$5:$C$504,$A610,'Issues Log'!$K$5:$K$504,"Open")+COUNTIFS('Issues Log'!$C$5:$C$504,$A610,'Issues Log'!$K$5:$K$504,"In progress"))</f>
        <v/>
      </c>
      <c r="Z610" s="27" t="n"/>
    </row>
    <row r="611">
      <c r="A611" s="27" t="n"/>
      <c r="B611" s="27" t="n"/>
      <c r="C611" s="27" t="n"/>
      <c r="D611" s="28">
        <f>IF($C611="","",IFERROR(INDEX('Topic Plan'!$C$5:$C$115,MATCH($C611,'Topic Plan'!$B$5:$B$115,0)),"UNKNOWN TOPIC ID"))</f>
        <v/>
      </c>
      <c r="E611" s="28">
        <f>IF($C611="","",IFERROR(INDEX('Topic Plan'!$D$5:$D$115,MATCH($C611,'Topic Plan'!$B$5:$B$115,0)),""))</f>
        <v/>
      </c>
      <c r="F611" s="28">
        <f>IF($C611="","",IFERROR(INDEX('Topic Plan'!$E$5:$E$115,MATCH($C611,'Topic Plan'!$B$5:$B$115,0)),""))</f>
        <v/>
      </c>
      <c r="G611" s="23" t="n"/>
      <c r="H611" s="27" t="n"/>
      <c r="I611" s="27" t="n"/>
      <c r="J611" s="27" t="n"/>
      <c r="K611" s="27" t="n"/>
      <c r="L611" s="27" t="n"/>
      <c r="M611" s="27" t="n"/>
      <c r="N611" s="23" t="n"/>
      <c r="O611" s="29" t="n"/>
      <c r="P611" s="29" t="n"/>
      <c r="Q611" s="29" t="n"/>
      <c r="R611" s="29" t="n"/>
      <c r="S611" s="29" t="n"/>
      <c r="T611" s="29" t="n"/>
      <c r="U611" s="29" t="n"/>
      <c r="V611" s="30">
        <f>IF(OR($A611="",$U611=""),"",IF($S611&lt;&gt;"",MAX(0,$S611-$U611),MAX(0,TODAY()-$U611)))</f>
        <v/>
      </c>
      <c r="W611" s="30">
        <f>IF($A611="","",IF(OR($N611="Live",$N611="Retired"),"",TODAY()-MAX($O611,$P611,$Q611,$R611)))</f>
        <v/>
      </c>
      <c r="X611" s="23" t="n"/>
      <c r="Y611" s="30">
        <f>IF($A611="","",COUNTIFS('Issues Log'!$C$5:$C$504,$A611,'Issues Log'!$K$5:$K$504,"Open")+COUNTIFS('Issues Log'!$C$5:$C$504,$A611,'Issues Log'!$K$5:$K$504,"In progress"))</f>
        <v/>
      </c>
      <c r="Z611" s="27" t="n"/>
    </row>
    <row r="612">
      <c r="A612" s="27" t="n"/>
      <c r="B612" s="27" t="n"/>
      <c r="C612" s="27" t="n"/>
      <c r="D612" s="28">
        <f>IF($C612="","",IFERROR(INDEX('Topic Plan'!$C$5:$C$115,MATCH($C612,'Topic Plan'!$B$5:$B$115,0)),"UNKNOWN TOPIC ID"))</f>
        <v/>
      </c>
      <c r="E612" s="28">
        <f>IF($C612="","",IFERROR(INDEX('Topic Plan'!$D$5:$D$115,MATCH($C612,'Topic Plan'!$B$5:$B$115,0)),""))</f>
        <v/>
      </c>
      <c r="F612" s="28">
        <f>IF($C612="","",IFERROR(INDEX('Topic Plan'!$E$5:$E$115,MATCH($C612,'Topic Plan'!$B$5:$B$115,0)),""))</f>
        <v/>
      </c>
      <c r="G612" s="23" t="n"/>
      <c r="H612" s="27" t="n"/>
      <c r="I612" s="27" t="n"/>
      <c r="J612" s="27" t="n"/>
      <c r="K612" s="27" t="n"/>
      <c r="L612" s="27" t="n"/>
      <c r="M612" s="27" t="n"/>
      <c r="N612" s="23" t="n"/>
      <c r="O612" s="29" t="n"/>
      <c r="P612" s="29" t="n"/>
      <c r="Q612" s="29" t="n"/>
      <c r="R612" s="29" t="n"/>
      <c r="S612" s="29" t="n"/>
      <c r="T612" s="29" t="n"/>
      <c r="U612" s="29" t="n"/>
      <c r="V612" s="30">
        <f>IF(OR($A612="",$U612=""),"",IF($S612&lt;&gt;"",MAX(0,$S612-$U612),MAX(0,TODAY()-$U612)))</f>
        <v/>
      </c>
      <c r="W612" s="30">
        <f>IF($A612="","",IF(OR($N612="Live",$N612="Retired"),"",TODAY()-MAX($O612,$P612,$Q612,$R612)))</f>
        <v/>
      </c>
      <c r="X612" s="23" t="n"/>
      <c r="Y612" s="30">
        <f>IF($A612="","",COUNTIFS('Issues Log'!$C$5:$C$504,$A612,'Issues Log'!$K$5:$K$504,"Open")+COUNTIFS('Issues Log'!$C$5:$C$504,$A612,'Issues Log'!$K$5:$K$504,"In progress"))</f>
        <v/>
      </c>
      <c r="Z612" s="27" t="n"/>
    </row>
    <row r="613">
      <c r="A613" s="27" t="n"/>
      <c r="B613" s="27" t="n"/>
      <c r="C613" s="27" t="n"/>
      <c r="D613" s="28">
        <f>IF($C613="","",IFERROR(INDEX('Topic Plan'!$C$5:$C$115,MATCH($C613,'Topic Plan'!$B$5:$B$115,0)),"UNKNOWN TOPIC ID"))</f>
        <v/>
      </c>
      <c r="E613" s="28">
        <f>IF($C613="","",IFERROR(INDEX('Topic Plan'!$D$5:$D$115,MATCH($C613,'Topic Plan'!$B$5:$B$115,0)),""))</f>
        <v/>
      </c>
      <c r="F613" s="28">
        <f>IF($C613="","",IFERROR(INDEX('Topic Plan'!$E$5:$E$115,MATCH($C613,'Topic Plan'!$B$5:$B$115,0)),""))</f>
        <v/>
      </c>
      <c r="G613" s="23" t="n"/>
      <c r="H613" s="27" t="n"/>
      <c r="I613" s="27" t="n"/>
      <c r="J613" s="27" t="n"/>
      <c r="K613" s="27" t="n"/>
      <c r="L613" s="27" t="n"/>
      <c r="M613" s="27" t="n"/>
      <c r="N613" s="23" t="n"/>
      <c r="O613" s="29" t="n"/>
      <c r="P613" s="29" t="n"/>
      <c r="Q613" s="29" t="n"/>
      <c r="R613" s="29" t="n"/>
      <c r="S613" s="29" t="n"/>
      <c r="T613" s="29" t="n"/>
      <c r="U613" s="29" t="n"/>
      <c r="V613" s="30">
        <f>IF(OR($A613="",$U613=""),"",IF($S613&lt;&gt;"",MAX(0,$S613-$U613),MAX(0,TODAY()-$U613)))</f>
        <v/>
      </c>
      <c r="W613" s="30">
        <f>IF($A613="","",IF(OR($N613="Live",$N613="Retired"),"",TODAY()-MAX($O613,$P613,$Q613,$R613)))</f>
        <v/>
      </c>
      <c r="X613" s="23" t="n"/>
      <c r="Y613" s="30">
        <f>IF($A613="","",COUNTIFS('Issues Log'!$C$5:$C$504,$A613,'Issues Log'!$K$5:$K$504,"Open")+COUNTIFS('Issues Log'!$C$5:$C$504,$A613,'Issues Log'!$K$5:$K$504,"In progress"))</f>
        <v/>
      </c>
      <c r="Z613" s="27" t="n"/>
    </row>
    <row r="614">
      <c r="A614" s="27" t="n"/>
      <c r="B614" s="27" t="n"/>
      <c r="C614" s="27" t="n"/>
      <c r="D614" s="28">
        <f>IF($C614="","",IFERROR(INDEX('Topic Plan'!$C$5:$C$115,MATCH($C614,'Topic Plan'!$B$5:$B$115,0)),"UNKNOWN TOPIC ID"))</f>
        <v/>
      </c>
      <c r="E614" s="28">
        <f>IF($C614="","",IFERROR(INDEX('Topic Plan'!$D$5:$D$115,MATCH($C614,'Topic Plan'!$B$5:$B$115,0)),""))</f>
        <v/>
      </c>
      <c r="F614" s="28">
        <f>IF($C614="","",IFERROR(INDEX('Topic Plan'!$E$5:$E$115,MATCH($C614,'Topic Plan'!$B$5:$B$115,0)),""))</f>
        <v/>
      </c>
      <c r="G614" s="23" t="n"/>
      <c r="H614" s="27" t="n"/>
      <c r="I614" s="27" t="n"/>
      <c r="J614" s="27" t="n"/>
      <c r="K614" s="27" t="n"/>
      <c r="L614" s="27" t="n"/>
      <c r="M614" s="27" t="n"/>
      <c r="N614" s="23" t="n"/>
      <c r="O614" s="29" t="n"/>
      <c r="P614" s="29" t="n"/>
      <c r="Q614" s="29" t="n"/>
      <c r="R614" s="29" t="n"/>
      <c r="S614" s="29" t="n"/>
      <c r="T614" s="29" t="n"/>
      <c r="U614" s="29" t="n"/>
      <c r="V614" s="30">
        <f>IF(OR($A614="",$U614=""),"",IF($S614&lt;&gt;"",MAX(0,$S614-$U614),MAX(0,TODAY()-$U614)))</f>
        <v/>
      </c>
      <c r="W614" s="30">
        <f>IF($A614="","",IF(OR($N614="Live",$N614="Retired"),"",TODAY()-MAX($O614,$P614,$Q614,$R614)))</f>
        <v/>
      </c>
      <c r="X614" s="23" t="n"/>
      <c r="Y614" s="30">
        <f>IF($A614="","",COUNTIFS('Issues Log'!$C$5:$C$504,$A614,'Issues Log'!$K$5:$K$504,"Open")+COUNTIFS('Issues Log'!$C$5:$C$504,$A614,'Issues Log'!$K$5:$K$504,"In progress"))</f>
        <v/>
      </c>
      <c r="Z614" s="27" t="n"/>
    </row>
    <row r="615">
      <c r="A615" s="27" t="n"/>
      <c r="B615" s="27" t="n"/>
      <c r="C615" s="27" t="n"/>
      <c r="D615" s="28">
        <f>IF($C615="","",IFERROR(INDEX('Topic Plan'!$C$5:$C$115,MATCH($C615,'Topic Plan'!$B$5:$B$115,0)),"UNKNOWN TOPIC ID"))</f>
        <v/>
      </c>
      <c r="E615" s="28">
        <f>IF($C615="","",IFERROR(INDEX('Topic Plan'!$D$5:$D$115,MATCH($C615,'Topic Plan'!$B$5:$B$115,0)),""))</f>
        <v/>
      </c>
      <c r="F615" s="28">
        <f>IF($C615="","",IFERROR(INDEX('Topic Plan'!$E$5:$E$115,MATCH($C615,'Topic Plan'!$B$5:$B$115,0)),""))</f>
        <v/>
      </c>
      <c r="G615" s="23" t="n"/>
      <c r="H615" s="27" t="n"/>
      <c r="I615" s="27" t="n"/>
      <c r="J615" s="27" t="n"/>
      <c r="K615" s="27" t="n"/>
      <c r="L615" s="27" t="n"/>
      <c r="M615" s="27" t="n"/>
      <c r="N615" s="23" t="n"/>
      <c r="O615" s="29" t="n"/>
      <c r="P615" s="29" t="n"/>
      <c r="Q615" s="29" t="n"/>
      <c r="R615" s="29" t="n"/>
      <c r="S615" s="29" t="n"/>
      <c r="T615" s="29" t="n"/>
      <c r="U615" s="29" t="n"/>
      <c r="V615" s="30">
        <f>IF(OR($A615="",$U615=""),"",IF($S615&lt;&gt;"",MAX(0,$S615-$U615),MAX(0,TODAY()-$U615)))</f>
        <v/>
      </c>
      <c r="W615" s="30">
        <f>IF($A615="","",IF(OR($N615="Live",$N615="Retired"),"",TODAY()-MAX($O615,$P615,$Q615,$R615)))</f>
        <v/>
      </c>
      <c r="X615" s="23" t="n"/>
      <c r="Y615" s="30">
        <f>IF($A615="","",COUNTIFS('Issues Log'!$C$5:$C$504,$A615,'Issues Log'!$K$5:$K$504,"Open")+COUNTIFS('Issues Log'!$C$5:$C$504,$A615,'Issues Log'!$K$5:$K$504,"In progress"))</f>
        <v/>
      </c>
      <c r="Z615" s="27" t="n"/>
    </row>
    <row r="616">
      <c r="A616" s="27" t="n"/>
      <c r="B616" s="27" t="n"/>
      <c r="C616" s="27" t="n"/>
      <c r="D616" s="28">
        <f>IF($C616="","",IFERROR(INDEX('Topic Plan'!$C$5:$C$115,MATCH($C616,'Topic Plan'!$B$5:$B$115,0)),"UNKNOWN TOPIC ID"))</f>
        <v/>
      </c>
      <c r="E616" s="28">
        <f>IF($C616="","",IFERROR(INDEX('Topic Plan'!$D$5:$D$115,MATCH($C616,'Topic Plan'!$B$5:$B$115,0)),""))</f>
        <v/>
      </c>
      <c r="F616" s="28">
        <f>IF($C616="","",IFERROR(INDEX('Topic Plan'!$E$5:$E$115,MATCH($C616,'Topic Plan'!$B$5:$B$115,0)),""))</f>
        <v/>
      </c>
      <c r="G616" s="23" t="n"/>
      <c r="H616" s="27" t="n"/>
      <c r="I616" s="27" t="n"/>
      <c r="J616" s="27" t="n"/>
      <c r="K616" s="27" t="n"/>
      <c r="L616" s="27" t="n"/>
      <c r="M616" s="27" t="n"/>
      <c r="N616" s="23" t="n"/>
      <c r="O616" s="29" t="n"/>
      <c r="P616" s="29" t="n"/>
      <c r="Q616" s="29" t="n"/>
      <c r="R616" s="29" t="n"/>
      <c r="S616" s="29" t="n"/>
      <c r="T616" s="29" t="n"/>
      <c r="U616" s="29" t="n"/>
      <c r="V616" s="30">
        <f>IF(OR($A616="",$U616=""),"",IF($S616&lt;&gt;"",MAX(0,$S616-$U616),MAX(0,TODAY()-$U616)))</f>
        <v/>
      </c>
      <c r="W616" s="30">
        <f>IF($A616="","",IF(OR($N616="Live",$N616="Retired"),"",TODAY()-MAX($O616,$P616,$Q616,$R616)))</f>
        <v/>
      </c>
      <c r="X616" s="23" t="n"/>
      <c r="Y616" s="30">
        <f>IF($A616="","",COUNTIFS('Issues Log'!$C$5:$C$504,$A616,'Issues Log'!$K$5:$K$504,"Open")+COUNTIFS('Issues Log'!$C$5:$C$504,$A616,'Issues Log'!$K$5:$K$504,"In progress"))</f>
        <v/>
      </c>
      <c r="Z616" s="27" t="n"/>
    </row>
    <row r="617">
      <c r="A617" s="27" t="n"/>
      <c r="B617" s="27" t="n"/>
      <c r="C617" s="27" t="n"/>
      <c r="D617" s="28">
        <f>IF($C617="","",IFERROR(INDEX('Topic Plan'!$C$5:$C$115,MATCH($C617,'Topic Plan'!$B$5:$B$115,0)),"UNKNOWN TOPIC ID"))</f>
        <v/>
      </c>
      <c r="E617" s="28">
        <f>IF($C617="","",IFERROR(INDEX('Topic Plan'!$D$5:$D$115,MATCH($C617,'Topic Plan'!$B$5:$B$115,0)),""))</f>
        <v/>
      </c>
      <c r="F617" s="28">
        <f>IF($C617="","",IFERROR(INDEX('Topic Plan'!$E$5:$E$115,MATCH($C617,'Topic Plan'!$B$5:$B$115,0)),""))</f>
        <v/>
      </c>
      <c r="G617" s="23" t="n"/>
      <c r="H617" s="27" t="n"/>
      <c r="I617" s="27" t="n"/>
      <c r="J617" s="27" t="n"/>
      <c r="K617" s="27" t="n"/>
      <c r="L617" s="27" t="n"/>
      <c r="M617" s="27" t="n"/>
      <c r="N617" s="23" t="n"/>
      <c r="O617" s="29" t="n"/>
      <c r="P617" s="29" t="n"/>
      <c r="Q617" s="29" t="n"/>
      <c r="R617" s="29" t="n"/>
      <c r="S617" s="29" t="n"/>
      <c r="T617" s="29" t="n"/>
      <c r="U617" s="29" t="n"/>
      <c r="V617" s="30">
        <f>IF(OR($A617="",$U617=""),"",IF($S617&lt;&gt;"",MAX(0,$S617-$U617),MAX(0,TODAY()-$U617)))</f>
        <v/>
      </c>
      <c r="W617" s="30">
        <f>IF($A617="","",IF(OR($N617="Live",$N617="Retired"),"",TODAY()-MAX($O617,$P617,$Q617,$R617)))</f>
        <v/>
      </c>
      <c r="X617" s="23" t="n"/>
      <c r="Y617" s="30">
        <f>IF($A617="","",COUNTIFS('Issues Log'!$C$5:$C$504,$A617,'Issues Log'!$K$5:$K$504,"Open")+COUNTIFS('Issues Log'!$C$5:$C$504,$A617,'Issues Log'!$K$5:$K$504,"In progress"))</f>
        <v/>
      </c>
      <c r="Z617" s="27" t="n"/>
    </row>
    <row r="618">
      <c r="A618" s="27" t="n"/>
      <c r="B618" s="27" t="n"/>
      <c r="C618" s="27" t="n"/>
      <c r="D618" s="28">
        <f>IF($C618="","",IFERROR(INDEX('Topic Plan'!$C$5:$C$115,MATCH($C618,'Topic Plan'!$B$5:$B$115,0)),"UNKNOWN TOPIC ID"))</f>
        <v/>
      </c>
      <c r="E618" s="28">
        <f>IF($C618="","",IFERROR(INDEX('Topic Plan'!$D$5:$D$115,MATCH($C618,'Topic Plan'!$B$5:$B$115,0)),""))</f>
        <v/>
      </c>
      <c r="F618" s="28">
        <f>IF($C618="","",IFERROR(INDEX('Topic Plan'!$E$5:$E$115,MATCH($C618,'Topic Plan'!$B$5:$B$115,0)),""))</f>
        <v/>
      </c>
      <c r="G618" s="23" t="n"/>
      <c r="H618" s="27" t="n"/>
      <c r="I618" s="27" t="n"/>
      <c r="J618" s="27" t="n"/>
      <c r="K618" s="27" t="n"/>
      <c r="L618" s="27" t="n"/>
      <c r="M618" s="27" t="n"/>
      <c r="N618" s="23" t="n"/>
      <c r="O618" s="29" t="n"/>
      <c r="P618" s="29" t="n"/>
      <c r="Q618" s="29" t="n"/>
      <c r="R618" s="29" t="n"/>
      <c r="S618" s="29" t="n"/>
      <c r="T618" s="29" t="n"/>
      <c r="U618" s="29" t="n"/>
      <c r="V618" s="30">
        <f>IF(OR($A618="",$U618=""),"",IF($S618&lt;&gt;"",MAX(0,$S618-$U618),MAX(0,TODAY()-$U618)))</f>
        <v/>
      </c>
      <c r="W618" s="30">
        <f>IF($A618="","",IF(OR($N618="Live",$N618="Retired"),"",TODAY()-MAX($O618,$P618,$Q618,$R618)))</f>
        <v/>
      </c>
      <c r="X618" s="23" t="n"/>
      <c r="Y618" s="30">
        <f>IF($A618="","",COUNTIFS('Issues Log'!$C$5:$C$504,$A618,'Issues Log'!$K$5:$K$504,"Open")+COUNTIFS('Issues Log'!$C$5:$C$504,$A618,'Issues Log'!$K$5:$K$504,"In progress"))</f>
        <v/>
      </c>
      <c r="Z618" s="27" t="n"/>
    </row>
    <row r="619">
      <c r="A619" s="27" t="n"/>
      <c r="B619" s="27" t="n"/>
      <c r="C619" s="27" t="n"/>
      <c r="D619" s="28">
        <f>IF($C619="","",IFERROR(INDEX('Topic Plan'!$C$5:$C$115,MATCH($C619,'Topic Plan'!$B$5:$B$115,0)),"UNKNOWN TOPIC ID"))</f>
        <v/>
      </c>
      <c r="E619" s="28">
        <f>IF($C619="","",IFERROR(INDEX('Topic Plan'!$D$5:$D$115,MATCH($C619,'Topic Plan'!$B$5:$B$115,0)),""))</f>
        <v/>
      </c>
      <c r="F619" s="28">
        <f>IF($C619="","",IFERROR(INDEX('Topic Plan'!$E$5:$E$115,MATCH($C619,'Topic Plan'!$B$5:$B$115,0)),""))</f>
        <v/>
      </c>
      <c r="G619" s="23" t="n"/>
      <c r="H619" s="27" t="n"/>
      <c r="I619" s="27" t="n"/>
      <c r="J619" s="27" t="n"/>
      <c r="K619" s="27" t="n"/>
      <c r="L619" s="27" t="n"/>
      <c r="M619" s="27" t="n"/>
      <c r="N619" s="23" t="n"/>
      <c r="O619" s="29" t="n"/>
      <c r="P619" s="29" t="n"/>
      <c r="Q619" s="29" t="n"/>
      <c r="R619" s="29" t="n"/>
      <c r="S619" s="29" t="n"/>
      <c r="T619" s="29" t="n"/>
      <c r="U619" s="29" t="n"/>
      <c r="V619" s="30">
        <f>IF(OR($A619="",$U619=""),"",IF($S619&lt;&gt;"",MAX(0,$S619-$U619),MAX(0,TODAY()-$U619)))</f>
        <v/>
      </c>
      <c r="W619" s="30">
        <f>IF($A619="","",IF(OR($N619="Live",$N619="Retired"),"",TODAY()-MAX($O619,$P619,$Q619,$R619)))</f>
        <v/>
      </c>
      <c r="X619" s="23" t="n"/>
      <c r="Y619" s="30">
        <f>IF($A619="","",COUNTIFS('Issues Log'!$C$5:$C$504,$A619,'Issues Log'!$K$5:$K$504,"Open")+COUNTIFS('Issues Log'!$C$5:$C$504,$A619,'Issues Log'!$K$5:$K$504,"In progress"))</f>
        <v/>
      </c>
      <c r="Z619" s="27" t="n"/>
    </row>
    <row r="620">
      <c r="A620" s="27" t="n"/>
      <c r="B620" s="27" t="n"/>
      <c r="C620" s="27" t="n"/>
      <c r="D620" s="28">
        <f>IF($C620="","",IFERROR(INDEX('Topic Plan'!$C$5:$C$115,MATCH($C620,'Topic Plan'!$B$5:$B$115,0)),"UNKNOWN TOPIC ID"))</f>
        <v/>
      </c>
      <c r="E620" s="28">
        <f>IF($C620="","",IFERROR(INDEX('Topic Plan'!$D$5:$D$115,MATCH($C620,'Topic Plan'!$B$5:$B$115,0)),""))</f>
        <v/>
      </c>
      <c r="F620" s="28">
        <f>IF($C620="","",IFERROR(INDEX('Topic Plan'!$E$5:$E$115,MATCH($C620,'Topic Plan'!$B$5:$B$115,0)),""))</f>
        <v/>
      </c>
      <c r="G620" s="23" t="n"/>
      <c r="H620" s="27" t="n"/>
      <c r="I620" s="27" t="n"/>
      <c r="J620" s="27" t="n"/>
      <c r="K620" s="27" t="n"/>
      <c r="L620" s="27" t="n"/>
      <c r="M620" s="27" t="n"/>
      <c r="N620" s="23" t="n"/>
      <c r="O620" s="29" t="n"/>
      <c r="P620" s="29" t="n"/>
      <c r="Q620" s="29" t="n"/>
      <c r="R620" s="29" t="n"/>
      <c r="S620" s="29" t="n"/>
      <c r="T620" s="29" t="n"/>
      <c r="U620" s="29" t="n"/>
      <c r="V620" s="30">
        <f>IF(OR($A620="",$U620=""),"",IF($S620&lt;&gt;"",MAX(0,$S620-$U620),MAX(0,TODAY()-$U620)))</f>
        <v/>
      </c>
      <c r="W620" s="30">
        <f>IF($A620="","",IF(OR($N620="Live",$N620="Retired"),"",TODAY()-MAX($O620,$P620,$Q620,$R620)))</f>
        <v/>
      </c>
      <c r="X620" s="23" t="n"/>
      <c r="Y620" s="30">
        <f>IF($A620="","",COUNTIFS('Issues Log'!$C$5:$C$504,$A620,'Issues Log'!$K$5:$K$504,"Open")+COUNTIFS('Issues Log'!$C$5:$C$504,$A620,'Issues Log'!$K$5:$K$504,"In progress"))</f>
        <v/>
      </c>
      <c r="Z620" s="27" t="n"/>
    </row>
    <row r="621">
      <c r="A621" s="27" t="n"/>
      <c r="B621" s="27" t="n"/>
      <c r="C621" s="27" t="n"/>
      <c r="D621" s="28">
        <f>IF($C621="","",IFERROR(INDEX('Topic Plan'!$C$5:$C$115,MATCH($C621,'Topic Plan'!$B$5:$B$115,0)),"UNKNOWN TOPIC ID"))</f>
        <v/>
      </c>
      <c r="E621" s="28">
        <f>IF($C621="","",IFERROR(INDEX('Topic Plan'!$D$5:$D$115,MATCH($C621,'Topic Plan'!$B$5:$B$115,0)),""))</f>
        <v/>
      </c>
      <c r="F621" s="28">
        <f>IF($C621="","",IFERROR(INDEX('Topic Plan'!$E$5:$E$115,MATCH($C621,'Topic Plan'!$B$5:$B$115,0)),""))</f>
        <v/>
      </c>
      <c r="G621" s="23" t="n"/>
      <c r="H621" s="27" t="n"/>
      <c r="I621" s="27" t="n"/>
      <c r="J621" s="27" t="n"/>
      <c r="K621" s="27" t="n"/>
      <c r="L621" s="27" t="n"/>
      <c r="M621" s="27" t="n"/>
      <c r="N621" s="23" t="n"/>
      <c r="O621" s="29" t="n"/>
      <c r="P621" s="29" t="n"/>
      <c r="Q621" s="29" t="n"/>
      <c r="R621" s="29" t="n"/>
      <c r="S621" s="29" t="n"/>
      <c r="T621" s="29" t="n"/>
      <c r="U621" s="29" t="n"/>
      <c r="V621" s="30">
        <f>IF(OR($A621="",$U621=""),"",IF($S621&lt;&gt;"",MAX(0,$S621-$U621),MAX(0,TODAY()-$U621)))</f>
        <v/>
      </c>
      <c r="W621" s="30">
        <f>IF($A621="","",IF(OR($N621="Live",$N621="Retired"),"",TODAY()-MAX($O621,$P621,$Q621,$R621)))</f>
        <v/>
      </c>
      <c r="X621" s="23" t="n"/>
      <c r="Y621" s="30">
        <f>IF($A621="","",COUNTIFS('Issues Log'!$C$5:$C$504,$A621,'Issues Log'!$K$5:$K$504,"Open")+COUNTIFS('Issues Log'!$C$5:$C$504,$A621,'Issues Log'!$K$5:$K$504,"In progress"))</f>
        <v/>
      </c>
      <c r="Z621" s="27" t="n"/>
    </row>
    <row r="622">
      <c r="A622" s="27" t="n"/>
      <c r="B622" s="27" t="n"/>
      <c r="C622" s="27" t="n"/>
      <c r="D622" s="28">
        <f>IF($C622="","",IFERROR(INDEX('Topic Plan'!$C$5:$C$115,MATCH($C622,'Topic Plan'!$B$5:$B$115,0)),"UNKNOWN TOPIC ID"))</f>
        <v/>
      </c>
      <c r="E622" s="28">
        <f>IF($C622="","",IFERROR(INDEX('Topic Plan'!$D$5:$D$115,MATCH($C622,'Topic Plan'!$B$5:$B$115,0)),""))</f>
        <v/>
      </c>
      <c r="F622" s="28">
        <f>IF($C622="","",IFERROR(INDEX('Topic Plan'!$E$5:$E$115,MATCH($C622,'Topic Plan'!$B$5:$B$115,0)),""))</f>
        <v/>
      </c>
      <c r="G622" s="23" t="n"/>
      <c r="H622" s="27" t="n"/>
      <c r="I622" s="27" t="n"/>
      <c r="J622" s="27" t="n"/>
      <c r="K622" s="27" t="n"/>
      <c r="L622" s="27" t="n"/>
      <c r="M622" s="27" t="n"/>
      <c r="N622" s="23" t="n"/>
      <c r="O622" s="29" t="n"/>
      <c r="P622" s="29" t="n"/>
      <c r="Q622" s="29" t="n"/>
      <c r="R622" s="29" t="n"/>
      <c r="S622" s="29" t="n"/>
      <c r="T622" s="29" t="n"/>
      <c r="U622" s="29" t="n"/>
      <c r="V622" s="30">
        <f>IF(OR($A622="",$U622=""),"",IF($S622&lt;&gt;"",MAX(0,$S622-$U622),MAX(0,TODAY()-$U622)))</f>
        <v/>
      </c>
      <c r="W622" s="30">
        <f>IF($A622="","",IF(OR($N622="Live",$N622="Retired"),"",TODAY()-MAX($O622,$P622,$Q622,$R622)))</f>
        <v/>
      </c>
      <c r="X622" s="23" t="n"/>
      <c r="Y622" s="30">
        <f>IF($A622="","",COUNTIFS('Issues Log'!$C$5:$C$504,$A622,'Issues Log'!$K$5:$K$504,"Open")+COUNTIFS('Issues Log'!$C$5:$C$504,$A622,'Issues Log'!$K$5:$K$504,"In progress"))</f>
        <v/>
      </c>
      <c r="Z622" s="27" t="n"/>
    </row>
    <row r="623">
      <c r="A623" s="27" t="n"/>
      <c r="B623" s="27" t="n"/>
      <c r="C623" s="27" t="n"/>
      <c r="D623" s="28">
        <f>IF($C623="","",IFERROR(INDEX('Topic Plan'!$C$5:$C$115,MATCH($C623,'Topic Plan'!$B$5:$B$115,0)),"UNKNOWN TOPIC ID"))</f>
        <v/>
      </c>
      <c r="E623" s="28">
        <f>IF($C623="","",IFERROR(INDEX('Topic Plan'!$D$5:$D$115,MATCH($C623,'Topic Plan'!$B$5:$B$115,0)),""))</f>
        <v/>
      </c>
      <c r="F623" s="28">
        <f>IF($C623="","",IFERROR(INDEX('Topic Plan'!$E$5:$E$115,MATCH($C623,'Topic Plan'!$B$5:$B$115,0)),""))</f>
        <v/>
      </c>
      <c r="G623" s="23" t="n"/>
      <c r="H623" s="27" t="n"/>
      <c r="I623" s="27" t="n"/>
      <c r="J623" s="27" t="n"/>
      <c r="K623" s="27" t="n"/>
      <c r="L623" s="27" t="n"/>
      <c r="M623" s="27" t="n"/>
      <c r="N623" s="23" t="n"/>
      <c r="O623" s="29" t="n"/>
      <c r="P623" s="29" t="n"/>
      <c r="Q623" s="29" t="n"/>
      <c r="R623" s="29" t="n"/>
      <c r="S623" s="29" t="n"/>
      <c r="T623" s="29" t="n"/>
      <c r="U623" s="29" t="n"/>
      <c r="V623" s="30">
        <f>IF(OR($A623="",$U623=""),"",IF($S623&lt;&gt;"",MAX(0,$S623-$U623),MAX(0,TODAY()-$U623)))</f>
        <v/>
      </c>
      <c r="W623" s="30">
        <f>IF($A623="","",IF(OR($N623="Live",$N623="Retired"),"",TODAY()-MAX($O623,$P623,$Q623,$R623)))</f>
        <v/>
      </c>
      <c r="X623" s="23" t="n"/>
      <c r="Y623" s="30">
        <f>IF($A623="","",COUNTIFS('Issues Log'!$C$5:$C$504,$A623,'Issues Log'!$K$5:$K$504,"Open")+COUNTIFS('Issues Log'!$C$5:$C$504,$A623,'Issues Log'!$K$5:$K$504,"In progress"))</f>
        <v/>
      </c>
      <c r="Z623" s="27" t="n"/>
    </row>
    <row r="624">
      <c r="A624" s="27" t="n"/>
      <c r="B624" s="27" t="n"/>
      <c r="C624" s="27" t="n"/>
      <c r="D624" s="28">
        <f>IF($C624="","",IFERROR(INDEX('Topic Plan'!$C$5:$C$115,MATCH($C624,'Topic Plan'!$B$5:$B$115,0)),"UNKNOWN TOPIC ID"))</f>
        <v/>
      </c>
      <c r="E624" s="28">
        <f>IF($C624="","",IFERROR(INDEX('Topic Plan'!$D$5:$D$115,MATCH($C624,'Topic Plan'!$B$5:$B$115,0)),""))</f>
        <v/>
      </c>
      <c r="F624" s="28">
        <f>IF($C624="","",IFERROR(INDEX('Topic Plan'!$E$5:$E$115,MATCH($C624,'Topic Plan'!$B$5:$B$115,0)),""))</f>
        <v/>
      </c>
      <c r="G624" s="23" t="n"/>
      <c r="H624" s="27" t="n"/>
      <c r="I624" s="27" t="n"/>
      <c r="J624" s="27" t="n"/>
      <c r="K624" s="27" t="n"/>
      <c r="L624" s="27" t="n"/>
      <c r="M624" s="27" t="n"/>
      <c r="N624" s="23" t="n"/>
      <c r="O624" s="29" t="n"/>
      <c r="P624" s="29" t="n"/>
      <c r="Q624" s="29" t="n"/>
      <c r="R624" s="29" t="n"/>
      <c r="S624" s="29" t="n"/>
      <c r="T624" s="29" t="n"/>
      <c r="U624" s="29" t="n"/>
      <c r="V624" s="30">
        <f>IF(OR($A624="",$U624=""),"",IF($S624&lt;&gt;"",MAX(0,$S624-$U624),MAX(0,TODAY()-$U624)))</f>
        <v/>
      </c>
      <c r="W624" s="30">
        <f>IF($A624="","",IF(OR($N624="Live",$N624="Retired"),"",TODAY()-MAX($O624,$P624,$Q624,$R624)))</f>
        <v/>
      </c>
      <c r="X624" s="23" t="n"/>
      <c r="Y624" s="30">
        <f>IF($A624="","",COUNTIFS('Issues Log'!$C$5:$C$504,$A624,'Issues Log'!$K$5:$K$504,"Open")+COUNTIFS('Issues Log'!$C$5:$C$504,$A624,'Issues Log'!$K$5:$K$504,"In progress"))</f>
        <v/>
      </c>
      <c r="Z624" s="27" t="n"/>
    </row>
    <row r="625">
      <c r="A625" s="27" t="n"/>
      <c r="B625" s="27" t="n"/>
      <c r="C625" s="27" t="n"/>
      <c r="D625" s="28">
        <f>IF($C625="","",IFERROR(INDEX('Topic Plan'!$C$5:$C$115,MATCH($C625,'Topic Plan'!$B$5:$B$115,0)),"UNKNOWN TOPIC ID"))</f>
        <v/>
      </c>
      <c r="E625" s="28">
        <f>IF($C625="","",IFERROR(INDEX('Topic Plan'!$D$5:$D$115,MATCH($C625,'Topic Plan'!$B$5:$B$115,0)),""))</f>
        <v/>
      </c>
      <c r="F625" s="28">
        <f>IF($C625="","",IFERROR(INDEX('Topic Plan'!$E$5:$E$115,MATCH($C625,'Topic Plan'!$B$5:$B$115,0)),""))</f>
        <v/>
      </c>
      <c r="G625" s="23" t="n"/>
      <c r="H625" s="27" t="n"/>
      <c r="I625" s="27" t="n"/>
      <c r="J625" s="27" t="n"/>
      <c r="K625" s="27" t="n"/>
      <c r="L625" s="27" t="n"/>
      <c r="M625" s="27" t="n"/>
      <c r="N625" s="23" t="n"/>
      <c r="O625" s="29" t="n"/>
      <c r="P625" s="29" t="n"/>
      <c r="Q625" s="29" t="n"/>
      <c r="R625" s="29" t="n"/>
      <c r="S625" s="29" t="n"/>
      <c r="T625" s="29" t="n"/>
      <c r="U625" s="29" t="n"/>
      <c r="V625" s="30">
        <f>IF(OR($A625="",$U625=""),"",IF($S625&lt;&gt;"",MAX(0,$S625-$U625),MAX(0,TODAY()-$U625)))</f>
        <v/>
      </c>
      <c r="W625" s="30">
        <f>IF($A625="","",IF(OR($N625="Live",$N625="Retired"),"",TODAY()-MAX($O625,$P625,$Q625,$R625)))</f>
        <v/>
      </c>
      <c r="X625" s="23" t="n"/>
      <c r="Y625" s="30">
        <f>IF($A625="","",COUNTIFS('Issues Log'!$C$5:$C$504,$A625,'Issues Log'!$K$5:$K$504,"Open")+COUNTIFS('Issues Log'!$C$5:$C$504,$A625,'Issues Log'!$K$5:$K$504,"In progress"))</f>
        <v/>
      </c>
      <c r="Z625" s="27" t="n"/>
    </row>
    <row r="626">
      <c r="A626" s="27" t="n"/>
      <c r="B626" s="27" t="n"/>
      <c r="C626" s="27" t="n"/>
      <c r="D626" s="28">
        <f>IF($C626="","",IFERROR(INDEX('Topic Plan'!$C$5:$C$115,MATCH($C626,'Topic Plan'!$B$5:$B$115,0)),"UNKNOWN TOPIC ID"))</f>
        <v/>
      </c>
      <c r="E626" s="28">
        <f>IF($C626="","",IFERROR(INDEX('Topic Plan'!$D$5:$D$115,MATCH($C626,'Topic Plan'!$B$5:$B$115,0)),""))</f>
        <v/>
      </c>
      <c r="F626" s="28">
        <f>IF($C626="","",IFERROR(INDEX('Topic Plan'!$E$5:$E$115,MATCH($C626,'Topic Plan'!$B$5:$B$115,0)),""))</f>
        <v/>
      </c>
      <c r="G626" s="23" t="n"/>
      <c r="H626" s="27" t="n"/>
      <c r="I626" s="27" t="n"/>
      <c r="J626" s="27" t="n"/>
      <c r="K626" s="27" t="n"/>
      <c r="L626" s="27" t="n"/>
      <c r="M626" s="27" t="n"/>
      <c r="N626" s="23" t="n"/>
      <c r="O626" s="29" t="n"/>
      <c r="P626" s="29" t="n"/>
      <c r="Q626" s="29" t="n"/>
      <c r="R626" s="29" t="n"/>
      <c r="S626" s="29" t="n"/>
      <c r="T626" s="29" t="n"/>
      <c r="U626" s="29" t="n"/>
      <c r="V626" s="30">
        <f>IF(OR($A626="",$U626=""),"",IF($S626&lt;&gt;"",MAX(0,$S626-$U626),MAX(0,TODAY()-$U626)))</f>
        <v/>
      </c>
      <c r="W626" s="30">
        <f>IF($A626="","",IF(OR($N626="Live",$N626="Retired"),"",TODAY()-MAX($O626,$P626,$Q626,$R626)))</f>
        <v/>
      </c>
      <c r="X626" s="23" t="n"/>
      <c r="Y626" s="30">
        <f>IF($A626="","",COUNTIFS('Issues Log'!$C$5:$C$504,$A626,'Issues Log'!$K$5:$K$504,"Open")+COUNTIFS('Issues Log'!$C$5:$C$504,$A626,'Issues Log'!$K$5:$K$504,"In progress"))</f>
        <v/>
      </c>
      <c r="Z626" s="27" t="n"/>
    </row>
    <row r="627">
      <c r="A627" s="27" t="n"/>
      <c r="B627" s="27" t="n"/>
      <c r="C627" s="27" t="n"/>
      <c r="D627" s="28">
        <f>IF($C627="","",IFERROR(INDEX('Topic Plan'!$C$5:$C$115,MATCH($C627,'Topic Plan'!$B$5:$B$115,0)),"UNKNOWN TOPIC ID"))</f>
        <v/>
      </c>
      <c r="E627" s="28">
        <f>IF($C627="","",IFERROR(INDEX('Topic Plan'!$D$5:$D$115,MATCH($C627,'Topic Plan'!$B$5:$B$115,0)),""))</f>
        <v/>
      </c>
      <c r="F627" s="28">
        <f>IF($C627="","",IFERROR(INDEX('Topic Plan'!$E$5:$E$115,MATCH($C627,'Topic Plan'!$B$5:$B$115,0)),""))</f>
        <v/>
      </c>
      <c r="G627" s="23" t="n"/>
      <c r="H627" s="27" t="n"/>
      <c r="I627" s="27" t="n"/>
      <c r="J627" s="27" t="n"/>
      <c r="K627" s="27" t="n"/>
      <c r="L627" s="27" t="n"/>
      <c r="M627" s="27" t="n"/>
      <c r="N627" s="23" t="n"/>
      <c r="O627" s="29" t="n"/>
      <c r="P627" s="29" t="n"/>
      <c r="Q627" s="29" t="n"/>
      <c r="R627" s="29" t="n"/>
      <c r="S627" s="29" t="n"/>
      <c r="T627" s="29" t="n"/>
      <c r="U627" s="29" t="n"/>
      <c r="V627" s="30">
        <f>IF(OR($A627="",$U627=""),"",IF($S627&lt;&gt;"",MAX(0,$S627-$U627),MAX(0,TODAY()-$U627)))</f>
        <v/>
      </c>
      <c r="W627" s="30">
        <f>IF($A627="","",IF(OR($N627="Live",$N627="Retired"),"",TODAY()-MAX($O627,$P627,$Q627,$R627)))</f>
        <v/>
      </c>
      <c r="X627" s="23" t="n"/>
      <c r="Y627" s="30">
        <f>IF($A627="","",COUNTIFS('Issues Log'!$C$5:$C$504,$A627,'Issues Log'!$K$5:$K$504,"Open")+COUNTIFS('Issues Log'!$C$5:$C$504,$A627,'Issues Log'!$K$5:$K$504,"In progress"))</f>
        <v/>
      </c>
      <c r="Z627" s="27" t="n"/>
    </row>
    <row r="628">
      <c r="A628" s="27" t="n"/>
      <c r="B628" s="27" t="n"/>
      <c r="C628" s="27" t="n"/>
      <c r="D628" s="28">
        <f>IF($C628="","",IFERROR(INDEX('Topic Plan'!$C$5:$C$115,MATCH($C628,'Topic Plan'!$B$5:$B$115,0)),"UNKNOWN TOPIC ID"))</f>
        <v/>
      </c>
      <c r="E628" s="28">
        <f>IF($C628="","",IFERROR(INDEX('Topic Plan'!$D$5:$D$115,MATCH($C628,'Topic Plan'!$B$5:$B$115,0)),""))</f>
        <v/>
      </c>
      <c r="F628" s="28">
        <f>IF($C628="","",IFERROR(INDEX('Topic Plan'!$E$5:$E$115,MATCH($C628,'Topic Plan'!$B$5:$B$115,0)),""))</f>
        <v/>
      </c>
      <c r="G628" s="23" t="n"/>
      <c r="H628" s="27" t="n"/>
      <c r="I628" s="27" t="n"/>
      <c r="J628" s="27" t="n"/>
      <c r="K628" s="27" t="n"/>
      <c r="L628" s="27" t="n"/>
      <c r="M628" s="27" t="n"/>
      <c r="N628" s="23" t="n"/>
      <c r="O628" s="29" t="n"/>
      <c r="P628" s="29" t="n"/>
      <c r="Q628" s="29" t="n"/>
      <c r="R628" s="29" t="n"/>
      <c r="S628" s="29" t="n"/>
      <c r="T628" s="29" t="n"/>
      <c r="U628" s="29" t="n"/>
      <c r="V628" s="30">
        <f>IF(OR($A628="",$U628=""),"",IF($S628&lt;&gt;"",MAX(0,$S628-$U628),MAX(0,TODAY()-$U628)))</f>
        <v/>
      </c>
      <c r="W628" s="30">
        <f>IF($A628="","",IF(OR($N628="Live",$N628="Retired"),"",TODAY()-MAX($O628,$P628,$Q628,$R628)))</f>
        <v/>
      </c>
      <c r="X628" s="23" t="n"/>
      <c r="Y628" s="30">
        <f>IF($A628="","",COUNTIFS('Issues Log'!$C$5:$C$504,$A628,'Issues Log'!$K$5:$K$504,"Open")+COUNTIFS('Issues Log'!$C$5:$C$504,$A628,'Issues Log'!$K$5:$K$504,"In progress"))</f>
        <v/>
      </c>
      <c r="Z628" s="27" t="n"/>
    </row>
    <row r="629">
      <c r="A629" s="27" t="n"/>
      <c r="B629" s="27" t="n"/>
      <c r="C629" s="27" t="n"/>
      <c r="D629" s="28">
        <f>IF($C629="","",IFERROR(INDEX('Topic Plan'!$C$5:$C$115,MATCH($C629,'Topic Plan'!$B$5:$B$115,0)),"UNKNOWN TOPIC ID"))</f>
        <v/>
      </c>
      <c r="E629" s="28">
        <f>IF($C629="","",IFERROR(INDEX('Topic Plan'!$D$5:$D$115,MATCH($C629,'Topic Plan'!$B$5:$B$115,0)),""))</f>
        <v/>
      </c>
      <c r="F629" s="28">
        <f>IF($C629="","",IFERROR(INDEX('Topic Plan'!$E$5:$E$115,MATCH($C629,'Topic Plan'!$B$5:$B$115,0)),""))</f>
        <v/>
      </c>
      <c r="G629" s="23" t="n"/>
      <c r="H629" s="27" t="n"/>
      <c r="I629" s="27" t="n"/>
      <c r="J629" s="27" t="n"/>
      <c r="K629" s="27" t="n"/>
      <c r="L629" s="27" t="n"/>
      <c r="M629" s="27" t="n"/>
      <c r="N629" s="23" t="n"/>
      <c r="O629" s="29" t="n"/>
      <c r="P629" s="29" t="n"/>
      <c r="Q629" s="29" t="n"/>
      <c r="R629" s="29" t="n"/>
      <c r="S629" s="29" t="n"/>
      <c r="T629" s="29" t="n"/>
      <c r="U629" s="29" t="n"/>
      <c r="V629" s="30">
        <f>IF(OR($A629="",$U629=""),"",IF($S629&lt;&gt;"",MAX(0,$S629-$U629),MAX(0,TODAY()-$U629)))</f>
        <v/>
      </c>
      <c r="W629" s="30">
        <f>IF($A629="","",IF(OR($N629="Live",$N629="Retired"),"",TODAY()-MAX($O629,$P629,$Q629,$R629)))</f>
        <v/>
      </c>
      <c r="X629" s="23" t="n"/>
      <c r="Y629" s="30">
        <f>IF($A629="","",COUNTIFS('Issues Log'!$C$5:$C$504,$A629,'Issues Log'!$K$5:$K$504,"Open")+COUNTIFS('Issues Log'!$C$5:$C$504,$A629,'Issues Log'!$K$5:$K$504,"In progress"))</f>
        <v/>
      </c>
      <c r="Z629" s="27" t="n"/>
    </row>
    <row r="630">
      <c r="A630" s="27" t="n"/>
      <c r="B630" s="27" t="n"/>
      <c r="C630" s="27" t="n"/>
      <c r="D630" s="28">
        <f>IF($C630="","",IFERROR(INDEX('Topic Plan'!$C$5:$C$115,MATCH($C630,'Topic Plan'!$B$5:$B$115,0)),"UNKNOWN TOPIC ID"))</f>
        <v/>
      </c>
      <c r="E630" s="28">
        <f>IF($C630="","",IFERROR(INDEX('Topic Plan'!$D$5:$D$115,MATCH($C630,'Topic Plan'!$B$5:$B$115,0)),""))</f>
        <v/>
      </c>
      <c r="F630" s="28">
        <f>IF($C630="","",IFERROR(INDEX('Topic Plan'!$E$5:$E$115,MATCH($C630,'Topic Plan'!$B$5:$B$115,0)),""))</f>
        <v/>
      </c>
      <c r="G630" s="23" t="n"/>
      <c r="H630" s="27" t="n"/>
      <c r="I630" s="27" t="n"/>
      <c r="J630" s="27" t="n"/>
      <c r="K630" s="27" t="n"/>
      <c r="L630" s="27" t="n"/>
      <c r="M630" s="27" t="n"/>
      <c r="N630" s="23" t="n"/>
      <c r="O630" s="29" t="n"/>
      <c r="P630" s="29" t="n"/>
      <c r="Q630" s="29" t="n"/>
      <c r="R630" s="29" t="n"/>
      <c r="S630" s="29" t="n"/>
      <c r="T630" s="29" t="n"/>
      <c r="U630" s="29" t="n"/>
      <c r="V630" s="30">
        <f>IF(OR($A630="",$U630=""),"",IF($S630&lt;&gt;"",MAX(0,$S630-$U630),MAX(0,TODAY()-$U630)))</f>
        <v/>
      </c>
      <c r="W630" s="30">
        <f>IF($A630="","",IF(OR($N630="Live",$N630="Retired"),"",TODAY()-MAX($O630,$P630,$Q630,$R630)))</f>
        <v/>
      </c>
      <c r="X630" s="23" t="n"/>
      <c r="Y630" s="30">
        <f>IF($A630="","",COUNTIFS('Issues Log'!$C$5:$C$504,$A630,'Issues Log'!$K$5:$K$504,"Open")+COUNTIFS('Issues Log'!$C$5:$C$504,$A630,'Issues Log'!$K$5:$K$504,"In progress"))</f>
        <v/>
      </c>
      <c r="Z630" s="27" t="n"/>
    </row>
    <row r="631">
      <c r="A631" s="27" t="n"/>
      <c r="B631" s="27" t="n"/>
      <c r="C631" s="27" t="n"/>
      <c r="D631" s="28">
        <f>IF($C631="","",IFERROR(INDEX('Topic Plan'!$C$5:$C$115,MATCH($C631,'Topic Plan'!$B$5:$B$115,0)),"UNKNOWN TOPIC ID"))</f>
        <v/>
      </c>
      <c r="E631" s="28">
        <f>IF($C631="","",IFERROR(INDEX('Topic Plan'!$D$5:$D$115,MATCH($C631,'Topic Plan'!$B$5:$B$115,0)),""))</f>
        <v/>
      </c>
      <c r="F631" s="28">
        <f>IF($C631="","",IFERROR(INDEX('Topic Plan'!$E$5:$E$115,MATCH($C631,'Topic Plan'!$B$5:$B$115,0)),""))</f>
        <v/>
      </c>
      <c r="G631" s="23" t="n"/>
      <c r="H631" s="27" t="n"/>
      <c r="I631" s="27" t="n"/>
      <c r="J631" s="27" t="n"/>
      <c r="K631" s="27" t="n"/>
      <c r="L631" s="27" t="n"/>
      <c r="M631" s="27" t="n"/>
      <c r="N631" s="23" t="n"/>
      <c r="O631" s="29" t="n"/>
      <c r="P631" s="29" t="n"/>
      <c r="Q631" s="29" t="n"/>
      <c r="R631" s="29" t="n"/>
      <c r="S631" s="29" t="n"/>
      <c r="T631" s="29" t="n"/>
      <c r="U631" s="29" t="n"/>
      <c r="V631" s="30">
        <f>IF(OR($A631="",$U631=""),"",IF($S631&lt;&gt;"",MAX(0,$S631-$U631),MAX(0,TODAY()-$U631)))</f>
        <v/>
      </c>
      <c r="W631" s="30">
        <f>IF($A631="","",IF(OR($N631="Live",$N631="Retired"),"",TODAY()-MAX($O631,$P631,$Q631,$R631)))</f>
        <v/>
      </c>
      <c r="X631" s="23" t="n"/>
      <c r="Y631" s="30">
        <f>IF($A631="","",COUNTIFS('Issues Log'!$C$5:$C$504,$A631,'Issues Log'!$K$5:$K$504,"Open")+COUNTIFS('Issues Log'!$C$5:$C$504,$A631,'Issues Log'!$K$5:$K$504,"In progress"))</f>
        <v/>
      </c>
      <c r="Z631" s="27" t="n"/>
    </row>
    <row r="632">
      <c r="A632" s="27" t="n"/>
      <c r="B632" s="27" t="n"/>
      <c r="C632" s="27" t="n"/>
      <c r="D632" s="28">
        <f>IF($C632="","",IFERROR(INDEX('Topic Plan'!$C$5:$C$115,MATCH($C632,'Topic Plan'!$B$5:$B$115,0)),"UNKNOWN TOPIC ID"))</f>
        <v/>
      </c>
      <c r="E632" s="28">
        <f>IF($C632="","",IFERROR(INDEX('Topic Plan'!$D$5:$D$115,MATCH($C632,'Topic Plan'!$B$5:$B$115,0)),""))</f>
        <v/>
      </c>
      <c r="F632" s="28">
        <f>IF($C632="","",IFERROR(INDEX('Topic Plan'!$E$5:$E$115,MATCH($C632,'Topic Plan'!$B$5:$B$115,0)),""))</f>
        <v/>
      </c>
      <c r="G632" s="23" t="n"/>
      <c r="H632" s="27" t="n"/>
      <c r="I632" s="27" t="n"/>
      <c r="J632" s="27" t="n"/>
      <c r="K632" s="27" t="n"/>
      <c r="L632" s="27" t="n"/>
      <c r="M632" s="27" t="n"/>
      <c r="N632" s="23" t="n"/>
      <c r="O632" s="29" t="n"/>
      <c r="P632" s="29" t="n"/>
      <c r="Q632" s="29" t="n"/>
      <c r="R632" s="29" t="n"/>
      <c r="S632" s="29" t="n"/>
      <c r="T632" s="29" t="n"/>
      <c r="U632" s="29" t="n"/>
      <c r="V632" s="30">
        <f>IF(OR($A632="",$U632=""),"",IF($S632&lt;&gt;"",MAX(0,$S632-$U632),MAX(0,TODAY()-$U632)))</f>
        <v/>
      </c>
      <c r="W632" s="30">
        <f>IF($A632="","",IF(OR($N632="Live",$N632="Retired"),"",TODAY()-MAX($O632,$P632,$Q632,$R632)))</f>
        <v/>
      </c>
      <c r="X632" s="23" t="n"/>
      <c r="Y632" s="30">
        <f>IF($A632="","",COUNTIFS('Issues Log'!$C$5:$C$504,$A632,'Issues Log'!$K$5:$K$504,"Open")+COUNTIFS('Issues Log'!$C$5:$C$504,$A632,'Issues Log'!$K$5:$K$504,"In progress"))</f>
        <v/>
      </c>
      <c r="Z632" s="27" t="n"/>
    </row>
    <row r="633">
      <c r="A633" s="27" t="n"/>
      <c r="B633" s="27" t="n"/>
      <c r="C633" s="27" t="n"/>
      <c r="D633" s="28">
        <f>IF($C633="","",IFERROR(INDEX('Topic Plan'!$C$5:$C$115,MATCH($C633,'Topic Plan'!$B$5:$B$115,0)),"UNKNOWN TOPIC ID"))</f>
        <v/>
      </c>
      <c r="E633" s="28">
        <f>IF($C633="","",IFERROR(INDEX('Topic Plan'!$D$5:$D$115,MATCH($C633,'Topic Plan'!$B$5:$B$115,0)),""))</f>
        <v/>
      </c>
      <c r="F633" s="28">
        <f>IF($C633="","",IFERROR(INDEX('Topic Plan'!$E$5:$E$115,MATCH($C633,'Topic Plan'!$B$5:$B$115,0)),""))</f>
        <v/>
      </c>
      <c r="G633" s="23" t="n"/>
      <c r="H633" s="27" t="n"/>
      <c r="I633" s="27" t="n"/>
      <c r="J633" s="27" t="n"/>
      <c r="K633" s="27" t="n"/>
      <c r="L633" s="27" t="n"/>
      <c r="M633" s="27" t="n"/>
      <c r="N633" s="23" t="n"/>
      <c r="O633" s="29" t="n"/>
      <c r="P633" s="29" t="n"/>
      <c r="Q633" s="29" t="n"/>
      <c r="R633" s="29" t="n"/>
      <c r="S633" s="29" t="n"/>
      <c r="T633" s="29" t="n"/>
      <c r="U633" s="29" t="n"/>
      <c r="V633" s="30">
        <f>IF(OR($A633="",$U633=""),"",IF($S633&lt;&gt;"",MAX(0,$S633-$U633),MAX(0,TODAY()-$U633)))</f>
        <v/>
      </c>
      <c r="W633" s="30">
        <f>IF($A633="","",IF(OR($N633="Live",$N633="Retired"),"",TODAY()-MAX($O633,$P633,$Q633,$R633)))</f>
        <v/>
      </c>
      <c r="X633" s="23" t="n"/>
      <c r="Y633" s="30">
        <f>IF($A633="","",COUNTIFS('Issues Log'!$C$5:$C$504,$A633,'Issues Log'!$K$5:$K$504,"Open")+COUNTIFS('Issues Log'!$C$5:$C$504,$A633,'Issues Log'!$K$5:$K$504,"In progress"))</f>
        <v/>
      </c>
      <c r="Z633" s="27" t="n"/>
    </row>
    <row r="634">
      <c r="A634" s="27" t="n"/>
      <c r="B634" s="27" t="n"/>
      <c r="C634" s="27" t="n"/>
      <c r="D634" s="28">
        <f>IF($C634="","",IFERROR(INDEX('Topic Plan'!$C$5:$C$115,MATCH($C634,'Topic Plan'!$B$5:$B$115,0)),"UNKNOWN TOPIC ID"))</f>
        <v/>
      </c>
      <c r="E634" s="28">
        <f>IF($C634="","",IFERROR(INDEX('Topic Plan'!$D$5:$D$115,MATCH($C634,'Topic Plan'!$B$5:$B$115,0)),""))</f>
        <v/>
      </c>
      <c r="F634" s="28">
        <f>IF($C634="","",IFERROR(INDEX('Topic Plan'!$E$5:$E$115,MATCH($C634,'Topic Plan'!$B$5:$B$115,0)),""))</f>
        <v/>
      </c>
      <c r="G634" s="23" t="n"/>
      <c r="H634" s="27" t="n"/>
      <c r="I634" s="27" t="n"/>
      <c r="J634" s="27" t="n"/>
      <c r="K634" s="27" t="n"/>
      <c r="L634" s="27" t="n"/>
      <c r="M634" s="27" t="n"/>
      <c r="N634" s="23" t="n"/>
      <c r="O634" s="29" t="n"/>
      <c r="P634" s="29" t="n"/>
      <c r="Q634" s="29" t="n"/>
      <c r="R634" s="29" t="n"/>
      <c r="S634" s="29" t="n"/>
      <c r="T634" s="29" t="n"/>
      <c r="U634" s="29" t="n"/>
      <c r="V634" s="30">
        <f>IF(OR($A634="",$U634=""),"",IF($S634&lt;&gt;"",MAX(0,$S634-$U634),MAX(0,TODAY()-$U634)))</f>
        <v/>
      </c>
      <c r="W634" s="30">
        <f>IF($A634="","",IF(OR($N634="Live",$N634="Retired"),"",TODAY()-MAX($O634,$P634,$Q634,$R634)))</f>
        <v/>
      </c>
      <c r="X634" s="23" t="n"/>
      <c r="Y634" s="30">
        <f>IF($A634="","",COUNTIFS('Issues Log'!$C$5:$C$504,$A634,'Issues Log'!$K$5:$K$504,"Open")+COUNTIFS('Issues Log'!$C$5:$C$504,$A634,'Issues Log'!$K$5:$K$504,"In progress"))</f>
        <v/>
      </c>
      <c r="Z634" s="27" t="n"/>
    </row>
    <row r="635">
      <c r="A635" s="27" t="n"/>
      <c r="B635" s="27" t="n"/>
      <c r="C635" s="27" t="n"/>
      <c r="D635" s="28">
        <f>IF($C635="","",IFERROR(INDEX('Topic Plan'!$C$5:$C$115,MATCH($C635,'Topic Plan'!$B$5:$B$115,0)),"UNKNOWN TOPIC ID"))</f>
        <v/>
      </c>
      <c r="E635" s="28">
        <f>IF($C635="","",IFERROR(INDEX('Topic Plan'!$D$5:$D$115,MATCH($C635,'Topic Plan'!$B$5:$B$115,0)),""))</f>
        <v/>
      </c>
      <c r="F635" s="28">
        <f>IF($C635="","",IFERROR(INDEX('Topic Plan'!$E$5:$E$115,MATCH($C635,'Topic Plan'!$B$5:$B$115,0)),""))</f>
        <v/>
      </c>
      <c r="G635" s="23" t="n"/>
      <c r="H635" s="27" t="n"/>
      <c r="I635" s="27" t="n"/>
      <c r="J635" s="27" t="n"/>
      <c r="K635" s="27" t="n"/>
      <c r="L635" s="27" t="n"/>
      <c r="M635" s="27" t="n"/>
      <c r="N635" s="23" t="n"/>
      <c r="O635" s="29" t="n"/>
      <c r="P635" s="29" t="n"/>
      <c r="Q635" s="29" t="n"/>
      <c r="R635" s="29" t="n"/>
      <c r="S635" s="29" t="n"/>
      <c r="T635" s="29" t="n"/>
      <c r="U635" s="29" t="n"/>
      <c r="V635" s="30">
        <f>IF(OR($A635="",$U635=""),"",IF($S635&lt;&gt;"",MAX(0,$S635-$U635),MAX(0,TODAY()-$U635)))</f>
        <v/>
      </c>
      <c r="W635" s="30">
        <f>IF($A635="","",IF(OR($N635="Live",$N635="Retired"),"",TODAY()-MAX($O635,$P635,$Q635,$R635)))</f>
        <v/>
      </c>
      <c r="X635" s="23" t="n"/>
      <c r="Y635" s="30">
        <f>IF($A635="","",COUNTIFS('Issues Log'!$C$5:$C$504,$A635,'Issues Log'!$K$5:$K$504,"Open")+COUNTIFS('Issues Log'!$C$5:$C$504,$A635,'Issues Log'!$K$5:$K$504,"In progress"))</f>
        <v/>
      </c>
      <c r="Z635" s="27" t="n"/>
    </row>
    <row r="636">
      <c r="A636" s="27" t="n"/>
      <c r="B636" s="27" t="n"/>
      <c r="C636" s="27" t="n"/>
      <c r="D636" s="28">
        <f>IF($C636="","",IFERROR(INDEX('Topic Plan'!$C$5:$C$115,MATCH($C636,'Topic Plan'!$B$5:$B$115,0)),"UNKNOWN TOPIC ID"))</f>
        <v/>
      </c>
      <c r="E636" s="28">
        <f>IF($C636="","",IFERROR(INDEX('Topic Plan'!$D$5:$D$115,MATCH($C636,'Topic Plan'!$B$5:$B$115,0)),""))</f>
        <v/>
      </c>
      <c r="F636" s="28">
        <f>IF($C636="","",IFERROR(INDEX('Topic Plan'!$E$5:$E$115,MATCH($C636,'Topic Plan'!$B$5:$B$115,0)),""))</f>
        <v/>
      </c>
      <c r="G636" s="23" t="n"/>
      <c r="H636" s="27" t="n"/>
      <c r="I636" s="27" t="n"/>
      <c r="J636" s="27" t="n"/>
      <c r="K636" s="27" t="n"/>
      <c r="L636" s="27" t="n"/>
      <c r="M636" s="27" t="n"/>
      <c r="N636" s="23" t="n"/>
      <c r="O636" s="29" t="n"/>
      <c r="P636" s="29" t="n"/>
      <c r="Q636" s="29" t="n"/>
      <c r="R636" s="29" t="n"/>
      <c r="S636" s="29" t="n"/>
      <c r="T636" s="29" t="n"/>
      <c r="U636" s="29" t="n"/>
      <c r="V636" s="30">
        <f>IF(OR($A636="",$U636=""),"",IF($S636&lt;&gt;"",MAX(0,$S636-$U636),MAX(0,TODAY()-$U636)))</f>
        <v/>
      </c>
      <c r="W636" s="30">
        <f>IF($A636="","",IF(OR($N636="Live",$N636="Retired"),"",TODAY()-MAX($O636,$P636,$Q636,$R636)))</f>
        <v/>
      </c>
      <c r="X636" s="23" t="n"/>
      <c r="Y636" s="30">
        <f>IF($A636="","",COUNTIFS('Issues Log'!$C$5:$C$504,$A636,'Issues Log'!$K$5:$K$504,"Open")+COUNTIFS('Issues Log'!$C$5:$C$504,$A636,'Issues Log'!$K$5:$K$504,"In progress"))</f>
        <v/>
      </c>
      <c r="Z636" s="27" t="n"/>
    </row>
    <row r="637">
      <c r="A637" s="27" t="n"/>
      <c r="B637" s="27" t="n"/>
      <c r="C637" s="27" t="n"/>
      <c r="D637" s="28">
        <f>IF($C637="","",IFERROR(INDEX('Topic Plan'!$C$5:$C$115,MATCH($C637,'Topic Plan'!$B$5:$B$115,0)),"UNKNOWN TOPIC ID"))</f>
        <v/>
      </c>
      <c r="E637" s="28">
        <f>IF($C637="","",IFERROR(INDEX('Topic Plan'!$D$5:$D$115,MATCH($C637,'Topic Plan'!$B$5:$B$115,0)),""))</f>
        <v/>
      </c>
      <c r="F637" s="28">
        <f>IF($C637="","",IFERROR(INDEX('Topic Plan'!$E$5:$E$115,MATCH($C637,'Topic Plan'!$B$5:$B$115,0)),""))</f>
        <v/>
      </c>
      <c r="G637" s="23" t="n"/>
      <c r="H637" s="27" t="n"/>
      <c r="I637" s="27" t="n"/>
      <c r="J637" s="27" t="n"/>
      <c r="K637" s="27" t="n"/>
      <c r="L637" s="27" t="n"/>
      <c r="M637" s="27" t="n"/>
      <c r="N637" s="23" t="n"/>
      <c r="O637" s="29" t="n"/>
      <c r="P637" s="29" t="n"/>
      <c r="Q637" s="29" t="n"/>
      <c r="R637" s="29" t="n"/>
      <c r="S637" s="29" t="n"/>
      <c r="T637" s="29" t="n"/>
      <c r="U637" s="29" t="n"/>
      <c r="V637" s="30">
        <f>IF(OR($A637="",$U637=""),"",IF($S637&lt;&gt;"",MAX(0,$S637-$U637),MAX(0,TODAY()-$U637)))</f>
        <v/>
      </c>
      <c r="W637" s="30">
        <f>IF($A637="","",IF(OR($N637="Live",$N637="Retired"),"",TODAY()-MAX($O637,$P637,$Q637,$R637)))</f>
        <v/>
      </c>
      <c r="X637" s="23" t="n"/>
      <c r="Y637" s="30">
        <f>IF($A637="","",COUNTIFS('Issues Log'!$C$5:$C$504,$A637,'Issues Log'!$K$5:$K$504,"Open")+COUNTIFS('Issues Log'!$C$5:$C$504,$A637,'Issues Log'!$K$5:$K$504,"In progress"))</f>
        <v/>
      </c>
      <c r="Z637" s="27" t="n"/>
    </row>
    <row r="638">
      <c r="A638" s="27" t="n"/>
      <c r="B638" s="27" t="n"/>
      <c r="C638" s="27" t="n"/>
      <c r="D638" s="28">
        <f>IF($C638="","",IFERROR(INDEX('Topic Plan'!$C$5:$C$115,MATCH($C638,'Topic Plan'!$B$5:$B$115,0)),"UNKNOWN TOPIC ID"))</f>
        <v/>
      </c>
      <c r="E638" s="28">
        <f>IF($C638="","",IFERROR(INDEX('Topic Plan'!$D$5:$D$115,MATCH($C638,'Topic Plan'!$B$5:$B$115,0)),""))</f>
        <v/>
      </c>
      <c r="F638" s="28">
        <f>IF($C638="","",IFERROR(INDEX('Topic Plan'!$E$5:$E$115,MATCH($C638,'Topic Plan'!$B$5:$B$115,0)),""))</f>
        <v/>
      </c>
      <c r="G638" s="23" t="n"/>
      <c r="H638" s="27" t="n"/>
      <c r="I638" s="27" t="n"/>
      <c r="J638" s="27" t="n"/>
      <c r="K638" s="27" t="n"/>
      <c r="L638" s="27" t="n"/>
      <c r="M638" s="27" t="n"/>
      <c r="N638" s="23" t="n"/>
      <c r="O638" s="29" t="n"/>
      <c r="P638" s="29" t="n"/>
      <c r="Q638" s="29" t="n"/>
      <c r="R638" s="29" t="n"/>
      <c r="S638" s="29" t="n"/>
      <c r="T638" s="29" t="n"/>
      <c r="U638" s="29" t="n"/>
      <c r="V638" s="30">
        <f>IF(OR($A638="",$U638=""),"",IF($S638&lt;&gt;"",MAX(0,$S638-$U638),MAX(0,TODAY()-$U638)))</f>
        <v/>
      </c>
      <c r="W638" s="30">
        <f>IF($A638="","",IF(OR($N638="Live",$N638="Retired"),"",TODAY()-MAX($O638,$P638,$Q638,$R638)))</f>
        <v/>
      </c>
      <c r="X638" s="23" t="n"/>
      <c r="Y638" s="30">
        <f>IF($A638="","",COUNTIFS('Issues Log'!$C$5:$C$504,$A638,'Issues Log'!$K$5:$K$504,"Open")+COUNTIFS('Issues Log'!$C$5:$C$504,$A638,'Issues Log'!$K$5:$K$504,"In progress"))</f>
        <v/>
      </c>
      <c r="Z638" s="27" t="n"/>
    </row>
    <row r="639">
      <c r="A639" s="27" t="n"/>
      <c r="B639" s="27" t="n"/>
      <c r="C639" s="27" t="n"/>
      <c r="D639" s="28">
        <f>IF($C639="","",IFERROR(INDEX('Topic Plan'!$C$5:$C$115,MATCH($C639,'Topic Plan'!$B$5:$B$115,0)),"UNKNOWN TOPIC ID"))</f>
        <v/>
      </c>
      <c r="E639" s="28">
        <f>IF($C639="","",IFERROR(INDEX('Topic Plan'!$D$5:$D$115,MATCH($C639,'Topic Plan'!$B$5:$B$115,0)),""))</f>
        <v/>
      </c>
      <c r="F639" s="28">
        <f>IF($C639="","",IFERROR(INDEX('Topic Plan'!$E$5:$E$115,MATCH($C639,'Topic Plan'!$B$5:$B$115,0)),""))</f>
        <v/>
      </c>
      <c r="G639" s="23" t="n"/>
      <c r="H639" s="27" t="n"/>
      <c r="I639" s="27" t="n"/>
      <c r="J639" s="27" t="n"/>
      <c r="K639" s="27" t="n"/>
      <c r="L639" s="27" t="n"/>
      <c r="M639" s="27" t="n"/>
      <c r="N639" s="23" t="n"/>
      <c r="O639" s="29" t="n"/>
      <c r="P639" s="29" t="n"/>
      <c r="Q639" s="29" t="n"/>
      <c r="R639" s="29" t="n"/>
      <c r="S639" s="29" t="n"/>
      <c r="T639" s="29" t="n"/>
      <c r="U639" s="29" t="n"/>
      <c r="V639" s="30">
        <f>IF(OR($A639="",$U639=""),"",IF($S639&lt;&gt;"",MAX(0,$S639-$U639),MAX(0,TODAY()-$U639)))</f>
        <v/>
      </c>
      <c r="W639" s="30">
        <f>IF($A639="","",IF(OR($N639="Live",$N639="Retired"),"",TODAY()-MAX($O639,$P639,$Q639,$R639)))</f>
        <v/>
      </c>
      <c r="X639" s="23" t="n"/>
      <c r="Y639" s="30">
        <f>IF($A639="","",COUNTIFS('Issues Log'!$C$5:$C$504,$A639,'Issues Log'!$K$5:$K$504,"Open")+COUNTIFS('Issues Log'!$C$5:$C$504,$A639,'Issues Log'!$K$5:$K$504,"In progress"))</f>
        <v/>
      </c>
      <c r="Z639" s="27" t="n"/>
    </row>
    <row r="640">
      <c r="A640" s="27" t="n"/>
      <c r="B640" s="27" t="n"/>
      <c r="C640" s="27" t="n"/>
      <c r="D640" s="28">
        <f>IF($C640="","",IFERROR(INDEX('Topic Plan'!$C$5:$C$115,MATCH($C640,'Topic Plan'!$B$5:$B$115,0)),"UNKNOWN TOPIC ID"))</f>
        <v/>
      </c>
      <c r="E640" s="28">
        <f>IF($C640="","",IFERROR(INDEX('Topic Plan'!$D$5:$D$115,MATCH($C640,'Topic Plan'!$B$5:$B$115,0)),""))</f>
        <v/>
      </c>
      <c r="F640" s="28">
        <f>IF($C640="","",IFERROR(INDEX('Topic Plan'!$E$5:$E$115,MATCH($C640,'Topic Plan'!$B$5:$B$115,0)),""))</f>
        <v/>
      </c>
      <c r="G640" s="23" t="n"/>
      <c r="H640" s="27" t="n"/>
      <c r="I640" s="27" t="n"/>
      <c r="J640" s="27" t="n"/>
      <c r="K640" s="27" t="n"/>
      <c r="L640" s="27" t="n"/>
      <c r="M640" s="27" t="n"/>
      <c r="N640" s="23" t="n"/>
      <c r="O640" s="29" t="n"/>
      <c r="P640" s="29" t="n"/>
      <c r="Q640" s="29" t="n"/>
      <c r="R640" s="29" t="n"/>
      <c r="S640" s="29" t="n"/>
      <c r="T640" s="29" t="n"/>
      <c r="U640" s="29" t="n"/>
      <c r="V640" s="30">
        <f>IF(OR($A640="",$U640=""),"",IF($S640&lt;&gt;"",MAX(0,$S640-$U640),MAX(0,TODAY()-$U640)))</f>
        <v/>
      </c>
      <c r="W640" s="30">
        <f>IF($A640="","",IF(OR($N640="Live",$N640="Retired"),"",TODAY()-MAX($O640,$P640,$Q640,$R640)))</f>
        <v/>
      </c>
      <c r="X640" s="23" t="n"/>
      <c r="Y640" s="30">
        <f>IF($A640="","",COUNTIFS('Issues Log'!$C$5:$C$504,$A640,'Issues Log'!$K$5:$K$504,"Open")+COUNTIFS('Issues Log'!$C$5:$C$504,$A640,'Issues Log'!$K$5:$K$504,"In progress"))</f>
        <v/>
      </c>
      <c r="Z640" s="27" t="n"/>
    </row>
    <row r="641">
      <c r="A641" s="27" t="n"/>
      <c r="B641" s="27" t="n"/>
      <c r="C641" s="27" t="n"/>
      <c r="D641" s="28">
        <f>IF($C641="","",IFERROR(INDEX('Topic Plan'!$C$5:$C$115,MATCH($C641,'Topic Plan'!$B$5:$B$115,0)),"UNKNOWN TOPIC ID"))</f>
        <v/>
      </c>
      <c r="E641" s="28">
        <f>IF($C641="","",IFERROR(INDEX('Topic Plan'!$D$5:$D$115,MATCH($C641,'Topic Plan'!$B$5:$B$115,0)),""))</f>
        <v/>
      </c>
      <c r="F641" s="28">
        <f>IF($C641="","",IFERROR(INDEX('Topic Plan'!$E$5:$E$115,MATCH($C641,'Topic Plan'!$B$5:$B$115,0)),""))</f>
        <v/>
      </c>
      <c r="G641" s="23" t="n"/>
      <c r="H641" s="27" t="n"/>
      <c r="I641" s="27" t="n"/>
      <c r="J641" s="27" t="n"/>
      <c r="K641" s="27" t="n"/>
      <c r="L641" s="27" t="n"/>
      <c r="M641" s="27" t="n"/>
      <c r="N641" s="23" t="n"/>
      <c r="O641" s="29" t="n"/>
      <c r="P641" s="29" t="n"/>
      <c r="Q641" s="29" t="n"/>
      <c r="R641" s="29" t="n"/>
      <c r="S641" s="29" t="n"/>
      <c r="T641" s="29" t="n"/>
      <c r="U641" s="29" t="n"/>
      <c r="V641" s="30">
        <f>IF(OR($A641="",$U641=""),"",IF($S641&lt;&gt;"",MAX(0,$S641-$U641),MAX(0,TODAY()-$U641)))</f>
        <v/>
      </c>
      <c r="W641" s="30">
        <f>IF($A641="","",IF(OR($N641="Live",$N641="Retired"),"",TODAY()-MAX($O641,$P641,$Q641,$R641)))</f>
        <v/>
      </c>
      <c r="X641" s="23" t="n"/>
      <c r="Y641" s="30">
        <f>IF($A641="","",COUNTIFS('Issues Log'!$C$5:$C$504,$A641,'Issues Log'!$K$5:$K$504,"Open")+COUNTIFS('Issues Log'!$C$5:$C$504,$A641,'Issues Log'!$K$5:$K$504,"In progress"))</f>
        <v/>
      </c>
      <c r="Z641" s="27" t="n"/>
    </row>
    <row r="642">
      <c r="A642" s="27" t="n"/>
      <c r="B642" s="27" t="n"/>
      <c r="C642" s="27" t="n"/>
      <c r="D642" s="28">
        <f>IF($C642="","",IFERROR(INDEX('Topic Plan'!$C$5:$C$115,MATCH($C642,'Topic Plan'!$B$5:$B$115,0)),"UNKNOWN TOPIC ID"))</f>
        <v/>
      </c>
      <c r="E642" s="28">
        <f>IF($C642="","",IFERROR(INDEX('Topic Plan'!$D$5:$D$115,MATCH($C642,'Topic Plan'!$B$5:$B$115,0)),""))</f>
        <v/>
      </c>
      <c r="F642" s="28">
        <f>IF($C642="","",IFERROR(INDEX('Topic Plan'!$E$5:$E$115,MATCH($C642,'Topic Plan'!$B$5:$B$115,0)),""))</f>
        <v/>
      </c>
      <c r="G642" s="23" t="n"/>
      <c r="H642" s="27" t="n"/>
      <c r="I642" s="27" t="n"/>
      <c r="J642" s="27" t="n"/>
      <c r="K642" s="27" t="n"/>
      <c r="L642" s="27" t="n"/>
      <c r="M642" s="27" t="n"/>
      <c r="N642" s="23" t="n"/>
      <c r="O642" s="29" t="n"/>
      <c r="P642" s="29" t="n"/>
      <c r="Q642" s="29" t="n"/>
      <c r="R642" s="29" t="n"/>
      <c r="S642" s="29" t="n"/>
      <c r="T642" s="29" t="n"/>
      <c r="U642" s="29" t="n"/>
      <c r="V642" s="30">
        <f>IF(OR($A642="",$U642=""),"",IF($S642&lt;&gt;"",MAX(0,$S642-$U642),MAX(0,TODAY()-$U642)))</f>
        <v/>
      </c>
      <c r="W642" s="30">
        <f>IF($A642="","",IF(OR($N642="Live",$N642="Retired"),"",TODAY()-MAX($O642,$P642,$Q642,$R642)))</f>
        <v/>
      </c>
      <c r="X642" s="23" t="n"/>
      <c r="Y642" s="30">
        <f>IF($A642="","",COUNTIFS('Issues Log'!$C$5:$C$504,$A642,'Issues Log'!$K$5:$K$504,"Open")+COUNTIFS('Issues Log'!$C$5:$C$504,$A642,'Issues Log'!$K$5:$K$504,"In progress"))</f>
        <v/>
      </c>
      <c r="Z642" s="27" t="n"/>
    </row>
    <row r="643">
      <c r="A643" s="27" t="n"/>
      <c r="B643" s="27" t="n"/>
      <c r="C643" s="27" t="n"/>
      <c r="D643" s="28">
        <f>IF($C643="","",IFERROR(INDEX('Topic Plan'!$C$5:$C$115,MATCH($C643,'Topic Plan'!$B$5:$B$115,0)),"UNKNOWN TOPIC ID"))</f>
        <v/>
      </c>
      <c r="E643" s="28">
        <f>IF($C643="","",IFERROR(INDEX('Topic Plan'!$D$5:$D$115,MATCH($C643,'Topic Plan'!$B$5:$B$115,0)),""))</f>
        <v/>
      </c>
      <c r="F643" s="28">
        <f>IF($C643="","",IFERROR(INDEX('Topic Plan'!$E$5:$E$115,MATCH($C643,'Topic Plan'!$B$5:$B$115,0)),""))</f>
        <v/>
      </c>
      <c r="G643" s="23" t="n"/>
      <c r="H643" s="27" t="n"/>
      <c r="I643" s="27" t="n"/>
      <c r="J643" s="27" t="n"/>
      <c r="K643" s="27" t="n"/>
      <c r="L643" s="27" t="n"/>
      <c r="M643" s="27" t="n"/>
      <c r="N643" s="23" t="n"/>
      <c r="O643" s="29" t="n"/>
      <c r="P643" s="29" t="n"/>
      <c r="Q643" s="29" t="n"/>
      <c r="R643" s="29" t="n"/>
      <c r="S643" s="29" t="n"/>
      <c r="T643" s="29" t="n"/>
      <c r="U643" s="29" t="n"/>
      <c r="V643" s="30">
        <f>IF(OR($A643="",$U643=""),"",IF($S643&lt;&gt;"",MAX(0,$S643-$U643),MAX(0,TODAY()-$U643)))</f>
        <v/>
      </c>
      <c r="W643" s="30">
        <f>IF($A643="","",IF(OR($N643="Live",$N643="Retired"),"",TODAY()-MAX($O643,$P643,$Q643,$R643)))</f>
        <v/>
      </c>
      <c r="X643" s="23" t="n"/>
      <c r="Y643" s="30">
        <f>IF($A643="","",COUNTIFS('Issues Log'!$C$5:$C$504,$A643,'Issues Log'!$K$5:$K$504,"Open")+COUNTIFS('Issues Log'!$C$5:$C$504,$A643,'Issues Log'!$K$5:$K$504,"In progress"))</f>
        <v/>
      </c>
      <c r="Z643" s="27" t="n"/>
    </row>
    <row r="644">
      <c r="A644" s="27" t="n"/>
      <c r="B644" s="27" t="n"/>
      <c r="C644" s="27" t="n"/>
      <c r="D644" s="28">
        <f>IF($C644="","",IFERROR(INDEX('Topic Plan'!$C$5:$C$115,MATCH($C644,'Topic Plan'!$B$5:$B$115,0)),"UNKNOWN TOPIC ID"))</f>
        <v/>
      </c>
      <c r="E644" s="28">
        <f>IF($C644="","",IFERROR(INDEX('Topic Plan'!$D$5:$D$115,MATCH($C644,'Topic Plan'!$B$5:$B$115,0)),""))</f>
        <v/>
      </c>
      <c r="F644" s="28">
        <f>IF($C644="","",IFERROR(INDEX('Topic Plan'!$E$5:$E$115,MATCH($C644,'Topic Plan'!$B$5:$B$115,0)),""))</f>
        <v/>
      </c>
      <c r="G644" s="23" t="n"/>
      <c r="H644" s="27" t="n"/>
      <c r="I644" s="27" t="n"/>
      <c r="J644" s="27" t="n"/>
      <c r="K644" s="27" t="n"/>
      <c r="L644" s="27" t="n"/>
      <c r="M644" s="27" t="n"/>
      <c r="N644" s="23" t="n"/>
      <c r="O644" s="29" t="n"/>
      <c r="P644" s="29" t="n"/>
      <c r="Q644" s="29" t="n"/>
      <c r="R644" s="29" t="n"/>
      <c r="S644" s="29" t="n"/>
      <c r="T644" s="29" t="n"/>
      <c r="U644" s="29" t="n"/>
      <c r="V644" s="30">
        <f>IF(OR($A644="",$U644=""),"",IF($S644&lt;&gt;"",MAX(0,$S644-$U644),MAX(0,TODAY()-$U644)))</f>
        <v/>
      </c>
      <c r="W644" s="30">
        <f>IF($A644="","",IF(OR($N644="Live",$N644="Retired"),"",TODAY()-MAX($O644,$P644,$Q644,$R644)))</f>
        <v/>
      </c>
      <c r="X644" s="23" t="n"/>
      <c r="Y644" s="30">
        <f>IF($A644="","",COUNTIFS('Issues Log'!$C$5:$C$504,$A644,'Issues Log'!$K$5:$K$504,"Open")+COUNTIFS('Issues Log'!$C$5:$C$504,$A644,'Issues Log'!$K$5:$K$504,"In progress"))</f>
        <v/>
      </c>
      <c r="Z644" s="27" t="n"/>
    </row>
    <row r="645">
      <c r="A645" s="27" t="n"/>
      <c r="B645" s="27" t="n"/>
      <c r="C645" s="27" t="n"/>
      <c r="D645" s="28">
        <f>IF($C645="","",IFERROR(INDEX('Topic Plan'!$C$5:$C$115,MATCH($C645,'Topic Plan'!$B$5:$B$115,0)),"UNKNOWN TOPIC ID"))</f>
        <v/>
      </c>
      <c r="E645" s="28">
        <f>IF($C645="","",IFERROR(INDEX('Topic Plan'!$D$5:$D$115,MATCH($C645,'Topic Plan'!$B$5:$B$115,0)),""))</f>
        <v/>
      </c>
      <c r="F645" s="28">
        <f>IF($C645="","",IFERROR(INDEX('Topic Plan'!$E$5:$E$115,MATCH($C645,'Topic Plan'!$B$5:$B$115,0)),""))</f>
        <v/>
      </c>
      <c r="G645" s="23" t="n"/>
      <c r="H645" s="27" t="n"/>
      <c r="I645" s="27" t="n"/>
      <c r="J645" s="27" t="n"/>
      <c r="K645" s="27" t="n"/>
      <c r="L645" s="27" t="n"/>
      <c r="M645" s="27" t="n"/>
      <c r="N645" s="23" t="n"/>
      <c r="O645" s="29" t="n"/>
      <c r="P645" s="29" t="n"/>
      <c r="Q645" s="29" t="n"/>
      <c r="R645" s="29" t="n"/>
      <c r="S645" s="29" t="n"/>
      <c r="T645" s="29" t="n"/>
      <c r="U645" s="29" t="n"/>
      <c r="V645" s="30">
        <f>IF(OR($A645="",$U645=""),"",IF($S645&lt;&gt;"",MAX(0,$S645-$U645),MAX(0,TODAY()-$U645)))</f>
        <v/>
      </c>
      <c r="W645" s="30">
        <f>IF($A645="","",IF(OR($N645="Live",$N645="Retired"),"",TODAY()-MAX($O645,$P645,$Q645,$R645)))</f>
        <v/>
      </c>
      <c r="X645" s="23" t="n"/>
      <c r="Y645" s="30">
        <f>IF($A645="","",COUNTIFS('Issues Log'!$C$5:$C$504,$A645,'Issues Log'!$K$5:$K$504,"Open")+COUNTIFS('Issues Log'!$C$5:$C$504,$A645,'Issues Log'!$K$5:$K$504,"In progress"))</f>
        <v/>
      </c>
      <c r="Z645" s="27" t="n"/>
    </row>
    <row r="646">
      <c r="A646" s="27" t="n"/>
      <c r="B646" s="27" t="n"/>
      <c r="C646" s="27" t="n"/>
      <c r="D646" s="28">
        <f>IF($C646="","",IFERROR(INDEX('Topic Plan'!$C$5:$C$115,MATCH($C646,'Topic Plan'!$B$5:$B$115,0)),"UNKNOWN TOPIC ID"))</f>
        <v/>
      </c>
      <c r="E646" s="28">
        <f>IF($C646="","",IFERROR(INDEX('Topic Plan'!$D$5:$D$115,MATCH($C646,'Topic Plan'!$B$5:$B$115,0)),""))</f>
        <v/>
      </c>
      <c r="F646" s="28">
        <f>IF($C646="","",IFERROR(INDEX('Topic Plan'!$E$5:$E$115,MATCH($C646,'Topic Plan'!$B$5:$B$115,0)),""))</f>
        <v/>
      </c>
      <c r="G646" s="23" t="n"/>
      <c r="H646" s="27" t="n"/>
      <c r="I646" s="27" t="n"/>
      <c r="J646" s="27" t="n"/>
      <c r="K646" s="27" t="n"/>
      <c r="L646" s="27" t="n"/>
      <c r="M646" s="27" t="n"/>
      <c r="N646" s="23" t="n"/>
      <c r="O646" s="29" t="n"/>
      <c r="P646" s="29" t="n"/>
      <c r="Q646" s="29" t="n"/>
      <c r="R646" s="29" t="n"/>
      <c r="S646" s="29" t="n"/>
      <c r="T646" s="29" t="n"/>
      <c r="U646" s="29" t="n"/>
      <c r="V646" s="30">
        <f>IF(OR($A646="",$U646=""),"",IF($S646&lt;&gt;"",MAX(0,$S646-$U646),MAX(0,TODAY()-$U646)))</f>
        <v/>
      </c>
      <c r="W646" s="30">
        <f>IF($A646="","",IF(OR($N646="Live",$N646="Retired"),"",TODAY()-MAX($O646,$P646,$Q646,$R646)))</f>
        <v/>
      </c>
      <c r="X646" s="23" t="n"/>
      <c r="Y646" s="30">
        <f>IF($A646="","",COUNTIFS('Issues Log'!$C$5:$C$504,$A646,'Issues Log'!$K$5:$K$504,"Open")+COUNTIFS('Issues Log'!$C$5:$C$504,$A646,'Issues Log'!$K$5:$K$504,"In progress"))</f>
        <v/>
      </c>
      <c r="Z646" s="27" t="n"/>
    </row>
    <row r="647">
      <c r="A647" s="27" t="n"/>
      <c r="B647" s="27" t="n"/>
      <c r="C647" s="27" t="n"/>
      <c r="D647" s="28">
        <f>IF($C647="","",IFERROR(INDEX('Topic Plan'!$C$5:$C$115,MATCH($C647,'Topic Plan'!$B$5:$B$115,0)),"UNKNOWN TOPIC ID"))</f>
        <v/>
      </c>
      <c r="E647" s="28">
        <f>IF($C647="","",IFERROR(INDEX('Topic Plan'!$D$5:$D$115,MATCH($C647,'Topic Plan'!$B$5:$B$115,0)),""))</f>
        <v/>
      </c>
      <c r="F647" s="28">
        <f>IF($C647="","",IFERROR(INDEX('Topic Plan'!$E$5:$E$115,MATCH($C647,'Topic Plan'!$B$5:$B$115,0)),""))</f>
        <v/>
      </c>
      <c r="G647" s="23" t="n"/>
      <c r="H647" s="27" t="n"/>
      <c r="I647" s="27" t="n"/>
      <c r="J647" s="27" t="n"/>
      <c r="K647" s="27" t="n"/>
      <c r="L647" s="27" t="n"/>
      <c r="M647" s="27" t="n"/>
      <c r="N647" s="23" t="n"/>
      <c r="O647" s="29" t="n"/>
      <c r="P647" s="29" t="n"/>
      <c r="Q647" s="29" t="n"/>
      <c r="R647" s="29" t="n"/>
      <c r="S647" s="29" t="n"/>
      <c r="T647" s="29" t="n"/>
      <c r="U647" s="29" t="n"/>
      <c r="V647" s="30">
        <f>IF(OR($A647="",$U647=""),"",IF($S647&lt;&gt;"",MAX(0,$S647-$U647),MAX(0,TODAY()-$U647)))</f>
        <v/>
      </c>
      <c r="W647" s="30">
        <f>IF($A647="","",IF(OR($N647="Live",$N647="Retired"),"",TODAY()-MAX($O647,$P647,$Q647,$R647)))</f>
        <v/>
      </c>
      <c r="X647" s="23" t="n"/>
      <c r="Y647" s="30">
        <f>IF($A647="","",COUNTIFS('Issues Log'!$C$5:$C$504,$A647,'Issues Log'!$K$5:$K$504,"Open")+COUNTIFS('Issues Log'!$C$5:$C$504,$A647,'Issues Log'!$K$5:$K$504,"In progress"))</f>
        <v/>
      </c>
      <c r="Z647" s="27" t="n"/>
    </row>
    <row r="648">
      <c r="A648" s="27" t="n"/>
      <c r="B648" s="27" t="n"/>
      <c r="C648" s="27" t="n"/>
      <c r="D648" s="28">
        <f>IF($C648="","",IFERROR(INDEX('Topic Plan'!$C$5:$C$115,MATCH($C648,'Topic Plan'!$B$5:$B$115,0)),"UNKNOWN TOPIC ID"))</f>
        <v/>
      </c>
      <c r="E648" s="28">
        <f>IF($C648="","",IFERROR(INDEX('Topic Plan'!$D$5:$D$115,MATCH($C648,'Topic Plan'!$B$5:$B$115,0)),""))</f>
        <v/>
      </c>
      <c r="F648" s="28">
        <f>IF($C648="","",IFERROR(INDEX('Topic Plan'!$E$5:$E$115,MATCH($C648,'Topic Plan'!$B$5:$B$115,0)),""))</f>
        <v/>
      </c>
      <c r="G648" s="23" t="n"/>
      <c r="H648" s="27" t="n"/>
      <c r="I648" s="27" t="n"/>
      <c r="J648" s="27" t="n"/>
      <c r="K648" s="27" t="n"/>
      <c r="L648" s="27" t="n"/>
      <c r="M648" s="27" t="n"/>
      <c r="N648" s="23" t="n"/>
      <c r="O648" s="29" t="n"/>
      <c r="P648" s="29" t="n"/>
      <c r="Q648" s="29" t="n"/>
      <c r="R648" s="29" t="n"/>
      <c r="S648" s="29" t="n"/>
      <c r="T648" s="29" t="n"/>
      <c r="U648" s="29" t="n"/>
      <c r="V648" s="30">
        <f>IF(OR($A648="",$U648=""),"",IF($S648&lt;&gt;"",MAX(0,$S648-$U648),MAX(0,TODAY()-$U648)))</f>
        <v/>
      </c>
      <c r="W648" s="30">
        <f>IF($A648="","",IF(OR($N648="Live",$N648="Retired"),"",TODAY()-MAX($O648,$P648,$Q648,$R648)))</f>
        <v/>
      </c>
      <c r="X648" s="23" t="n"/>
      <c r="Y648" s="30">
        <f>IF($A648="","",COUNTIFS('Issues Log'!$C$5:$C$504,$A648,'Issues Log'!$K$5:$K$504,"Open")+COUNTIFS('Issues Log'!$C$5:$C$504,$A648,'Issues Log'!$K$5:$K$504,"In progress"))</f>
        <v/>
      </c>
      <c r="Z648" s="27" t="n"/>
    </row>
    <row r="649">
      <c r="A649" s="27" t="n"/>
      <c r="B649" s="27" t="n"/>
      <c r="C649" s="27" t="n"/>
      <c r="D649" s="28">
        <f>IF($C649="","",IFERROR(INDEX('Topic Plan'!$C$5:$C$115,MATCH($C649,'Topic Plan'!$B$5:$B$115,0)),"UNKNOWN TOPIC ID"))</f>
        <v/>
      </c>
      <c r="E649" s="28">
        <f>IF($C649="","",IFERROR(INDEX('Topic Plan'!$D$5:$D$115,MATCH($C649,'Topic Plan'!$B$5:$B$115,0)),""))</f>
        <v/>
      </c>
      <c r="F649" s="28">
        <f>IF($C649="","",IFERROR(INDEX('Topic Plan'!$E$5:$E$115,MATCH($C649,'Topic Plan'!$B$5:$B$115,0)),""))</f>
        <v/>
      </c>
      <c r="G649" s="23" t="n"/>
      <c r="H649" s="27" t="n"/>
      <c r="I649" s="27" t="n"/>
      <c r="J649" s="27" t="n"/>
      <c r="K649" s="27" t="n"/>
      <c r="L649" s="27" t="n"/>
      <c r="M649" s="27" t="n"/>
      <c r="N649" s="23" t="n"/>
      <c r="O649" s="29" t="n"/>
      <c r="P649" s="29" t="n"/>
      <c r="Q649" s="29" t="n"/>
      <c r="R649" s="29" t="n"/>
      <c r="S649" s="29" t="n"/>
      <c r="T649" s="29" t="n"/>
      <c r="U649" s="29" t="n"/>
      <c r="V649" s="30">
        <f>IF(OR($A649="",$U649=""),"",IF($S649&lt;&gt;"",MAX(0,$S649-$U649),MAX(0,TODAY()-$U649)))</f>
        <v/>
      </c>
      <c r="W649" s="30">
        <f>IF($A649="","",IF(OR($N649="Live",$N649="Retired"),"",TODAY()-MAX($O649,$P649,$Q649,$R649)))</f>
        <v/>
      </c>
      <c r="X649" s="23" t="n"/>
      <c r="Y649" s="30">
        <f>IF($A649="","",COUNTIFS('Issues Log'!$C$5:$C$504,$A649,'Issues Log'!$K$5:$K$504,"Open")+COUNTIFS('Issues Log'!$C$5:$C$504,$A649,'Issues Log'!$K$5:$K$504,"In progress"))</f>
        <v/>
      </c>
      <c r="Z649" s="27" t="n"/>
    </row>
    <row r="650">
      <c r="A650" s="27" t="n"/>
      <c r="B650" s="27" t="n"/>
      <c r="C650" s="27" t="n"/>
      <c r="D650" s="28">
        <f>IF($C650="","",IFERROR(INDEX('Topic Plan'!$C$5:$C$115,MATCH($C650,'Topic Plan'!$B$5:$B$115,0)),"UNKNOWN TOPIC ID"))</f>
        <v/>
      </c>
      <c r="E650" s="28">
        <f>IF($C650="","",IFERROR(INDEX('Topic Plan'!$D$5:$D$115,MATCH($C650,'Topic Plan'!$B$5:$B$115,0)),""))</f>
        <v/>
      </c>
      <c r="F650" s="28">
        <f>IF($C650="","",IFERROR(INDEX('Topic Plan'!$E$5:$E$115,MATCH($C650,'Topic Plan'!$B$5:$B$115,0)),""))</f>
        <v/>
      </c>
      <c r="G650" s="23" t="n"/>
      <c r="H650" s="27" t="n"/>
      <c r="I650" s="27" t="n"/>
      <c r="J650" s="27" t="n"/>
      <c r="K650" s="27" t="n"/>
      <c r="L650" s="27" t="n"/>
      <c r="M650" s="27" t="n"/>
      <c r="N650" s="23" t="n"/>
      <c r="O650" s="29" t="n"/>
      <c r="P650" s="29" t="n"/>
      <c r="Q650" s="29" t="n"/>
      <c r="R650" s="29" t="n"/>
      <c r="S650" s="29" t="n"/>
      <c r="T650" s="29" t="n"/>
      <c r="U650" s="29" t="n"/>
      <c r="V650" s="30">
        <f>IF(OR($A650="",$U650=""),"",IF($S650&lt;&gt;"",MAX(0,$S650-$U650),MAX(0,TODAY()-$U650)))</f>
        <v/>
      </c>
      <c r="W650" s="30">
        <f>IF($A650="","",IF(OR($N650="Live",$N650="Retired"),"",TODAY()-MAX($O650,$P650,$Q650,$R650)))</f>
        <v/>
      </c>
      <c r="X650" s="23" t="n"/>
      <c r="Y650" s="30">
        <f>IF($A650="","",COUNTIFS('Issues Log'!$C$5:$C$504,$A650,'Issues Log'!$K$5:$K$504,"Open")+COUNTIFS('Issues Log'!$C$5:$C$504,$A650,'Issues Log'!$K$5:$K$504,"In progress"))</f>
        <v/>
      </c>
      <c r="Z650" s="27" t="n"/>
    </row>
    <row r="651">
      <c r="A651" s="27" t="n"/>
      <c r="B651" s="27" t="n"/>
      <c r="C651" s="27" t="n"/>
      <c r="D651" s="28">
        <f>IF($C651="","",IFERROR(INDEX('Topic Plan'!$C$5:$C$115,MATCH($C651,'Topic Plan'!$B$5:$B$115,0)),"UNKNOWN TOPIC ID"))</f>
        <v/>
      </c>
      <c r="E651" s="28">
        <f>IF($C651="","",IFERROR(INDEX('Topic Plan'!$D$5:$D$115,MATCH($C651,'Topic Plan'!$B$5:$B$115,0)),""))</f>
        <v/>
      </c>
      <c r="F651" s="28">
        <f>IF($C651="","",IFERROR(INDEX('Topic Plan'!$E$5:$E$115,MATCH($C651,'Topic Plan'!$B$5:$B$115,0)),""))</f>
        <v/>
      </c>
      <c r="G651" s="23" t="n"/>
      <c r="H651" s="27" t="n"/>
      <c r="I651" s="27" t="n"/>
      <c r="J651" s="27" t="n"/>
      <c r="K651" s="27" t="n"/>
      <c r="L651" s="27" t="n"/>
      <c r="M651" s="27" t="n"/>
      <c r="N651" s="23" t="n"/>
      <c r="O651" s="29" t="n"/>
      <c r="P651" s="29" t="n"/>
      <c r="Q651" s="29" t="n"/>
      <c r="R651" s="29" t="n"/>
      <c r="S651" s="29" t="n"/>
      <c r="T651" s="29" t="n"/>
      <c r="U651" s="29" t="n"/>
      <c r="V651" s="30">
        <f>IF(OR($A651="",$U651=""),"",IF($S651&lt;&gt;"",MAX(0,$S651-$U651),MAX(0,TODAY()-$U651)))</f>
        <v/>
      </c>
      <c r="W651" s="30">
        <f>IF($A651="","",IF(OR($N651="Live",$N651="Retired"),"",TODAY()-MAX($O651,$P651,$Q651,$R651)))</f>
        <v/>
      </c>
      <c r="X651" s="23" t="n"/>
      <c r="Y651" s="30">
        <f>IF($A651="","",COUNTIFS('Issues Log'!$C$5:$C$504,$A651,'Issues Log'!$K$5:$K$504,"Open")+COUNTIFS('Issues Log'!$C$5:$C$504,$A651,'Issues Log'!$K$5:$K$504,"In progress"))</f>
        <v/>
      </c>
      <c r="Z651" s="27" t="n"/>
    </row>
    <row r="652">
      <c r="A652" s="27" t="n"/>
      <c r="B652" s="27" t="n"/>
      <c r="C652" s="27" t="n"/>
      <c r="D652" s="28">
        <f>IF($C652="","",IFERROR(INDEX('Topic Plan'!$C$5:$C$115,MATCH($C652,'Topic Plan'!$B$5:$B$115,0)),"UNKNOWN TOPIC ID"))</f>
        <v/>
      </c>
      <c r="E652" s="28">
        <f>IF($C652="","",IFERROR(INDEX('Topic Plan'!$D$5:$D$115,MATCH($C652,'Topic Plan'!$B$5:$B$115,0)),""))</f>
        <v/>
      </c>
      <c r="F652" s="28">
        <f>IF($C652="","",IFERROR(INDEX('Topic Plan'!$E$5:$E$115,MATCH($C652,'Topic Plan'!$B$5:$B$115,0)),""))</f>
        <v/>
      </c>
      <c r="G652" s="23" t="n"/>
      <c r="H652" s="27" t="n"/>
      <c r="I652" s="27" t="n"/>
      <c r="J652" s="27" t="n"/>
      <c r="K652" s="27" t="n"/>
      <c r="L652" s="27" t="n"/>
      <c r="M652" s="27" t="n"/>
      <c r="N652" s="23" t="n"/>
      <c r="O652" s="29" t="n"/>
      <c r="P652" s="29" t="n"/>
      <c r="Q652" s="29" t="n"/>
      <c r="R652" s="29" t="n"/>
      <c r="S652" s="29" t="n"/>
      <c r="T652" s="29" t="n"/>
      <c r="U652" s="29" t="n"/>
      <c r="V652" s="30">
        <f>IF(OR($A652="",$U652=""),"",IF($S652&lt;&gt;"",MAX(0,$S652-$U652),MAX(0,TODAY()-$U652)))</f>
        <v/>
      </c>
      <c r="W652" s="30">
        <f>IF($A652="","",IF(OR($N652="Live",$N652="Retired"),"",TODAY()-MAX($O652,$P652,$Q652,$R652)))</f>
        <v/>
      </c>
      <c r="X652" s="23" t="n"/>
      <c r="Y652" s="30">
        <f>IF($A652="","",COUNTIFS('Issues Log'!$C$5:$C$504,$A652,'Issues Log'!$K$5:$K$504,"Open")+COUNTIFS('Issues Log'!$C$5:$C$504,$A652,'Issues Log'!$K$5:$K$504,"In progress"))</f>
        <v/>
      </c>
      <c r="Z652" s="27" t="n"/>
    </row>
    <row r="653">
      <c r="A653" s="27" t="n"/>
      <c r="B653" s="27" t="n"/>
      <c r="C653" s="27" t="n"/>
      <c r="D653" s="28">
        <f>IF($C653="","",IFERROR(INDEX('Topic Plan'!$C$5:$C$115,MATCH($C653,'Topic Plan'!$B$5:$B$115,0)),"UNKNOWN TOPIC ID"))</f>
        <v/>
      </c>
      <c r="E653" s="28">
        <f>IF($C653="","",IFERROR(INDEX('Topic Plan'!$D$5:$D$115,MATCH($C653,'Topic Plan'!$B$5:$B$115,0)),""))</f>
        <v/>
      </c>
      <c r="F653" s="28">
        <f>IF($C653="","",IFERROR(INDEX('Topic Plan'!$E$5:$E$115,MATCH($C653,'Topic Plan'!$B$5:$B$115,0)),""))</f>
        <v/>
      </c>
      <c r="G653" s="23" t="n"/>
      <c r="H653" s="27" t="n"/>
      <c r="I653" s="27" t="n"/>
      <c r="J653" s="27" t="n"/>
      <c r="K653" s="27" t="n"/>
      <c r="L653" s="27" t="n"/>
      <c r="M653" s="27" t="n"/>
      <c r="N653" s="23" t="n"/>
      <c r="O653" s="29" t="n"/>
      <c r="P653" s="29" t="n"/>
      <c r="Q653" s="29" t="n"/>
      <c r="R653" s="29" t="n"/>
      <c r="S653" s="29" t="n"/>
      <c r="T653" s="29" t="n"/>
      <c r="U653" s="29" t="n"/>
      <c r="V653" s="30">
        <f>IF(OR($A653="",$U653=""),"",IF($S653&lt;&gt;"",MAX(0,$S653-$U653),MAX(0,TODAY()-$U653)))</f>
        <v/>
      </c>
      <c r="W653" s="30">
        <f>IF($A653="","",IF(OR($N653="Live",$N653="Retired"),"",TODAY()-MAX($O653,$P653,$Q653,$R653)))</f>
        <v/>
      </c>
      <c r="X653" s="23" t="n"/>
      <c r="Y653" s="30">
        <f>IF($A653="","",COUNTIFS('Issues Log'!$C$5:$C$504,$A653,'Issues Log'!$K$5:$K$504,"Open")+COUNTIFS('Issues Log'!$C$5:$C$504,$A653,'Issues Log'!$K$5:$K$504,"In progress"))</f>
        <v/>
      </c>
      <c r="Z653" s="27" t="n"/>
    </row>
    <row r="654">
      <c r="A654" s="27" t="n"/>
      <c r="B654" s="27" t="n"/>
      <c r="C654" s="27" t="n"/>
      <c r="D654" s="28">
        <f>IF($C654="","",IFERROR(INDEX('Topic Plan'!$C$5:$C$115,MATCH($C654,'Topic Plan'!$B$5:$B$115,0)),"UNKNOWN TOPIC ID"))</f>
        <v/>
      </c>
      <c r="E654" s="28">
        <f>IF($C654="","",IFERROR(INDEX('Topic Plan'!$D$5:$D$115,MATCH($C654,'Topic Plan'!$B$5:$B$115,0)),""))</f>
        <v/>
      </c>
      <c r="F654" s="28">
        <f>IF($C654="","",IFERROR(INDEX('Topic Plan'!$E$5:$E$115,MATCH($C654,'Topic Plan'!$B$5:$B$115,0)),""))</f>
        <v/>
      </c>
      <c r="G654" s="23" t="n"/>
      <c r="H654" s="27" t="n"/>
      <c r="I654" s="27" t="n"/>
      <c r="J654" s="27" t="n"/>
      <c r="K654" s="27" t="n"/>
      <c r="L654" s="27" t="n"/>
      <c r="M654" s="27" t="n"/>
      <c r="N654" s="23" t="n"/>
      <c r="O654" s="29" t="n"/>
      <c r="P654" s="29" t="n"/>
      <c r="Q654" s="29" t="n"/>
      <c r="R654" s="29" t="n"/>
      <c r="S654" s="29" t="n"/>
      <c r="T654" s="29" t="n"/>
      <c r="U654" s="29" t="n"/>
      <c r="V654" s="30">
        <f>IF(OR($A654="",$U654=""),"",IF($S654&lt;&gt;"",MAX(0,$S654-$U654),MAX(0,TODAY()-$U654)))</f>
        <v/>
      </c>
      <c r="W654" s="30">
        <f>IF($A654="","",IF(OR($N654="Live",$N654="Retired"),"",TODAY()-MAX($O654,$P654,$Q654,$R654)))</f>
        <v/>
      </c>
      <c r="X654" s="23" t="n"/>
      <c r="Y654" s="30">
        <f>IF($A654="","",COUNTIFS('Issues Log'!$C$5:$C$504,$A654,'Issues Log'!$K$5:$K$504,"Open")+COUNTIFS('Issues Log'!$C$5:$C$504,$A654,'Issues Log'!$K$5:$K$504,"In progress"))</f>
        <v/>
      </c>
      <c r="Z654" s="27" t="n"/>
    </row>
    <row r="655">
      <c r="A655" s="27" t="n"/>
      <c r="B655" s="27" t="n"/>
      <c r="C655" s="27" t="n"/>
      <c r="D655" s="28">
        <f>IF($C655="","",IFERROR(INDEX('Topic Plan'!$C$5:$C$115,MATCH($C655,'Topic Plan'!$B$5:$B$115,0)),"UNKNOWN TOPIC ID"))</f>
        <v/>
      </c>
      <c r="E655" s="28">
        <f>IF($C655="","",IFERROR(INDEX('Topic Plan'!$D$5:$D$115,MATCH($C655,'Topic Plan'!$B$5:$B$115,0)),""))</f>
        <v/>
      </c>
      <c r="F655" s="28">
        <f>IF($C655="","",IFERROR(INDEX('Topic Plan'!$E$5:$E$115,MATCH($C655,'Topic Plan'!$B$5:$B$115,0)),""))</f>
        <v/>
      </c>
      <c r="G655" s="23" t="n"/>
      <c r="H655" s="27" t="n"/>
      <c r="I655" s="27" t="n"/>
      <c r="J655" s="27" t="n"/>
      <c r="K655" s="27" t="n"/>
      <c r="L655" s="27" t="n"/>
      <c r="M655" s="27" t="n"/>
      <c r="N655" s="23" t="n"/>
      <c r="O655" s="29" t="n"/>
      <c r="P655" s="29" t="n"/>
      <c r="Q655" s="29" t="n"/>
      <c r="R655" s="29" t="n"/>
      <c r="S655" s="29" t="n"/>
      <c r="T655" s="29" t="n"/>
      <c r="U655" s="29" t="n"/>
      <c r="V655" s="30">
        <f>IF(OR($A655="",$U655=""),"",IF($S655&lt;&gt;"",MAX(0,$S655-$U655),MAX(0,TODAY()-$U655)))</f>
        <v/>
      </c>
      <c r="W655" s="30">
        <f>IF($A655="","",IF(OR($N655="Live",$N655="Retired"),"",TODAY()-MAX($O655,$P655,$Q655,$R655)))</f>
        <v/>
      </c>
      <c r="X655" s="23" t="n"/>
      <c r="Y655" s="30">
        <f>IF($A655="","",COUNTIFS('Issues Log'!$C$5:$C$504,$A655,'Issues Log'!$K$5:$K$504,"Open")+COUNTIFS('Issues Log'!$C$5:$C$504,$A655,'Issues Log'!$K$5:$K$504,"In progress"))</f>
        <v/>
      </c>
      <c r="Z655" s="27" t="n"/>
    </row>
    <row r="656">
      <c r="A656" s="27" t="n"/>
      <c r="B656" s="27" t="n"/>
      <c r="C656" s="27" t="n"/>
      <c r="D656" s="28">
        <f>IF($C656="","",IFERROR(INDEX('Topic Plan'!$C$5:$C$115,MATCH($C656,'Topic Plan'!$B$5:$B$115,0)),"UNKNOWN TOPIC ID"))</f>
        <v/>
      </c>
      <c r="E656" s="28">
        <f>IF($C656="","",IFERROR(INDEX('Topic Plan'!$D$5:$D$115,MATCH($C656,'Topic Plan'!$B$5:$B$115,0)),""))</f>
        <v/>
      </c>
      <c r="F656" s="28">
        <f>IF($C656="","",IFERROR(INDEX('Topic Plan'!$E$5:$E$115,MATCH($C656,'Topic Plan'!$B$5:$B$115,0)),""))</f>
        <v/>
      </c>
      <c r="G656" s="23" t="n"/>
      <c r="H656" s="27" t="n"/>
      <c r="I656" s="27" t="n"/>
      <c r="J656" s="27" t="n"/>
      <c r="K656" s="27" t="n"/>
      <c r="L656" s="27" t="n"/>
      <c r="M656" s="27" t="n"/>
      <c r="N656" s="23" t="n"/>
      <c r="O656" s="29" t="n"/>
      <c r="P656" s="29" t="n"/>
      <c r="Q656" s="29" t="n"/>
      <c r="R656" s="29" t="n"/>
      <c r="S656" s="29" t="n"/>
      <c r="T656" s="29" t="n"/>
      <c r="U656" s="29" t="n"/>
      <c r="V656" s="30">
        <f>IF(OR($A656="",$U656=""),"",IF($S656&lt;&gt;"",MAX(0,$S656-$U656),MAX(0,TODAY()-$U656)))</f>
        <v/>
      </c>
      <c r="W656" s="30">
        <f>IF($A656="","",IF(OR($N656="Live",$N656="Retired"),"",TODAY()-MAX($O656,$P656,$Q656,$R656)))</f>
        <v/>
      </c>
      <c r="X656" s="23" t="n"/>
      <c r="Y656" s="30">
        <f>IF($A656="","",COUNTIFS('Issues Log'!$C$5:$C$504,$A656,'Issues Log'!$K$5:$K$504,"Open")+COUNTIFS('Issues Log'!$C$5:$C$504,$A656,'Issues Log'!$K$5:$K$504,"In progress"))</f>
        <v/>
      </c>
      <c r="Z656" s="27" t="n"/>
    </row>
    <row r="657">
      <c r="A657" s="27" t="n"/>
      <c r="B657" s="27" t="n"/>
      <c r="C657" s="27" t="n"/>
      <c r="D657" s="28">
        <f>IF($C657="","",IFERROR(INDEX('Topic Plan'!$C$5:$C$115,MATCH($C657,'Topic Plan'!$B$5:$B$115,0)),"UNKNOWN TOPIC ID"))</f>
        <v/>
      </c>
      <c r="E657" s="28">
        <f>IF($C657="","",IFERROR(INDEX('Topic Plan'!$D$5:$D$115,MATCH($C657,'Topic Plan'!$B$5:$B$115,0)),""))</f>
        <v/>
      </c>
      <c r="F657" s="28">
        <f>IF($C657="","",IFERROR(INDEX('Topic Plan'!$E$5:$E$115,MATCH($C657,'Topic Plan'!$B$5:$B$115,0)),""))</f>
        <v/>
      </c>
      <c r="G657" s="23" t="n"/>
      <c r="H657" s="27" t="n"/>
      <c r="I657" s="27" t="n"/>
      <c r="J657" s="27" t="n"/>
      <c r="K657" s="27" t="n"/>
      <c r="L657" s="27" t="n"/>
      <c r="M657" s="27" t="n"/>
      <c r="N657" s="23" t="n"/>
      <c r="O657" s="29" t="n"/>
      <c r="P657" s="29" t="n"/>
      <c r="Q657" s="29" t="n"/>
      <c r="R657" s="29" t="n"/>
      <c r="S657" s="29" t="n"/>
      <c r="T657" s="29" t="n"/>
      <c r="U657" s="29" t="n"/>
      <c r="V657" s="30">
        <f>IF(OR($A657="",$U657=""),"",IF($S657&lt;&gt;"",MAX(0,$S657-$U657),MAX(0,TODAY()-$U657)))</f>
        <v/>
      </c>
      <c r="W657" s="30">
        <f>IF($A657="","",IF(OR($N657="Live",$N657="Retired"),"",TODAY()-MAX($O657,$P657,$Q657,$R657)))</f>
        <v/>
      </c>
      <c r="X657" s="23" t="n"/>
      <c r="Y657" s="30">
        <f>IF($A657="","",COUNTIFS('Issues Log'!$C$5:$C$504,$A657,'Issues Log'!$K$5:$K$504,"Open")+COUNTIFS('Issues Log'!$C$5:$C$504,$A657,'Issues Log'!$K$5:$K$504,"In progress"))</f>
        <v/>
      </c>
      <c r="Z657" s="27" t="n"/>
    </row>
    <row r="658">
      <c r="A658" s="27" t="n"/>
      <c r="B658" s="27" t="n"/>
      <c r="C658" s="27" t="n"/>
      <c r="D658" s="28">
        <f>IF($C658="","",IFERROR(INDEX('Topic Plan'!$C$5:$C$115,MATCH($C658,'Topic Plan'!$B$5:$B$115,0)),"UNKNOWN TOPIC ID"))</f>
        <v/>
      </c>
      <c r="E658" s="28">
        <f>IF($C658="","",IFERROR(INDEX('Topic Plan'!$D$5:$D$115,MATCH($C658,'Topic Plan'!$B$5:$B$115,0)),""))</f>
        <v/>
      </c>
      <c r="F658" s="28">
        <f>IF($C658="","",IFERROR(INDEX('Topic Plan'!$E$5:$E$115,MATCH($C658,'Topic Plan'!$B$5:$B$115,0)),""))</f>
        <v/>
      </c>
      <c r="G658" s="23" t="n"/>
      <c r="H658" s="27" t="n"/>
      <c r="I658" s="27" t="n"/>
      <c r="J658" s="27" t="n"/>
      <c r="K658" s="27" t="n"/>
      <c r="L658" s="27" t="n"/>
      <c r="M658" s="27" t="n"/>
      <c r="N658" s="23" t="n"/>
      <c r="O658" s="29" t="n"/>
      <c r="P658" s="29" t="n"/>
      <c r="Q658" s="29" t="n"/>
      <c r="R658" s="29" t="n"/>
      <c r="S658" s="29" t="n"/>
      <c r="T658" s="29" t="n"/>
      <c r="U658" s="29" t="n"/>
      <c r="V658" s="30">
        <f>IF(OR($A658="",$U658=""),"",IF($S658&lt;&gt;"",MAX(0,$S658-$U658),MAX(0,TODAY()-$U658)))</f>
        <v/>
      </c>
      <c r="W658" s="30">
        <f>IF($A658="","",IF(OR($N658="Live",$N658="Retired"),"",TODAY()-MAX($O658,$P658,$Q658,$R658)))</f>
        <v/>
      </c>
      <c r="X658" s="23" t="n"/>
      <c r="Y658" s="30">
        <f>IF($A658="","",COUNTIFS('Issues Log'!$C$5:$C$504,$A658,'Issues Log'!$K$5:$K$504,"Open")+COUNTIFS('Issues Log'!$C$5:$C$504,$A658,'Issues Log'!$K$5:$K$504,"In progress"))</f>
        <v/>
      </c>
      <c r="Z658" s="27" t="n"/>
    </row>
    <row r="659">
      <c r="A659" s="27" t="n"/>
      <c r="B659" s="27" t="n"/>
      <c r="C659" s="27" t="n"/>
      <c r="D659" s="28">
        <f>IF($C659="","",IFERROR(INDEX('Topic Plan'!$C$5:$C$115,MATCH($C659,'Topic Plan'!$B$5:$B$115,0)),"UNKNOWN TOPIC ID"))</f>
        <v/>
      </c>
      <c r="E659" s="28">
        <f>IF($C659="","",IFERROR(INDEX('Topic Plan'!$D$5:$D$115,MATCH($C659,'Topic Plan'!$B$5:$B$115,0)),""))</f>
        <v/>
      </c>
      <c r="F659" s="28">
        <f>IF($C659="","",IFERROR(INDEX('Topic Plan'!$E$5:$E$115,MATCH($C659,'Topic Plan'!$B$5:$B$115,0)),""))</f>
        <v/>
      </c>
      <c r="G659" s="23" t="n"/>
      <c r="H659" s="27" t="n"/>
      <c r="I659" s="27" t="n"/>
      <c r="J659" s="27" t="n"/>
      <c r="K659" s="27" t="n"/>
      <c r="L659" s="27" t="n"/>
      <c r="M659" s="27" t="n"/>
      <c r="N659" s="23" t="n"/>
      <c r="O659" s="29" t="n"/>
      <c r="P659" s="29" t="n"/>
      <c r="Q659" s="29" t="n"/>
      <c r="R659" s="29" t="n"/>
      <c r="S659" s="29" t="n"/>
      <c r="T659" s="29" t="n"/>
      <c r="U659" s="29" t="n"/>
      <c r="V659" s="30">
        <f>IF(OR($A659="",$U659=""),"",IF($S659&lt;&gt;"",MAX(0,$S659-$U659),MAX(0,TODAY()-$U659)))</f>
        <v/>
      </c>
      <c r="W659" s="30">
        <f>IF($A659="","",IF(OR($N659="Live",$N659="Retired"),"",TODAY()-MAX($O659,$P659,$Q659,$R659)))</f>
        <v/>
      </c>
      <c r="X659" s="23" t="n"/>
      <c r="Y659" s="30">
        <f>IF($A659="","",COUNTIFS('Issues Log'!$C$5:$C$504,$A659,'Issues Log'!$K$5:$K$504,"Open")+COUNTIFS('Issues Log'!$C$5:$C$504,$A659,'Issues Log'!$K$5:$K$504,"In progress"))</f>
        <v/>
      </c>
      <c r="Z659" s="27" t="n"/>
    </row>
    <row r="660">
      <c r="A660" s="27" t="n"/>
      <c r="B660" s="27" t="n"/>
      <c r="C660" s="27" t="n"/>
      <c r="D660" s="28">
        <f>IF($C660="","",IFERROR(INDEX('Topic Plan'!$C$5:$C$115,MATCH($C660,'Topic Plan'!$B$5:$B$115,0)),"UNKNOWN TOPIC ID"))</f>
        <v/>
      </c>
      <c r="E660" s="28">
        <f>IF($C660="","",IFERROR(INDEX('Topic Plan'!$D$5:$D$115,MATCH($C660,'Topic Plan'!$B$5:$B$115,0)),""))</f>
        <v/>
      </c>
      <c r="F660" s="28">
        <f>IF($C660="","",IFERROR(INDEX('Topic Plan'!$E$5:$E$115,MATCH($C660,'Topic Plan'!$B$5:$B$115,0)),""))</f>
        <v/>
      </c>
      <c r="G660" s="23" t="n"/>
      <c r="H660" s="27" t="n"/>
      <c r="I660" s="27" t="n"/>
      <c r="J660" s="27" t="n"/>
      <c r="K660" s="27" t="n"/>
      <c r="L660" s="27" t="n"/>
      <c r="M660" s="27" t="n"/>
      <c r="N660" s="23" t="n"/>
      <c r="O660" s="29" t="n"/>
      <c r="P660" s="29" t="n"/>
      <c r="Q660" s="29" t="n"/>
      <c r="R660" s="29" t="n"/>
      <c r="S660" s="29" t="n"/>
      <c r="T660" s="29" t="n"/>
      <c r="U660" s="29" t="n"/>
      <c r="V660" s="30">
        <f>IF(OR($A660="",$U660=""),"",IF($S660&lt;&gt;"",MAX(0,$S660-$U660),MAX(0,TODAY()-$U660)))</f>
        <v/>
      </c>
      <c r="W660" s="30">
        <f>IF($A660="","",IF(OR($N660="Live",$N660="Retired"),"",TODAY()-MAX($O660,$P660,$Q660,$R660)))</f>
        <v/>
      </c>
      <c r="X660" s="23" t="n"/>
      <c r="Y660" s="30">
        <f>IF($A660="","",COUNTIFS('Issues Log'!$C$5:$C$504,$A660,'Issues Log'!$K$5:$K$504,"Open")+COUNTIFS('Issues Log'!$C$5:$C$504,$A660,'Issues Log'!$K$5:$K$504,"In progress"))</f>
        <v/>
      </c>
      <c r="Z660" s="27" t="n"/>
    </row>
    <row r="661">
      <c r="A661" s="27" t="n"/>
      <c r="B661" s="27" t="n"/>
      <c r="C661" s="27" t="n"/>
      <c r="D661" s="28">
        <f>IF($C661="","",IFERROR(INDEX('Topic Plan'!$C$5:$C$115,MATCH($C661,'Topic Plan'!$B$5:$B$115,0)),"UNKNOWN TOPIC ID"))</f>
        <v/>
      </c>
      <c r="E661" s="28">
        <f>IF($C661="","",IFERROR(INDEX('Topic Plan'!$D$5:$D$115,MATCH($C661,'Topic Plan'!$B$5:$B$115,0)),""))</f>
        <v/>
      </c>
      <c r="F661" s="28">
        <f>IF($C661="","",IFERROR(INDEX('Topic Plan'!$E$5:$E$115,MATCH($C661,'Topic Plan'!$B$5:$B$115,0)),""))</f>
        <v/>
      </c>
      <c r="G661" s="23" t="n"/>
      <c r="H661" s="27" t="n"/>
      <c r="I661" s="27" t="n"/>
      <c r="J661" s="27" t="n"/>
      <c r="K661" s="27" t="n"/>
      <c r="L661" s="27" t="n"/>
      <c r="M661" s="27" t="n"/>
      <c r="N661" s="23" t="n"/>
      <c r="O661" s="29" t="n"/>
      <c r="P661" s="29" t="n"/>
      <c r="Q661" s="29" t="n"/>
      <c r="R661" s="29" t="n"/>
      <c r="S661" s="29" t="n"/>
      <c r="T661" s="29" t="n"/>
      <c r="U661" s="29" t="n"/>
      <c r="V661" s="30">
        <f>IF(OR($A661="",$U661=""),"",IF($S661&lt;&gt;"",MAX(0,$S661-$U661),MAX(0,TODAY()-$U661)))</f>
        <v/>
      </c>
      <c r="W661" s="30">
        <f>IF($A661="","",IF(OR($N661="Live",$N661="Retired"),"",TODAY()-MAX($O661,$P661,$Q661,$R661)))</f>
        <v/>
      </c>
      <c r="X661" s="23" t="n"/>
      <c r="Y661" s="30">
        <f>IF($A661="","",COUNTIFS('Issues Log'!$C$5:$C$504,$A661,'Issues Log'!$K$5:$K$504,"Open")+COUNTIFS('Issues Log'!$C$5:$C$504,$A661,'Issues Log'!$K$5:$K$504,"In progress"))</f>
        <v/>
      </c>
      <c r="Z661" s="27" t="n"/>
    </row>
    <row r="662">
      <c r="A662" s="27" t="n"/>
      <c r="B662" s="27" t="n"/>
      <c r="C662" s="27" t="n"/>
      <c r="D662" s="28">
        <f>IF($C662="","",IFERROR(INDEX('Topic Plan'!$C$5:$C$115,MATCH($C662,'Topic Plan'!$B$5:$B$115,0)),"UNKNOWN TOPIC ID"))</f>
        <v/>
      </c>
      <c r="E662" s="28">
        <f>IF($C662="","",IFERROR(INDEX('Topic Plan'!$D$5:$D$115,MATCH($C662,'Topic Plan'!$B$5:$B$115,0)),""))</f>
        <v/>
      </c>
      <c r="F662" s="28">
        <f>IF($C662="","",IFERROR(INDEX('Topic Plan'!$E$5:$E$115,MATCH($C662,'Topic Plan'!$B$5:$B$115,0)),""))</f>
        <v/>
      </c>
      <c r="G662" s="23" t="n"/>
      <c r="H662" s="27" t="n"/>
      <c r="I662" s="27" t="n"/>
      <c r="J662" s="27" t="n"/>
      <c r="K662" s="27" t="n"/>
      <c r="L662" s="27" t="n"/>
      <c r="M662" s="27" t="n"/>
      <c r="N662" s="23" t="n"/>
      <c r="O662" s="29" t="n"/>
      <c r="P662" s="29" t="n"/>
      <c r="Q662" s="29" t="n"/>
      <c r="R662" s="29" t="n"/>
      <c r="S662" s="29" t="n"/>
      <c r="T662" s="29" t="n"/>
      <c r="U662" s="29" t="n"/>
      <c r="V662" s="30">
        <f>IF(OR($A662="",$U662=""),"",IF($S662&lt;&gt;"",MAX(0,$S662-$U662),MAX(0,TODAY()-$U662)))</f>
        <v/>
      </c>
      <c r="W662" s="30">
        <f>IF($A662="","",IF(OR($N662="Live",$N662="Retired"),"",TODAY()-MAX($O662,$P662,$Q662,$R662)))</f>
        <v/>
      </c>
      <c r="X662" s="23" t="n"/>
      <c r="Y662" s="30">
        <f>IF($A662="","",COUNTIFS('Issues Log'!$C$5:$C$504,$A662,'Issues Log'!$K$5:$K$504,"Open")+COUNTIFS('Issues Log'!$C$5:$C$504,$A662,'Issues Log'!$K$5:$K$504,"In progress"))</f>
        <v/>
      </c>
      <c r="Z662" s="27" t="n"/>
    </row>
    <row r="663">
      <c r="A663" s="27" t="n"/>
      <c r="B663" s="27" t="n"/>
      <c r="C663" s="27" t="n"/>
      <c r="D663" s="28">
        <f>IF($C663="","",IFERROR(INDEX('Topic Plan'!$C$5:$C$115,MATCH($C663,'Topic Plan'!$B$5:$B$115,0)),"UNKNOWN TOPIC ID"))</f>
        <v/>
      </c>
      <c r="E663" s="28">
        <f>IF($C663="","",IFERROR(INDEX('Topic Plan'!$D$5:$D$115,MATCH($C663,'Topic Plan'!$B$5:$B$115,0)),""))</f>
        <v/>
      </c>
      <c r="F663" s="28">
        <f>IF($C663="","",IFERROR(INDEX('Topic Plan'!$E$5:$E$115,MATCH($C663,'Topic Plan'!$B$5:$B$115,0)),""))</f>
        <v/>
      </c>
      <c r="G663" s="23" t="n"/>
      <c r="H663" s="27" t="n"/>
      <c r="I663" s="27" t="n"/>
      <c r="J663" s="27" t="n"/>
      <c r="K663" s="27" t="n"/>
      <c r="L663" s="27" t="n"/>
      <c r="M663" s="27" t="n"/>
      <c r="N663" s="23" t="n"/>
      <c r="O663" s="29" t="n"/>
      <c r="P663" s="29" t="n"/>
      <c r="Q663" s="29" t="n"/>
      <c r="R663" s="29" t="n"/>
      <c r="S663" s="29" t="n"/>
      <c r="T663" s="29" t="n"/>
      <c r="U663" s="29" t="n"/>
      <c r="V663" s="30">
        <f>IF(OR($A663="",$U663=""),"",IF($S663&lt;&gt;"",MAX(0,$S663-$U663),MAX(0,TODAY()-$U663)))</f>
        <v/>
      </c>
      <c r="W663" s="30">
        <f>IF($A663="","",IF(OR($N663="Live",$N663="Retired"),"",TODAY()-MAX($O663,$P663,$Q663,$R663)))</f>
        <v/>
      </c>
      <c r="X663" s="23" t="n"/>
      <c r="Y663" s="30">
        <f>IF($A663="","",COUNTIFS('Issues Log'!$C$5:$C$504,$A663,'Issues Log'!$K$5:$K$504,"Open")+COUNTIFS('Issues Log'!$C$5:$C$504,$A663,'Issues Log'!$K$5:$K$504,"In progress"))</f>
        <v/>
      </c>
      <c r="Z663" s="27" t="n"/>
    </row>
    <row r="664">
      <c r="A664" s="27" t="n"/>
      <c r="B664" s="27" t="n"/>
      <c r="C664" s="27" t="n"/>
      <c r="D664" s="28">
        <f>IF($C664="","",IFERROR(INDEX('Topic Plan'!$C$5:$C$115,MATCH($C664,'Topic Plan'!$B$5:$B$115,0)),"UNKNOWN TOPIC ID"))</f>
        <v/>
      </c>
      <c r="E664" s="28">
        <f>IF($C664="","",IFERROR(INDEX('Topic Plan'!$D$5:$D$115,MATCH($C664,'Topic Plan'!$B$5:$B$115,0)),""))</f>
        <v/>
      </c>
      <c r="F664" s="28">
        <f>IF($C664="","",IFERROR(INDEX('Topic Plan'!$E$5:$E$115,MATCH($C664,'Topic Plan'!$B$5:$B$115,0)),""))</f>
        <v/>
      </c>
      <c r="G664" s="23" t="n"/>
      <c r="H664" s="27" t="n"/>
      <c r="I664" s="27" t="n"/>
      <c r="J664" s="27" t="n"/>
      <c r="K664" s="27" t="n"/>
      <c r="L664" s="27" t="n"/>
      <c r="M664" s="27" t="n"/>
      <c r="N664" s="23" t="n"/>
      <c r="O664" s="29" t="n"/>
      <c r="P664" s="29" t="n"/>
      <c r="Q664" s="29" t="n"/>
      <c r="R664" s="29" t="n"/>
      <c r="S664" s="29" t="n"/>
      <c r="T664" s="29" t="n"/>
      <c r="U664" s="29" t="n"/>
      <c r="V664" s="30">
        <f>IF(OR($A664="",$U664=""),"",IF($S664&lt;&gt;"",MAX(0,$S664-$U664),MAX(0,TODAY()-$U664)))</f>
        <v/>
      </c>
      <c r="W664" s="30">
        <f>IF($A664="","",IF(OR($N664="Live",$N664="Retired"),"",TODAY()-MAX($O664,$P664,$Q664,$R664)))</f>
        <v/>
      </c>
      <c r="X664" s="23" t="n"/>
      <c r="Y664" s="30">
        <f>IF($A664="","",COUNTIFS('Issues Log'!$C$5:$C$504,$A664,'Issues Log'!$K$5:$K$504,"Open")+COUNTIFS('Issues Log'!$C$5:$C$504,$A664,'Issues Log'!$K$5:$K$504,"In progress"))</f>
        <v/>
      </c>
      <c r="Z664" s="27" t="n"/>
    </row>
    <row r="665">
      <c r="A665" s="27" t="n"/>
      <c r="B665" s="27" t="n"/>
      <c r="C665" s="27" t="n"/>
      <c r="D665" s="28">
        <f>IF($C665="","",IFERROR(INDEX('Topic Plan'!$C$5:$C$115,MATCH($C665,'Topic Plan'!$B$5:$B$115,0)),"UNKNOWN TOPIC ID"))</f>
        <v/>
      </c>
      <c r="E665" s="28">
        <f>IF($C665="","",IFERROR(INDEX('Topic Plan'!$D$5:$D$115,MATCH($C665,'Topic Plan'!$B$5:$B$115,0)),""))</f>
        <v/>
      </c>
      <c r="F665" s="28">
        <f>IF($C665="","",IFERROR(INDEX('Topic Plan'!$E$5:$E$115,MATCH($C665,'Topic Plan'!$B$5:$B$115,0)),""))</f>
        <v/>
      </c>
      <c r="G665" s="23" t="n"/>
      <c r="H665" s="27" t="n"/>
      <c r="I665" s="27" t="n"/>
      <c r="J665" s="27" t="n"/>
      <c r="K665" s="27" t="n"/>
      <c r="L665" s="27" t="n"/>
      <c r="M665" s="27" t="n"/>
      <c r="N665" s="23" t="n"/>
      <c r="O665" s="29" t="n"/>
      <c r="P665" s="29" t="n"/>
      <c r="Q665" s="29" t="n"/>
      <c r="R665" s="29" t="n"/>
      <c r="S665" s="29" t="n"/>
      <c r="T665" s="29" t="n"/>
      <c r="U665" s="29" t="n"/>
      <c r="V665" s="30">
        <f>IF(OR($A665="",$U665=""),"",IF($S665&lt;&gt;"",MAX(0,$S665-$U665),MAX(0,TODAY()-$U665)))</f>
        <v/>
      </c>
      <c r="W665" s="30">
        <f>IF($A665="","",IF(OR($N665="Live",$N665="Retired"),"",TODAY()-MAX($O665,$P665,$Q665,$R665)))</f>
        <v/>
      </c>
      <c r="X665" s="23" t="n"/>
      <c r="Y665" s="30">
        <f>IF($A665="","",COUNTIFS('Issues Log'!$C$5:$C$504,$A665,'Issues Log'!$K$5:$K$504,"Open")+COUNTIFS('Issues Log'!$C$5:$C$504,$A665,'Issues Log'!$K$5:$K$504,"In progress"))</f>
        <v/>
      </c>
      <c r="Z665" s="27" t="n"/>
    </row>
    <row r="666">
      <c r="A666" s="27" t="n"/>
      <c r="B666" s="27" t="n"/>
      <c r="C666" s="27" t="n"/>
      <c r="D666" s="28">
        <f>IF($C666="","",IFERROR(INDEX('Topic Plan'!$C$5:$C$115,MATCH($C666,'Topic Plan'!$B$5:$B$115,0)),"UNKNOWN TOPIC ID"))</f>
        <v/>
      </c>
      <c r="E666" s="28">
        <f>IF($C666="","",IFERROR(INDEX('Topic Plan'!$D$5:$D$115,MATCH($C666,'Topic Plan'!$B$5:$B$115,0)),""))</f>
        <v/>
      </c>
      <c r="F666" s="28">
        <f>IF($C666="","",IFERROR(INDEX('Topic Plan'!$E$5:$E$115,MATCH($C666,'Topic Plan'!$B$5:$B$115,0)),""))</f>
        <v/>
      </c>
      <c r="G666" s="23" t="n"/>
      <c r="H666" s="27" t="n"/>
      <c r="I666" s="27" t="n"/>
      <c r="J666" s="27" t="n"/>
      <c r="K666" s="27" t="n"/>
      <c r="L666" s="27" t="n"/>
      <c r="M666" s="27" t="n"/>
      <c r="N666" s="23" t="n"/>
      <c r="O666" s="29" t="n"/>
      <c r="P666" s="29" t="n"/>
      <c r="Q666" s="29" t="n"/>
      <c r="R666" s="29" t="n"/>
      <c r="S666" s="29" t="n"/>
      <c r="T666" s="29" t="n"/>
      <c r="U666" s="29" t="n"/>
      <c r="V666" s="30">
        <f>IF(OR($A666="",$U666=""),"",IF($S666&lt;&gt;"",MAX(0,$S666-$U666),MAX(0,TODAY()-$U666)))</f>
        <v/>
      </c>
      <c r="W666" s="30">
        <f>IF($A666="","",IF(OR($N666="Live",$N666="Retired"),"",TODAY()-MAX($O666,$P666,$Q666,$R666)))</f>
        <v/>
      </c>
      <c r="X666" s="23" t="n"/>
      <c r="Y666" s="30">
        <f>IF($A666="","",COUNTIFS('Issues Log'!$C$5:$C$504,$A666,'Issues Log'!$K$5:$K$504,"Open")+COUNTIFS('Issues Log'!$C$5:$C$504,$A666,'Issues Log'!$K$5:$K$504,"In progress"))</f>
        <v/>
      </c>
      <c r="Z666" s="27" t="n"/>
    </row>
    <row r="667">
      <c r="A667" s="27" t="n"/>
      <c r="B667" s="27" t="n"/>
      <c r="C667" s="27" t="n"/>
      <c r="D667" s="28">
        <f>IF($C667="","",IFERROR(INDEX('Topic Plan'!$C$5:$C$115,MATCH($C667,'Topic Plan'!$B$5:$B$115,0)),"UNKNOWN TOPIC ID"))</f>
        <v/>
      </c>
      <c r="E667" s="28">
        <f>IF($C667="","",IFERROR(INDEX('Topic Plan'!$D$5:$D$115,MATCH($C667,'Topic Plan'!$B$5:$B$115,0)),""))</f>
        <v/>
      </c>
      <c r="F667" s="28">
        <f>IF($C667="","",IFERROR(INDEX('Topic Plan'!$E$5:$E$115,MATCH($C667,'Topic Plan'!$B$5:$B$115,0)),""))</f>
        <v/>
      </c>
      <c r="G667" s="23" t="n"/>
      <c r="H667" s="27" t="n"/>
      <c r="I667" s="27" t="n"/>
      <c r="J667" s="27" t="n"/>
      <c r="K667" s="27" t="n"/>
      <c r="L667" s="27" t="n"/>
      <c r="M667" s="27" t="n"/>
      <c r="N667" s="23" t="n"/>
      <c r="O667" s="29" t="n"/>
      <c r="P667" s="29" t="n"/>
      <c r="Q667" s="29" t="n"/>
      <c r="R667" s="29" t="n"/>
      <c r="S667" s="29" t="n"/>
      <c r="T667" s="29" t="n"/>
      <c r="U667" s="29" t="n"/>
      <c r="V667" s="30">
        <f>IF(OR($A667="",$U667=""),"",IF($S667&lt;&gt;"",MAX(0,$S667-$U667),MAX(0,TODAY()-$U667)))</f>
        <v/>
      </c>
      <c r="W667" s="30">
        <f>IF($A667="","",IF(OR($N667="Live",$N667="Retired"),"",TODAY()-MAX($O667,$P667,$Q667,$R667)))</f>
        <v/>
      </c>
      <c r="X667" s="23" t="n"/>
      <c r="Y667" s="30">
        <f>IF($A667="","",COUNTIFS('Issues Log'!$C$5:$C$504,$A667,'Issues Log'!$K$5:$K$504,"Open")+COUNTIFS('Issues Log'!$C$5:$C$504,$A667,'Issues Log'!$K$5:$K$504,"In progress"))</f>
        <v/>
      </c>
      <c r="Z667" s="27" t="n"/>
    </row>
    <row r="668">
      <c r="A668" s="27" t="n"/>
      <c r="B668" s="27" t="n"/>
      <c r="C668" s="27" t="n"/>
      <c r="D668" s="28">
        <f>IF($C668="","",IFERROR(INDEX('Topic Plan'!$C$5:$C$115,MATCH($C668,'Topic Plan'!$B$5:$B$115,0)),"UNKNOWN TOPIC ID"))</f>
        <v/>
      </c>
      <c r="E668" s="28">
        <f>IF($C668="","",IFERROR(INDEX('Topic Plan'!$D$5:$D$115,MATCH($C668,'Topic Plan'!$B$5:$B$115,0)),""))</f>
        <v/>
      </c>
      <c r="F668" s="28">
        <f>IF($C668="","",IFERROR(INDEX('Topic Plan'!$E$5:$E$115,MATCH($C668,'Topic Plan'!$B$5:$B$115,0)),""))</f>
        <v/>
      </c>
      <c r="G668" s="23" t="n"/>
      <c r="H668" s="27" t="n"/>
      <c r="I668" s="27" t="n"/>
      <c r="J668" s="27" t="n"/>
      <c r="K668" s="27" t="n"/>
      <c r="L668" s="27" t="n"/>
      <c r="M668" s="27" t="n"/>
      <c r="N668" s="23" t="n"/>
      <c r="O668" s="29" t="n"/>
      <c r="P668" s="29" t="n"/>
      <c r="Q668" s="29" t="n"/>
      <c r="R668" s="29" t="n"/>
      <c r="S668" s="29" t="n"/>
      <c r="T668" s="29" t="n"/>
      <c r="U668" s="29" t="n"/>
      <c r="V668" s="30">
        <f>IF(OR($A668="",$U668=""),"",IF($S668&lt;&gt;"",MAX(0,$S668-$U668),MAX(0,TODAY()-$U668)))</f>
        <v/>
      </c>
      <c r="W668" s="30">
        <f>IF($A668="","",IF(OR($N668="Live",$N668="Retired"),"",TODAY()-MAX($O668,$P668,$Q668,$R668)))</f>
        <v/>
      </c>
      <c r="X668" s="23" t="n"/>
      <c r="Y668" s="30">
        <f>IF($A668="","",COUNTIFS('Issues Log'!$C$5:$C$504,$A668,'Issues Log'!$K$5:$K$504,"Open")+COUNTIFS('Issues Log'!$C$5:$C$504,$A668,'Issues Log'!$K$5:$K$504,"In progress"))</f>
        <v/>
      </c>
      <c r="Z668" s="27" t="n"/>
    </row>
    <row r="669">
      <c r="A669" s="27" t="n"/>
      <c r="B669" s="27" t="n"/>
      <c r="C669" s="27" t="n"/>
      <c r="D669" s="28">
        <f>IF($C669="","",IFERROR(INDEX('Topic Plan'!$C$5:$C$115,MATCH($C669,'Topic Plan'!$B$5:$B$115,0)),"UNKNOWN TOPIC ID"))</f>
        <v/>
      </c>
      <c r="E669" s="28">
        <f>IF($C669="","",IFERROR(INDEX('Topic Plan'!$D$5:$D$115,MATCH($C669,'Topic Plan'!$B$5:$B$115,0)),""))</f>
        <v/>
      </c>
      <c r="F669" s="28">
        <f>IF($C669="","",IFERROR(INDEX('Topic Plan'!$E$5:$E$115,MATCH($C669,'Topic Plan'!$B$5:$B$115,0)),""))</f>
        <v/>
      </c>
      <c r="G669" s="23" t="n"/>
      <c r="H669" s="27" t="n"/>
      <c r="I669" s="27" t="n"/>
      <c r="J669" s="27" t="n"/>
      <c r="K669" s="27" t="n"/>
      <c r="L669" s="27" t="n"/>
      <c r="M669" s="27" t="n"/>
      <c r="N669" s="23" t="n"/>
      <c r="O669" s="29" t="n"/>
      <c r="P669" s="29" t="n"/>
      <c r="Q669" s="29" t="n"/>
      <c r="R669" s="29" t="n"/>
      <c r="S669" s="29" t="n"/>
      <c r="T669" s="29" t="n"/>
      <c r="U669" s="29" t="n"/>
      <c r="V669" s="30">
        <f>IF(OR($A669="",$U669=""),"",IF($S669&lt;&gt;"",MAX(0,$S669-$U669),MAX(0,TODAY()-$U669)))</f>
        <v/>
      </c>
      <c r="W669" s="30">
        <f>IF($A669="","",IF(OR($N669="Live",$N669="Retired"),"",TODAY()-MAX($O669,$P669,$Q669,$R669)))</f>
        <v/>
      </c>
      <c r="X669" s="23" t="n"/>
      <c r="Y669" s="30">
        <f>IF($A669="","",COUNTIFS('Issues Log'!$C$5:$C$504,$A669,'Issues Log'!$K$5:$K$504,"Open")+COUNTIFS('Issues Log'!$C$5:$C$504,$A669,'Issues Log'!$K$5:$K$504,"In progress"))</f>
        <v/>
      </c>
      <c r="Z669" s="27" t="n"/>
    </row>
    <row r="670">
      <c r="A670" s="27" t="n"/>
      <c r="B670" s="27" t="n"/>
      <c r="C670" s="27" t="n"/>
      <c r="D670" s="28">
        <f>IF($C670="","",IFERROR(INDEX('Topic Plan'!$C$5:$C$115,MATCH($C670,'Topic Plan'!$B$5:$B$115,0)),"UNKNOWN TOPIC ID"))</f>
        <v/>
      </c>
      <c r="E670" s="28">
        <f>IF($C670="","",IFERROR(INDEX('Topic Plan'!$D$5:$D$115,MATCH($C670,'Topic Plan'!$B$5:$B$115,0)),""))</f>
        <v/>
      </c>
      <c r="F670" s="28">
        <f>IF($C670="","",IFERROR(INDEX('Topic Plan'!$E$5:$E$115,MATCH($C670,'Topic Plan'!$B$5:$B$115,0)),""))</f>
        <v/>
      </c>
      <c r="G670" s="23" t="n"/>
      <c r="H670" s="27" t="n"/>
      <c r="I670" s="27" t="n"/>
      <c r="J670" s="27" t="n"/>
      <c r="K670" s="27" t="n"/>
      <c r="L670" s="27" t="n"/>
      <c r="M670" s="27" t="n"/>
      <c r="N670" s="23" t="n"/>
      <c r="O670" s="29" t="n"/>
      <c r="P670" s="29" t="n"/>
      <c r="Q670" s="29" t="n"/>
      <c r="R670" s="29" t="n"/>
      <c r="S670" s="29" t="n"/>
      <c r="T670" s="29" t="n"/>
      <c r="U670" s="29" t="n"/>
      <c r="V670" s="30">
        <f>IF(OR($A670="",$U670=""),"",IF($S670&lt;&gt;"",MAX(0,$S670-$U670),MAX(0,TODAY()-$U670)))</f>
        <v/>
      </c>
      <c r="W670" s="30">
        <f>IF($A670="","",IF(OR($N670="Live",$N670="Retired"),"",TODAY()-MAX($O670,$P670,$Q670,$R670)))</f>
        <v/>
      </c>
      <c r="X670" s="23" t="n"/>
      <c r="Y670" s="30">
        <f>IF($A670="","",COUNTIFS('Issues Log'!$C$5:$C$504,$A670,'Issues Log'!$K$5:$K$504,"Open")+COUNTIFS('Issues Log'!$C$5:$C$504,$A670,'Issues Log'!$K$5:$K$504,"In progress"))</f>
        <v/>
      </c>
      <c r="Z670" s="27" t="n"/>
    </row>
    <row r="671">
      <c r="A671" s="27" t="n"/>
      <c r="B671" s="27" t="n"/>
      <c r="C671" s="27" t="n"/>
      <c r="D671" s="28">
        <f>IF($C671="","",IFERROR(INDEX('Topic Plan'!$C$5:$C$115,MATCH($C671,'Topic Plan'!$B$5:$B$115,0)),"UNKNOWN TOPIC ID"))</f>
        <v/>
      </c>
      <c r="E671" s="28">
        <f>IF($C671="","",IFERROR(INDEX('Topic Plan'!$D$5:$D$115,MATCH($C671,'Topic Plan'!$B$5:$B$115,0)),""))</f>
        <v/>
      </c>
      <c r="F671" s="28">
        <f>IF($C671="","",IFERROR(INDEX('Topic Plan'!$E$5:$E$115,MATCH($C671,'Topic Plan'!$B$5:$B$115,0)),""))</f>
        <v/>
      </c>
      <c r="G671" s="23" t="n"/>
      <c r="H671" s="27" t="n"/>
      <c r="I671" s="27" t="n"/>
      <c r="J671" s="27" t="n"/>
      <c r="K671" s="27" t="n"/>
      <c r="L671" s="27" t="n"/>
      <c r="M671" s="27" t="n"/>
      <c r="N671" s="23" t="n"/>
      <c r="O671" s="29" t="n"/>
      <c r="P671" s="29" t="n"/>
      <c r="Q671" s="29" t="n"/>
      <c r="R671" s="29" t="n"/>
      <c r="S671" s="29" t="n"/>
      <c r="T671" s="29" t="n"/>
      <c r="U671" s="29" t="n"/>
      <c r="V671" s="30">
        <f>IF(OR($A671="",$U671=""),"",IF($S671&lt;&gt;"",MAX(0,$S671-$U671),MAX(0,TODAY()-$U671)))</f>
        <v/>
      </c>
      <c r="W671" s="30">
        <f>IF($A671="","",IF(OR($N671="Live",$N671="Retired"),"",TODAY()-MAX($O671,$P671,$Q671,$R671)))</f>
        <v/>
      </c>
      <c r="X671" s="23" t="n"/>
      <c r="Y671" s="30">
        <f>IF($A671="","",COUNTIFS('Issues Log'!$C$5:$C$504,$A671,'Issues Log'!$K$5:$K$504,"Open")+COUNTIFS('Issues Log'!$C$5:$C$504,$A671,'Issues Log'!$K$5:$K$504,"In progress"))</f>
        <v/>
      </c>
      <c r="Z671" s="27" t="n"/>
    </row>
    <row r="672">
      <c r="A672" s="27" t="n"/>
      <c r="B672" s="27" t="n"/>
      <c r="C672" s="27" t="n"/>
      <c r="D672" s="28">
        <f>IF($C672="","",IFERROR(INDEX('Topic Plan'!$C$5:$C$115,MATCH($C672,'Topic Plan'!$B$5:$B$115,0)),"UNKNOWN TOPIC ID"))</f>
        <v/>
      </c>
      <c r="E672" s="28">
        <f>IF($C672="","",IFERROR(INDEX('Topic Plan'!$D$5:$D$115,MATCH($C672,'Topic Plan'!$B$5:$B$115,0)),""))</f>
        <v/>
      </c>
      <c r="F672" s="28">
        <f>IF($C672="","",IFERROR(INDEX('Topic Plan'!$E$5:$E$115,MATCH($C672,'Topic Plan'!$B$5:$B$115,0)),""))</f>
        <v/>
      </c>
      <c r="G672" s="23" t="n"/>
      <c r="H672" s="27" t="n"/>
      <c r="I672" s="27" t="n"/>
      <c r="J672" s="27" t="n"/>
      <c r="K672" s="27" t="n"/>
      <c r="L672" s="27" t="n"/>
      <c r="M672" s="27" t="n"/>
      <c r="N672" s="23" t="n"/>
      <c r="O672" s="29" t="n"/>
      <c r="P672" s="29" t="n"/>
      <c r="Q672" s="29" t="n"/>
      <c r="R672" s="29" t="n"/>
      <c r="S672" s="29" t="n"/>
      <c r="T672" s="29" t="n"/>
      <c r="U672" s="29" t="n"/>
      <c r="V672" s="30">
        <f>IF(OR($A672="",$U672=""),"",IF($S672&lt;&gt;"",MAX(0,$S672-$U672),MAX(0,TODAY()-$U672)))</f>
        <v/>
      </c>
      <c r="W672" s="30">
        <f>IF($A672="","",IF(OR($N672="Live",$N672="Retired"),"",TODAY()-MAX($O672,$P672,$Q672,$R672)))</f>
        <v/>
      </c>
      <c r="X672" s="23" t="n"/>
      <c r="Y672" s="30">
        <f>IF($A672="","",COUNTIFS('Issues Log'!$C$5:$C$504,$A672,'Issues Log'!$K$5:$K$504,"Open")+COUNTIFS('Issues Log'!$C$5:$C$504,$A672,'Issues Log'!$K$5:$K$504,"In progress"))</f>
        <v/>
      </c>
      <c r="Z672" s="27" t="n"/>
    </row>
    <row r="673">
      <c r="A673" s="27" t="n"/>
      <c r="B673" s="27" t="n"/>
      <c r="C673" s="27" t="n"/>
      <c r="D673" s="28">
        <f>IF($C673="","",IFERROR(INDEX('Topic Plan'!$C$5:$C$115,MATCH($C673,'Topic Plan'!$B$5:$B$115,0)),"UNKNOWN TOPIC ID"))</f>
        <v/>
      </c>
      <c r="E673" s="28">
        <f>IF($C673="","",IFERROR(INDEX('Topic Plan'!$D$5:$D$115,MATCH($C673,'Topic Plan'!$B$5:$B$115,0)),""))</f>
        <v/>
      </c>
      <c r="F673" s="28">
        <f>IF($C673="","",IFERROR(INDEX('Topic Plan'!$E$5:$E$115,MATCH($C673,'Topic Plan'!$B$5:$B$115,0)),""))</f>
        <v/>
      </c>
      <c r="G673" s="23" t="n"/>
      <c r="H673" s="27" t="n"/>
      <c r="I673" s="27" t="n"/>
      <c r="J673" s="27" t="n"/>
      <c r="K673" s="27" t="n"/>
      <c r="L673" s="27" t="n"/>
      <c r="M673" s="27" t="n"/>
      <c r="N673" s="23" t="n"/>
      <c r="O673" s="29" t="n"/>
      <c r="P673" s="29" t="n"/>
      <c r="Q673" s="29" t="n"/>
      <c r="R673" s="29" t="n"/>
      <c r="S673" s="29" t="n"/>
      <c r="T673" s="29" t="n"/>
      <c r="U673" s="29" t="n"/>
      <c r="V673" s="30">
        <f>IF(OR($A673="",$U673=""),"",IF($S673&lt;&gt;"",MAX(0,$S673-$U673),MAX(0,TODAY()-$U673)))</f>
        <v/>
      </c>
      <c r="W673" s="30">
        <f>IF($A673="","",IF(OR($N673="Live",$N673="Retired"),"",TODAY()-MAX($O673,$P673,$Q673,$R673)))</f>
        <v/>
      </c>
      <c r="X673" s="23" t="n"/>
      <c r="Y673" s="30">
        <f>IF($A673="","",COUNTIFS('Issues Log'!$C$5:$C$504,$A673,'Issues Log'!$K$5:$K$504,"Open")+COUNTIFS('Issues Log'!$C$5:$C$504,$A673,'Issues Log'!$K$5:$K$504,"In progress"))</f>
        <v/>
      </c>
      <c r="Z673" s="27" t="n"/>
    </row>
    <row r="674">
      <c r="A674" s="27" t="n"/>
      <c r="B674" s="27" t="n"/>
      <c r="C674" s="27" t="n"/>
      <c r="D674" s="28">
        <f>IF($C674="","",IFERROR(INDEX('Topic Plan'!$C$5:$C$115,MATCH($C674,'Topic Plan'!$B$5:$B$115,0)),"UNKNOWN TOPIC ID"))</f>
        <v/>
      </c>
      <c r="E674" s="28">
        <f>IF($C674="","",IFERROR(INDEX('Topic Plan'!$D$5:$D$115,MATCH($C674,'Topic Plan'!$B$5:$B$115,0)),""))</f>
        <v/>
      </c>
      <c r="F674" s="28">
        <f>IF($C674="","",IFERROR(INDEX('Topic Plan'!$E$5:$E$115,MATCH($C674,'Topic Plan'!$B$5:$B$115,0)),""))</f>
        <v/>
      </c>
      <c r="G674" s="23" t="n"/>
      <c r="H674" s="27" t="n"/>
      <c r="I674" s="27" t="n"/>
      <c r="J674" s="27" t="n"/>
      <c r="K674" s="27" t="n"/>
      <c r="L674" s="27" t="n"/>
      <c r="M674" s="27" t="n"/>
      <c r="N674" s="23" t="n"/>
      <c r="O674" s="29" t="n"/>
      <c r="P674" s="29" t="n"/>
      <c r="Q674" s="29" t="n"/>
      <c r="R674" s="29" t="n"/>
      <c r="S674" s="29" t="n"/>
      <c r="T674" s="29" t="n"/>
      <c r="U674" s="29" t="n"/>
      <c r="V674" s="30">
        <f>IF(OR($A674="",$U674=""),"",IF($S674&lt;&gt;"",MAX(0,$S674-$U674),MAX(0,TODAY()-$U674)))</f>
        <v/>
      </c>
      <c r="W674" s="30">
        <f>IF($A674="","",IF(OR($N674="Live",$N674="Retired"),"",TODAY()-MAX($O674,$P674,$Q674,$R674)))</f>
        <v/>
      </c>
      <c r="X674" s="23" t="n"/>
      <c r="Y674" s="30">
        <f>IF($A674="","",COUNTIFS('Issues Log'!$C$5:$C$504,$A674,'Issues Log'!$K$5:$K$504,"Open")+COUNTIFS('Issues Log'!$C$5:$C$504,$A674,'Issues Log'!$K$5:$K$504,"In progress"))</f>
        <v/>
      </c>
      <c r="Z674" s="27" t="n"/>
    </row>
    <row r="675">
      <c r="A675" s="27" t="n"/>
      <c r="B675" s="27" t="n"/>
      <c r="C675" s="27" t="n"/>
      <c r="D675" s="28">
        <f>IF($C675="","",IFERROR(INDEX('Topic Plan'!$C$5:$C$115,MATCH($C675,'Topic Plan'!$B$5:$B$115,0)),"UNKNOWN TOPIC ID"))</f>
        <v/>
      </c>
      <c r="E675" s="28">
        <f>IF($C675="","",IFERROR(INDEX('Topic Plan'!$D$5:$D$115,MATCH($C675,'Topic Plan'!$B$5:$B$115,0)),""))</f>
        <v/>
      </c>
      <c r="F675" s="28">
        <f>IF($C675="","",IFERROR(INDEX('Topic Plan'!$E$5:$E$115,MATCH($C675,'Topic Plan'!$B$5:$B$115,0)),""))</f>
        <v/>
      </c>
      <c r="G675" s="23" t="n"/>
      <c r="H675" s="27" t="n"/>
      <c r="I675" s="27" t="n"/>
      <c r="J675" s="27" t="n"/>
      <c r="K675" s="27" t="n"/>
      <c r="L675" s="27" t="n"/>
      <c r="M675" s="27" t="n"/>
      <c r="N675" s="23" t="n"/>
      <c r="O675" s="29" t="n"/>
      <c r="P675" s="29" t="n"/>
      <c r="Q675" s="29" t="n"/>
      <c r="R675" s="29" t="n"/>
      <c r="S675" s="29" t="n"/>
      <c r="T675" s="29" t="n"/>
      <c r="U675" s="29" t="n"/>
      <c r="V675" s="30">
        <f>IF(OR($A675="",$U675=""),"",IF($S675&lt;&gt;"",MAX(0,$S675-$U675),MAX(0,TODAY()-$U675)))</f>
        <v/>
      </c>
      <c r="W675" s="30">
        <f>IF($A675="","",IF(OR($N675="Live",$N675="Retired"),"",TODAY()-MAX($O675,$P675,$Q675,$R675)))</f>
        <v/>
      </c>
      <c r="X675" s="23" t="n"/>
      <c r="Y675" s="30">
        <f>IF($A675="","",COUNTIFS('Issues Log'!$C$5:$C$504,$A675,'Issues Log'!$K$5:$K$504,"Open")+COUNTIFS('Issues Log'!$C$5:$C$504,$A675,'Issues Log'!$K$5:$K$504,"In progress"))</f>
        <v/>
      </c>
      <c r="Z675" s="27" t="n"/>
    </row>
    <row r="676">
      <c r="A676" s="27" t="n"/>
      <c r="B676" s="27" t="n"/>
      <c r="C676" s="27" t="n"/>
      <c r="D676" s="28">
        <f>IF($C676="","",IFERROR(INDEX('Topic Plan'!$C$5:$C$115,MATCH($C676,'Topic Plan'!$B$5:$B$115,0)),"UNKNOWN TOPIC ID"))</f>
        <v/>
      </c>
      <c r="E676" s="28">
        <f>IF($C676="","",IFERROR(INDEX('Topic Plan'!$D$5:$D$115,MATCH($C676,'Topic Plan'!$B$5:$B$115,0)),""))</f>
        <v/>
      </c>
      <c r="F676" s="28">
        <f>IF($C676="","",IFERROR(INDEX('Topic Plan'!$E$5:$E$115,MATCH($C676,'Topic Plan'!$B$5:$B$115,0)),""))</f>
        <v/>
      </c>
      <c r="G676" s="23" t="n"/>
      <c r="H676" s="27" t="n"/>
      <c r="I676" s="27" t="n"/>
      <c r="J676" s="27" t="n"/>
      <c r="K676" s="27" t="n"/>
      <c r="L676" s="27" t="n"/>
      <c r="M676" s="27" t="n"/>
      <c r="N676" s="23" t="n"/>
      <c r="O676" s="29" t="n"/>
      <c r="P676" s="29" t="n"/>
      <c r="Q676" s="29" t="n"/>
      <c r="R676" s="29" t="n"/>
      <c r="S676" s="29" t="n"/>
      <c r="T676" s="29" t="n"/>
      <c r="U676" s="29" t="n"/>
      <c r="V676" s="30">
        <f>IF(OR($A676="",$U676=""),"",IF($S676&lt;&gt;"",MAX(0,$S676-$U676),MAX(0,TODAY()-$U676)))</f>
        <v/>
      </c>
      <c r="W676" s="30">
        <f>IF($A676="","",IF(OR($N676="Live",$N676="Retired"),"",TODAY()-MAX($O676,$P676,$Q676,$R676)))</f>
        <v/>
      </c>
      <c r="X676" s="23" t="n"/>
      <c r="Y676" s="30">
        <f>IF($A676="","",COUNTIFS('Issues Log'!$C$5:$C$504,$A676,'Issues Log'!$K$5:$K$504,"Open")+COUNTIFS('Issues Log'!$C$5:$C$504,$A676,'Issues Log'!$K$5:$K$504,"In progress"))</f>
        <v/>
      </c>
      <c r="Z676" s="27" t="n"/>
    </row>
    <row r="677">
      <c r="A677" s="27" t="n"/>
      <c r="B677" s="27" t="n"/>
      <c r="C677" s="27" t="n"/>
      <c r="D677" s="28">
        <f>IF($C677="","",IFERROR(INDEX('Topic Plan'!$C$5:$C$115,MATCH($C677,'Topic Plan'!$B$5:$B$115,0)),"UNKNOWN TOPIC ID"))</f>
        <v/>
      </c>
      <c r="E677" s="28">
        <f>IF($C677="","",IFERROR(INDEX('Topic Plan'!$D$5:$D$115,MATCH($C677,'Topic Plan'!$B$5:$B$115,0)),""))</f>
        <v/>
      </c>
      <c r="F677" s="28">
        <f>IF($C677="","",IFERROR(INDEX('Topic Plan'!$E$5:$E$115,MATCH($C677,'Topic Plan'!$B$5:$B$115,0)),""))</f>
        <v/>
      </c>
      <c r="G677" s="23" t="n"/>
      <c r="H677" s="27" t="n"/>
      <c r="I677" s="27" t="n"/>
      <c r="J677" s="27" t="n"/>
      <c r="K677" s="27" t="n"/>
      <c r="L677" s="27" t="n"/>
      <c r="M677" s="27" t="n"/>
      <c r="N677" s="23" t="n"/>
      <c r="O677" s="29" t="n"/>
      <c r="P677" s="29" t="n"/>
      <c r="Q677" s="29" t="n"/>
      <c r="R677" s="29" t="n"/>
      <c r="S677" s="29" t="n"/>
      <c r="T677" s="29" t="n"/>
      <c r="U677" s="29" t="n"/>
      <c r="V677" s="30">
        <f>IF(OR($A677="",$U677=""),"",IF($S677&lt;&gt;"",MAX(0,$S677-$U677),MAX(0,TODAY()-$U677)))</f>
        <v/>
      </c>
      <c r="W677" s="30">
        <f>IF($A677="","",IF(OR($N677="Live",$N677="Retired"),"",TODAY()-MAX($O677,$P677,$Q677,$R677)))</f>
        <v/>
      </c>
      <c r="X677" s="23" t="n"/>
      <c r="Y677" s="30">
        <f>IF($A677="","",COUNTIFS('Issues Log'!$C$5:$C$504,$A677,'Issues Log'!$K$5:$K$504,"Open")+COUNTIFS('Issues Log'!$C$5:$C$504,$A677,'Issues Log'!$K$5:$K$504,"In progress"))</f>
        <v/>
      </c>
      <c r="Z677" s="27" t="n"/>
    </row>
    <row r="678">
      <c r="A678" s="27" t="n"/>
      <c r="B678" s="27" t="n"/>
      <c r="C678" s="27" t="n"/>
      <c r="D678" s="28">
        <f>IF($C678="","",IFERROR(INDEX('Topic Plan'!$C$5:$C$115,MATCH($C678,'Topic Plan'!$B$5:$B$115,0)),"UNKNOWN TOPIC ID"))</f>
        <v/>
      </c>
      <c r="E678" s="28">
        <f>IF($C678="","",IFERROR(INDEX('Topic Plan'!$D$5:$D$115,MATCH($C678,'Topic Plan'!$B$5:$B$115,0)),""))</f>
        <v/>
      </c>
      <c r="F678" s="28">
        <f>IF($C678="","",IFERROR(INDEX('Topic Plan'!$E$5:$E$115,MATCH($C678,'Topic Plan'!$B$5:$B$115,0)),""))</f>
        <v/>
      </c>
      <c r="G678" s="23" t="n"/>
      <c r="H678" s="27" t="n"/>
      <c r="I678" s="27" t="n"/>
      <c r="J678" s="27" t="n"/>
      <c r="K678" s="27" t="n"/>
      <c r="L678" s="27" t="n"/>
      <c r="M678" s="27" t="n"/>
      <c r="N678" s="23" t="n"/>
      <c r="O678" s="29" t="n"/>
      <c r="P678" s="29" t="n"/>
      <c r="Q678" s="29" t="n"/>
      <c r="R678" s="29" t="n"/>
      <c r="S678" s="29" t="n"/>
      <c r="T678" s="29" t="n"/>
      <c r="U678" s="29" t="n"/>
      <c r="V678" s="30">
        <f>IF(OR($A678="",$U678=""),"",IF($S678&lt;&gt;"",MAX(0,$S678-$U678),MAX(0,TODAY()-$U678)))</f>
        <v/>
      </c>
      <c r="W678" s="30">
        <f>IF($A678="","",IF(OR($N678="Live",$N678="Retired"),"",TODAY()-MAX($O678,$P678,$Q678,$R678)))</f>
        <v/>
      </c>
      <c r="X678" s="23" t="n"/>
      <c r="Y678" s="30">
        <f>IF($A678="","",COUNTIFS('Issues Log'!$C$5:$C$504,$A678,'Issues Log'!$K$5:$K$504,"Open")+COUNTIFS('Issues Log'!$C$5:$C$504,$A678,'Issues Log'!$K$5:$K$504,"In progress"))</f>
        <v/>
      </c>
      <c r="Z678" s="27" t="n"/>
    </row>
    <row r="679">
      <c r="A679" s="27" t="n"/>
      <c r="B679" s="27" t="n"/>
      <c r="C679" s="27" t="n"/>
      <c r="D679" s="28">
        <f>IF($C679="","",IFERROR(INDEX('Topic Plan'!$C$5:$C$115,MATCH($C679,'Topic Plan'!$B$5:$B$115,0)),"UNKNOWN TOPIC ID"))</f>
        <v/>
      </c>
      <c r="E679" s="28">
        <f>IF($C679="","",IFERROR(INDEX('Topic Plan'!$D$5:$D$115,MATCH($C679,'Topic Plan'!$B$5:$B$115,0)),""))</f>
        <v/>
      </c>
      <c r="F679" s="28">
        <f>IF($C679="","",IFERROR(INDEX('Topic Plan'!$E$5:$E$115,MATCH($C679,'Topic Plan'!$B$5:$B$115,0)),""))</f>
        <v/>
      </c>
      <c r="G679" s="23" t="n"/>
      <c r="H679" s="27" t="n"/>
      <c r="I679" s="27" t="n"/>
      <c r="J679" s="27" t="n"/>
      <c r="K679" s="27" t="n"/>
      <c r="L679" s="27" t="n"/>
      <c r="M679" s="27" t="n"/>
      <c r="N679" s="23" t="n"/>
      <c r="O679" s="29" t="n"/>
      <c r="P679" s="29" t="n"/>
      <c r="Q679" s="29" t="n"/>
      <c r="R679" s="29" t="n"/>
      <c r="S679" s="29" t="n"/>
      <c r="T679" s="29" t="n"/>
      <c r="U679" s="29" t="n"/>
      <c r="V679" s="30">
        <f>IF(OR($A679="",$U679=""),"",IF($S679&lt;&gt;"",MAX(0,$S679-$U679),MAX(0,TODAY()-$U679)))</f>
        <v/>
      </c>
      <c r="W679" s="30">
        <f>IF($A679="","",IF(OR($N679="Live",$N679="Retired"),"",TODAY()-MAX($O679,$P679,$Q679,$R679)))</f>
        <v/>
      </c>
      <c r="X679" s="23" t="n"/>
      <c r="Y679" s="30">
        <f>IF($A679="","",COUNTIFS('Issues Log'!$C$5:$C$504,$A679,'Issues Log'!$K$5:$K$504,"Open")+COUNTIFS('Issues Log'!$C$5:$C$504,$A679,'Issues Log'!$K$5:$K$504,"In progress"))</f>
        <v/>
      </c>
      <c r="Z679" s="27" t="n"/>
    </row>
    <row r="680">
      <c r="A680" s="27" t="n"/>
      <c r="B680" s="27" t="n"/>
      <c r="C680" s="27" t="n"/>
      <c r="D680" s="28">
        <f>IF($C680="","",IFERROR(INDEX('Topic Plan'!$C$5:$C$115,MATCH($C680,'Topic Plan'!$B$5:$B$115,0)),"UNKNOWN TOPIC ID"))</f>
        <v/>
      </c>
      <c r="E680" s="28">
        <f>IF($C680="","",IFERROR(INDEX('Topic Plan'!$D$5:$D$115,MATCH($C680,'Topic Plan'!$B$5:$B$115,0)),""))</f>
        <v/>
      </c>
      <c r="F680" s="28">
        <f>IF($C680="","",IFERROR(INDEX('Topic Plan'!$E$5:$E$115,MATCH($C680,'Topic Plan'!$B$5:$B$115,0)),""))</f>
        <v/>
      </c>
      <c r="G680" s="23" t="n"/>
      <c r="H680" s="27" t="n"/>
      <c r="I680" s="27" t="n"/>
      <c r="J680" s="27" t="n"/>
      <c r="K680" s="27" t="n"/>
      <c r="L680" s="27" t="n"/>
      <c r="M680" s="27" t="n"/>
      <c r="N680" s="23" t="n"/>
      <c r="O680" s="29" t="n"/>
      <c r="P680" s="29" t="n"/>
      <c r="Q680" s="29" t="n"/>
      <c r="R680" s="29" t="n"/>
      <c r="S680" s="29" t="n"/>
      <c r="T680" s="29" t="n"/>
      <c r="U680" s="29" t="n"/>
      <c r="V680" s="30">
        <f>IF(OR($A680="",$U680=""),"",IF($S680&lt;&gt;"",MAX(0,$S680-$U680),MAX(0,TODAY()-$U680)))</f>
        <v/>
      </c>
      <c r="W680" s="30">
        <f>IF($A680="","",IF(OR($N680="Live",$N680="Retired"),"",TODAY()-MAX($O680,$P680,$Q680,$R680)))</f>
        <v/>
      </c>
      <c r="X680" s="23" t="n"/>
      <c r="Y680" s="30">
        <f>IF($A680="","",COUNTIFS('Issues Log'!$C$5:$C$504,$A680,'Issues Log'!$K$5:$K$504,"Open")+COUNTIFS('Issues Log'!$C$5:$C$504,$A680,'Issues Log'!$K$5:$K$504,"In progress"))</f>
        <v/>
      </c>
      <c r="Z680" s="27" t="n"/>
    </row>
    <row r="681">
      <c r="A681" s="27" t="n"/>
      <c r="B681" s="27" t="n"/>
      <c r="C681" s="27" t="n"/>
      <c r="D681" s="28">
        <f>IF($C681="","",IFERROR(INDEX('Topic Plan'!$C$5:$C$115,MATCH($C681,'Topic Plan'!$B$5:$B$115,0)),"UNKNOWN TOPIC ID"))</f>
        <v/>
      </c>
      <c r="E681" s="28">
        <f>IF($C681="","",IFERROR(INDEX('Topic Plan'!$D$5:$D$115,MATCH($C681,'Topic Plan'!$B$5:$B$115,0)),""))</f>
        <v/>
      </c>
      <c r="F681" s="28">
        <f>IF($C681="","",IFERROR(INDEX('Topic Plan'!$E$5:$E$115,MATCH($C681,'Topic Plan'!$B$5:$B$115,0)),""))</f>
        <v/>
      </c>
      <c r="G681" s="23" t="n"/>
      <c r="H681" s="27" t="n"/>
      <c r="I681" s="27" t="n"/>
      <c r="J681" s="27" t="n"/>
      <c r="K681" s="27" t="n"/>
      <c r="L681" s="27" t="n"/>
      <c r="M681" s="27" t="n"/>
      <c r="N681" s="23" t="n"/>
      <c r="O681" s="29" t="n"/>
      <c r="P681" s="29" t="n"/>
      <c r="Q681" s="29" t="n"/>
      <c r="R681" s="29" t="n"/>
      <c r="S681" s="29" t="n"/>
      <c r="T681" s="29" t="n"/>
      <c r="U681" s="29" t="n"/>
      <c r="V681" s="30">
        <f>IF(OR($A681="",$U681=""),"",IF($S681&lt;&gt;"",MAX(0,$S681-$U681),MAX(0,TODAY()-$U681)))</f>
        <v/>
      </c>
      <c r="W681" s="30">
        <f>IF($A681="","",IF(OR($N681="Live",$N681="Retired"),"",TODAY()-MAX($O681,$P681,$Q681,$R681)))</f>
        <v/>
      </c>
      <c r="X681" s="23" t="n"/>
      <c r="Y681" s="30">
        <f>IF($A681="","",COUNTIFS('Issues Log'!$C$5:$C$504,$A681,'Issues Log'!$K$5:$K$504,"Open")+COUNTIFS('Issues Log'!$C$5:$C$504,$A681,'Issues Log'!$K$5:$K$504,"In progress"))</f>
        <v/>
      </c>
      <c r="Z681" s="27" t="n"/>
    </row>
    <row r="682">
      <c r="A682" s="27" t="n"/>
      <c r="B682" s="27" t="n"/>
      <c r="C682" s="27" t="n"/>
      <c r="D682" s="28">
        <f>IF($C682="","",IFERROR(INDEX('Topic Plan'!$C$5:$C$115,MATCH($C682,'Topic Plan'!$B$5:$B$115,0)),"UNKNOWN TOPIC ID"))</f>
        <v/>
      </c>
      <c r="E682" s="28">
        <f>IF($C682="","",IFERROR(INDEX('Topic Plan'!$D$5:$D$115,MATCH($C682,'Topic Plan'!$B$5:$B$115,0)),""))</f>
        <v/>
      </c>
      <c r="F682" s="28">
        <f>IF($C682="","",IFERROR(INDEX('Topic Plan'!$E$5:$E$115,MATCH($C682,'Topic Plan'!$B$5:$B$115,0)),""))</f>
        <v/>
      </c>
      <c r="G682" s="23" t="n"/>
      <c r="H682" s="27" t="n"/>
      <c r="I682" s="27" t="n"/>
      <c r="J682" s="27" t="n"/>
      <c r="K682" s="27" t="n"/>
      <c r="L682" s="27" t="n"/>
      <c r="M682" s="27" t="n"/>
      <c r="N682" s="23" t="n"/>
      <c r="O682" s="29" t="n"/>
      <c r="P682" s="29" t="n"/>
      <c r="Q682" s="29" t="n"/>
      <c r="R682" s="29" t="n"/>
      <c r="S682" s="29" t="n"/>
      <c r="T682" s="29" t="n"/>
      <c r="U682" s="29" t="n"/>
      <c r="V682" s="30">
        <f>IF(OR($A682="",$U682=""),"",IF($S682&lt;&gt;"",MAX(0,$S682-$U682),MAX(0,TODAY()-$U682)))</f>
        <v/>
      </c>
      <c r="W682" s="30">
        <f>IF($A682="","",IF(OR($N682="Live",$N682="Retired"),"",TODAY()-MAX($O682,$P682,$Q682,$R682)))</f>
        <v/>
      </c>
      <c r="X682" s="23" t="n"/>
      <c r="Y682" s="30">
        <f>IF($A682="","",COUNTIFS('Issues Log'!$C$5:$C$504,$A682,'Issues Log'!$K$5:$K$504,"Open")+COUNTIFS('Issues Log'!$C$5:$C$504,$A682,'Issues Log'!$K$5:$K$504,"In progress"))</f>
        <v/>
      </c>
      <c r="Z682" s="27" t="n"/>
    </row>
    <row r="683">
      <c r="A683" s="27" t="n"/>
      <c r="B683" s="27" t="n"/>
      <c r="C683" s="27" t="n"/>
      <c r="D683" s="28">
        <f>IF($C683="","",IFERROR(INDEX('Topic Plan'!$C$5:$C$115,MATCH($C683,'Topic Plan'!$B$5:$B$115,0)),"UNKNOWN TOPIC ID"))</f>
        <v/>
      </c>
      <c r="E683" s="28">
        <f>IF($C683="","",IFERROR(INDEX('Topic Plan'!$D$5:$D$115,MATCH($C683,'Topic Plan'!$B$5:$B$115,0)),""))</f>
        <v/>
      </c>
      <c r="F683" s="28">
        <f>IF($C683="","",IFERROR(INDEX('Topic Plan'!$E$5:$E$115,MATCH($C683,'Topic Plan'!$B$5:$B$115,0)),""))</f>
        <v/>
      </c>
      <c r="G683" s="23" t="n"/>
      <c r="H683" s="27" t="n"/>
      <c r="I683" s="27" t="n"/>
      <c r="J683" s="27" t="n"/>
      <c r="K683" s="27" t="n"/>
      <c r="L683" s="27" t="n"/>
      <c r="M683" s="27" t="n"/>
      <c r="N683" s="23" t="n"/>
      <c r="O683" s="29" t="n"/>
      <c r="P683" s="29" t="n"/>
      <c r="Q683" s="29" t="n"/>
      <c r="R683" s="29" t="n"/>
      <c r="S683" s="29" t="n"/>
      <c r="T683" s="29" t="n"/>
      <c r="U683" s="29" t="n"/>
      <c r="V683" s="30">
        <f>IF(OR($A683="",$U683=""),"",IF($S683&lt;&gt;"",MAX(0,$S683-$U683),MAX(0,TODAY()-$U683)))</f>
        <v/>
      </c>
      <c r="W683" s="30">
        <f>IF($A683="","",IF(OR($N683="Live",$N683="Retired"),"",TODAY()-MAX($O683,$P683,$Q683,$R683)))</f>
        <v/>
      </c>
      <c r="X683" s="23" t="n"/>
      <c r="Y683" s="30">
        <f>IF($A683="","",COUNTIFS('Issues Log'!$C$5:$C$504,$A683,'Issues Log'!$K$5:$K$504,"Open")+COUNTIFS('Issues Log'!$C$5:$C$504,$A683,'Issues Log'!$K$5:$K$504,"In progress"))</f>
        <v/>
      </c>
      <c r="Z683" s="27" t="n"/>
    </row>
    <row r="684">
      <c r="A684" s="27" t="n"/>
      <c r="B684" s="27" t="n"/>
      <c r="C684" s="27" t="n"/>
      <c r="D684" s="28">
        <f>IF($C684="","",IFERROR(INDEX('Topic Plan'!$C$5:$C$115,MATCH($C684,'Topic Plan'!$B$5:$B$115,0)),"UNKNOWN TOPIC ID"))</f>
        <v/>
      </c>
      <c r="E684" s="28">
        <f>IF($C684="","",IFERROR(INDEX('Topic Plan'!$D$5:$D$115,MATCH($C684,'Topic Plan'!$B$5:$B$115,0)),""))</f>
        <v/>
      </c>
      <c r="F684" s="28">
        <f>IF($C684="","",IFERROR(INDEX('Topic Plan'!$E$5:$E$115,MATCH($C684,'Topic Plan'!$B$5:$B$115,0)),""))</f>
        <v/>
      </c>
      <c r="G684" s="23" t="n"/>
      <c r="H684" s="27" t="n"/>
      <c r="I684" s="27" t="n"/>
      <c r="J684" s="27" t="n"/>
      <c r="K684" s="27" t="n"/>
      <c r="L684" s="27" t="n"/>
      <c r="M684" s="27" t="n"/>
      <c r="N684" s="23" t="n"/>
      <c r="O684" s="29" t="n"/>
      <c r="P684" s="29" t="n"/>
      <c r="Q684" s="29" t="n"/>
      <c r="R684" s="29" t="n"/>
      <c r="S684" s="29" t="n"/>
      <c r="T684" s="29" t="n"/>
      <c r="U684" s="29" t="n"/>
      <c r="V684" s="30">
        <f>IF(OR($A684="",$U684=""),"",IF($S684&lt;&gt;"",MAX(0,$S684-$U684),MAX(0,TODAY()-$U684)))</f>
        <v/>
      </c>
      <c r="W684" s="30">
        <f>IF($A684="","",IF(OR($N684="Live",$N684="Retired"),"",TODAY()-MAX($O684,$P684,$Q684,$R684)))</f>
        <v/>
      </c>
      <c r="X684" s="23" t="n"/>
      <c r="Y684" s="30">
        <f>IF($A684="","",COUNTIFS('Issues Log'!$C$5:$C$504,$A684,'Issues Log'!$K$5:$K$504,"Open")+COUNTIFS('Issues Log'!$C$5:$C$504,$A684,'Issues Log'!$K$5:$K$504,"In progress"))</f>
        <v/>
      </c>
      <c r="Z684" s="27" t="n"/>
    </row>
    <row r="685">
      <c r="A685" s="27" t="n"/>
      <c r="B685" s="27" t="n"/>
      <c r="C685" s="27" t="n"/>
      <c r="D685" s="28">
        <f>IF($C685="","",IFERROR(INDEX('Topic Plan'!$C$5:$C$115,MATCH($C685,'Topic Plan'!$B$5:$B$115,0)),"UNKNOWN TOPIC ID"))</f>
        <v/>
      </c>
      <c r="E685" s="28">
        <f>IF($C685="","",IFERROR(INDEX('Topic Plan'!$D$5:$D$115,MATCH($C685,'Topic Plan'!$B$5:$B$115,0)),""))</f>
        <v/>
      </c>
      <c r="F685" s="28">
        <f>IF($C685="","",IFERROR(INDEX('Topic Plan'!$E$5:$E$115,MATCH($C685,'Topic Plan'!$B$5:$B$115,0)),""))</f>
        <v/>
      </c>
      <c r="G685" s="23" t="n"/>
      <c r="H685" s="27" t="n"/>
      <c r="I685" s="27" t="n"/>
      <c r="J685" s="27" t="n"/>
      <c r="K685" s="27" t="n"/>
      <c r="L685" s="27" t="n"/>
      <c r="M685" s="27" t="n"/>
      <c r="N685" s="23" t="n"/>
      <c r="O685" s="29" t="n"/>
      <c r="P685" s="29" t="n"/>
      <c r="Q685" s="29" t="n"/>
      <c r="R685" s="29" t="n"/>
      <c r="S685" s="29" t="n"/>
      <c r="T685" s="29" t="n"/>
      <c r="U685" s="29" t="n"/>
      <c r="V685" s="30">
        <f>IF(OR($A685="",$U685=""),"",IF($S685&lt;&gt;"",MAX(0,$S685-$U685),MAX(0,TODAY()-$U685)))</f>
        <v/>
      </c>
      <c r="W685" s="30">
        <f>IF($A685="","",IF(OR($N685="Live",$N685="Retired"),"",TODAY()-MAX($O685,$P685,$Q685,$R685)))</f>
        <v/>
      </c>
      <c r="X685" s="23" t="n"/>
      <c r="Y685" s="30">
        <f>IF($A685="","",COUNTIFS('Issues Log'!$C$5:$C$504,$A685,'Issues Log'!$K$5:$K$504,"Open")+COUNTIFS('Issues Log'!$C$5:$C$504,$A685,'Issues Log'!$K$5:$K$504,"In progress"))</f>
        <v/>
      </c>
      <c r="Z685" s="27" t="n"/>
    </row>
    <row r="686">
      <c r="A686" s="27" t="n"/>
      <c r="B686" s="27" t="n"/>
      <c r="C686" s="27" t="n"/>
      <c r="D686" s="28">
        <f>IF($C686="","",IFERROR(INDEX('Topic Plan'!$C$5:$C$115,MATCH($C686,'Topic Plan'!$B$5:$B$115,0)),"UNKNOWN TOPIC ID"))</f>
        <v/>
      </c>
      <c r="E686" s="28">
        <f>IF($C686="","",IFERROR(INDEX('Topic Plan'!$D$5:$D$115,MATCH($C686,'Topic Plan'!$B$5:$B$115,0)),""))</f>
        <v/>
      </c>
      <c r="F686" s="28">
        <f>IF($C686="","",IFERROR(INDEX('Topic Plan'!$E$5:$E$115,MATCH($C686,'Topic Plan'!$B$5:$B$115,0)),""))</f>
        <v/>
      </c>
      <c r="G686" s="23" t="n"/>
      <c r="H686" s="27" t="n"/>
      <c r="I686" s="27" t="n"/>
      <c r="J686" s="27" t="n"/>
      <c r="K686" s="27" t="n"/>
      <c r="L686" s="27" t="n"/>
      <c r="M686" s="27" t="n"/>
      <c r="N686" s="23" t="n"/>
      <c r="O686" s="29" t="n"/>
      <c r="P686" s="29" t="n"/>
      <c r="Q686" s="29" t="n"/>
      <c r="R686" s="29" t="n"/>
      <c r="S686" s="29" t="n"/>
      <c r="T686" s="29" t="n"/>
      <c r="U686" s="29" t="n"/>
      <c r="V686" s="30">
        <f>IF(OR($A686="",$U686=""),"",IF($S686&lt;&gt;"",MAX(0,$S686-$U686),MAX(0,TODAY()-$U686)))</f>
        <v/>
      </c>
      <c r="W686" s="30">
        <f>IF($A686="","",IF(OR($N686="Live",$N686="Retired"),"",TODAY()-MAX($O686,$P686,$Q686,$R686)))</f>
        <v/>
      </c>
      <c r="X686" s="23" t="n"/>
      <c r="Y686" s="30">
        <f>IF($A686="","",COUNTIFS('Issues Log'!$C$5:$C$504,$A686,'Issues Log'!$K$5:$K$504,"Open")+COUNTIFS('Issues Log'!$C$5:$C$504,$A686,'Issues Log'!$K$5:$K$504,"In progress"))</f>
        <v/>
      </c>
      <c r="Z686" s="27" t="n"/>
    </row>
    <row r="687">
      <c r="A687" s="27" t="n"/>
      <c r="B687" s="27" t="n"/>
      <c r="C687" s="27" t="n"/>
      <c r="D687" s="28">
        <f>IF($C687="","",IFERROR(INDEX('Topic Plan'!$C$5:$C$115,MATCH($C687,'Topic Plan'!$B$5:$B$115,0)),"UNKNOWN TOPIC ID"))</f>
        <v/>
      </c>
      <c r="E687" s="28">
        <f>IF($C687="","",IFERROR(INDEX('Topic Plan'!$D$5:$D$115,MATCH($C687,'Topic Plan'!$B$5:$B$115,0)),""))</f>
        <v/>
      </c>
      <c r="F687" s="28">
        <f>IF($C687="","",IFERROR(INDEX('Topic Plan'!$E$5:$E$115,MATCH($C687,'Topic Plan'!$B$5:$B$115,0)),""))</f>
        <v/>
      </c>
      <c r="G687" s="23" t="n"/>
      <c r="H687" s="27" t="n"/>
      <c r="I687" s="27" t="n"/>
      <c r="J687" s="27" t="n"/>
      <c r="K687" s="27" t="n"/>
      <c r="L687" s="27" t="n"/>
      <c r="M687" s="27" t="n"/>
      <c r="N687" s="23" t="n"/>
      <c r="O687" s="29" t="n"/>
      <c r="P687" s="29" t="n"/>
      <c r="Q687" s="29" t="n"/>
      <c r="R687" s="29" t="n"/>
      <c r="S687" s="29" t="n"/>
      <c r="T687" s="29" t="n"/>
      <c r="U687" s="29" t="n"/>
      <c r="V687" s="30">
        <f>IF(OR($A687="",$U687=""),"",IF($S687&lt;&gt;"",MAX(0,$S687-$U687),MAX(0,TODAY()-$U687)))</f>
        <v/>
      </c>
      <c r="W687" s="30">
        <f>IF($A687="","",IF(OR($N687="Live",$N687="Retired"),"",TODAY()-MAX($O687,$P687,$Q687,$R687)))</f>
        <v/>
      </c>
      <c r="X687" s="23" t="n"/>
      <c r="Y687" s="30">
        <f>IF($A687="","",COUNTIFS('Issues Log'!$C$5:$C$504,$A687,'Issues Log'!$K$5:$K$504,"Open")+COUNTIFS('Issues Log'!$C$5:$C$504,$A687,'Issues Log'!$K$5:$K$504,"In progress"))</f>
        <v/>
      </c>
      <c r="Z687" s="27" t="n"/>
    </row>
    <row r="688">
      <c r="A688" s="27" t="n"/>
      <c r="B688" s="27" t="n"/>
      <c r="C688" s="27" t="n"/>
      <c r="D688" s="28">
        <f>IF($C688="","",IFERROR(INDEX('Topic Plan'!$C$5:$C$115,MATCH($C688,'Topic Plan'!$B$5:$B$115,0)),"UNKNOWN TOPIC ID"))</f>
        <v/>
      </c>
      <c r="E688" s="28">
        <f>IF($C688="","",IFERROR(INDEX('Topic Plan'!$D$5:$D$115,MATCH($C688,'Topic Plan'!$B$5:$B$115,0)),""))</f>
        <v/>
      </c>
      <c r="F688" s="28">
        <f>IF($C688="","",IFERROR(INDEX('Topic Plan'!$E$5:$E$115,MATCH($C688,'Topic Plan'!$B$5:$B$115,0)),""))</f>
        <v/>
      </c>
      <c r="G688" s="23" t="n"/>
      <c r="H688" s="27" t="n"/>
      <c r="I688" s="27" t="n"/>
      <c r="J688" s="27" t="n"/>
      <c r="K688" s="27" t="n"/>
      <c r="L688" s="27" t="n"/>
      <c r="M688" s="27" t="n"/>
      <c r="N688" s="23" t="n"/>
      <c r="O688" s="29" t="n"/>
      <c r="P688" s="29" t="n"/>
      <c r="Q688" s="29" t="n"/>
      <c r="R688" s="29" t="n"/>
      <c r="S688" s="29" t="n"/>
      <c r="T688" s="29" t="n"/>
      <c r="U688" s="29" t="n"/>
      <c r="V688" s="30">
        <f>IF(OR($A688="",$U688=""),"",IF($S688&lt;&gt;"",MAX(0,$S688-$U688),MAX(0,TODAY()-$U688)))</f>
        <v/>
      </c>
      <c r="W688" s="30">
        <f>IF($A688="","",IF(OR($N688="Live",$N688="Retired"),"",TODAY()-MAX($O688,$P688,$Q688,$R688)))</f>
        <v/>
      </c>
      <c r="X688" s="23" t="n"/>
      <c r="Y688" s="30">
        <f>IF($A688="","",COUNTIFS('Issues Log'!$C$5:$C$504,$A688,'Issues Log'!$K$5:$K$504,"Open")+COUNTIFS('Issues Log'!$C$5:$C$504,$A688,'Issues Log'!$K$5:$K$504,"In progress"))</f>
        <v/>
      </c>
      <c r="Z688" s="27" t="n"/>
    </row>
    <row r="689">
      <c r="A689" s="27" t="n"/>
      <c r="B689" s="27" t="n"/>
      <c r="C689" s="27" t="n"/>
      <c r="D689" s="28">
        <f>IF($C689="","",IFERROR(INDEX('Topic Plan'!$C$5:$C$115,MATCH($C689,'Topic Plan'!$B$5:$B$115,0)),"UNKNOWN TOPIC ID"))</f>
        <v/>
      </c>
      <c r="E689" s="28">
        <f>IF($C689="","",IFERROR(INDEX('Topic Plan'!$D$5:$D$115,MATCH($C689,'Topic Plan'!$B$5:$B$115,0)),""))</f>
        <v/>
      </c>
      <c r="F689" s="28">
        <f>IF($C689="","",IFERROR(INDEX('Topic Plan'!$E$5:$E$115,MATCH($C689,'Topic Plan'!$B$5:$B$115,0)),""))</f>
        <v/>
      </c>
      <c r="G689" s="23" t="n"/>
      <c r="H689" s="27" t="n"/>
      <c r="I689" s="27" t="n"/>
      <c r="J689" s="27" t="n"/>
      <c r="K689" s="27" t="n"/>
      <c r="L689" s="27" t="n"/>
      <c r="M689" s="27" t="n"/>
      <c r="N689" s="23" t="n"/>
      <c r="O689" s="29" t="n"/>
      <c r="P689" s="29" t="n"/>
      <c r="Q689" s="29" t="n"/>
      <c r="R689" s="29" t="n"/>
      <c r="S689" s="29" t="n"/>
      <c r="T689" s="29" t="n"/>
      <c r="U689" s="29" t="n"/>
      <c r="V689" s="30">
        <f>IF(OR($A689="",$U689=""),"",IF($S689&lt;&gt;"",MAX(0,$S689-$U689),MAX(0,TODAY()-$U689)))</f>
        <v/>
      </c>
      <c r="W689" s="30">
        <f>IF($A689="","",IF(OR($N689="Live",$N689="Retired"),"",TODAY()-MAX($O689,$P689,$Q689,$R689)))</f>
        <v/>
      </c>
      <c r="X689" s="23" t="n"/>
      <c r="Y689" s="30">
        <f>IF($A689="","",COUNTIFS('Issues Log'!$C$5:$C$504,$A689,'Issues Log'!$K$5:$K$504,"Open")+COUNTIFS('Issues Log'!$C$5:$C$504,$A689,'Issues Log'!$K$5:$K$504,"In progress"))</f>
        <v/>
      </c>
      <c r="Z689" s="27" t="n"/>
    </row>
    <row r="690">
      <c r="A690" s="27" t="n"/>
      <c r="B690" s="27" t="n"/>
      <c r="C690" s="27" t="n"/>
      <c r="D690" s="28">
        <f>IF($C690="","",IFERROR(INDEX('Topic Plan'!$C$5:$C$115,MATCH($C690,'Topic Plan'!$B$5:$B$115,0)),"UNKNOWN TOPIC ID"))</f>
        <v/>
      </c>
      <c r="E690" s="28">
        <f>IF($C690="","",IFERROR(INDEX('Topic Plan'!$D$5:$D$115,MATCH($C690,'Topic Plan'!$B$5:$B$115,0)),""))</f>
        <v/>
      </c>
      <c r="F690" s="28">
        <f>IF($C690="","",IFERROR(INDEX('Topic Plan'!$E$5:$E$115,MATCH($C690,'Topic Plan'!$B$5:$B$115,0)),""))</f>
        <v/>
      </c>
      <c r="G690" s="23" t="n"/>
      <c r="H690" s="27" t="n"/>
      <c r="I690" s="27" t="n"/>
      <c r="J690" s="27" t="n"/>
      <c r="K690" s="27" t="n"/>
      <c r="L690" s="27" t="n"/>
      <c r="M690" s="27" t="n"/>
      <c r="N690" s="23" t="n"/>
      <c r="O690" s="29" t="n"/>
      <c r="P690" s="29" t="n"/>
      <c r="Q690" s="29" t="n"/>
      <c r="R690" s="29" t="n"/>
      <c r="S690" s="29" t="n"/>
      <c r="T690" s="29" t="n"/>
      <c r="U690" s="29" t="n"/>
      <c r="V690" s="30">
        <f>IF(OR($A690="",$U690=""),"",IF($S690&lt;&gt;"",MAX(0,$S690-$U690),MAX(0,TODAY()-$U690)))</f>
        <v/>
      </c>
      <c r="W690" s="30">
        <f>IF($A690="","",IF(OR($N690="Live",$N690="Retired"),"",TODAY()-MAX($O690,$P690,$Q690,$R690)))</f>
        <v/>
      </c>
      <c r="X690" s="23" t="n"/>
      <c r="Y690" s="30">
        <f>IF($A690="","",COUNTIFS('Issues Log'!$C$5:$C$504,$A690,'Issues Log'!$K$5:$K$504,"Open")+COUNTIFS('Issues Log'!$C$5:$C$504,$A690,'Issues Log'!$K$5:$K$504,"In progress"))</f>
        <v/>
      </c>
      <c r="Z690" s="27" t="n"/>
    </row>
    <row r="691">
      <c r="A691" s="27" t="n"/>
      <c r="B691" s="27" t="n"/>
      <c r="C691" s="27" t="n"/>
      <c r="D691" s="28">
        <f>IF($C691="","",IFERROR(INDEX('Topic Plan'!$C$5:$C$115,MATCH($C691,'Topic Plan'!$B$5:$B$115,0)),"UNKNOWN TOPIC ID"))</f>
        <v/>
      </c>
      <c r="E691" s="28">
        <f>IF($C691="","",IFERROR(INDEX('Topic Plan'!$D$5:$D$115,MATCH($C691,'Topic Plan'!$B$5:$B$115,0)),""))</f>
        <v/>
      </c>
      <c r="F691" s="28">
        <f>IF($C691="","",IFERROR(INDEX('Topic Plan'!$E$5:$E$115,MATCH($C691,'Topic Plan'!$B$5:$B$115,0)),""))</f>
        <v/>
      </c>
      <c r="G691" s="23" t="n"/>
      <c r="H691" s="27" t="n"/>
      <c r="I691" s="27" t="n"/>
      <c r="J691" s="27" t="n"/>
      <c r="K691" s="27" t="n"/>
      <c r="L691" s="27" t="n"/>
      <c r="M691" s="27" t="n"/>
      <c r="N691" s="23" t="n"/>
      <c r="O691" s="29" t="n"/>
      <c r="P691" s="29" t="n"/>
      <c r="Q691" s="29" t="n"/>
      <c r="R691" s="29" t="n"/>
      <c r="S691" s="29" t="n"/>
      <c r="T691" s="29" t="n"/>
      <c r="U691" s="29" t="n"/>
      <c r="V691" s="30">
        <f>IF(OR($A691="",$U691=""),"",IF($S691&lt;&gt;"",MAX(0,$S691-$U691),MAX(0,TODAY()-$U691)))</f>
        <v/>
      </c>
      <c r="W691" s="30">
        <f>IF($A691="","",IF(OR($N691="Live",$N691="Retired"),"",TODAY()-MAX($O691,$P691,$Q691,$R691)))</f>
        <v/>
      </c>
      <c r="X691" s="23" t="n"/>
      <c r="Y691" s="30">
        <f>IF($A691="","",COUNTIFS('Issues Log'!$C$5:$C$504,$A691,'Issues Log'!$K$5:$K$504,"Open")+COUNTIFS('Issues Log'!$C$5:$C$504,$A691,'Issues Log'!$K$5:$K$504,"In progress"))</f>
        <v/>
      </c>
      <c r="Z691" s="27" t="n"/>
    </row>
    <row r="692">
      <c r="A692" s="27" t="n"/>
      <c r="B692" s="27" t="n"/>
      <c r="C692" s="27" t="n"/>
      <c r="D692" s="28">
        <f>IF($C692="","",IFERROR(INDEX('Topic Plan'!$C$5:$C$115,MATCH($C692,'Topic Plan'!$B$5:$B$115,0)),"UNKNOWN TOPIC ID"))</f>
        <v/>
      </c>
      <c r="E692" s="28">
        <f>IF($C692="","",IFERROR(INDEX('Topic Plan'!$D$5:$D$115,MATCH($C692,'Topic Plan'!$B$5:$B$115,0)),""))</f>
        <v/>
      </c>
      <c r="F692" s="28">
        <f>IF($C692="","",IFERROR(INDEX('Topic Plan'!$E$5:$E$115,MATCH($C692,'Topic Plan'!$B$5:$B$115,0)),""))</f>
        <v/>
      </c>
      <c r="G692" s="23" t="n"/>
      <c r="H692" s="27" t="n"/>
      <c r="I692" s="27" t="n"/>
      <c r="J692" s="27" t="n"/>
      <c r="K692" s="27" t="n"/>
      <c r="L692" s="27" t="n"/>
      <c r="M692" s="27" t="n"/>
      <c r="N692" s="23" t="n"/>
      <c r="O692" s="29" t="n"/>
      <c r="P692" s="29" t="n"/>
      <c r="Q692" s="29" t="n"/>
      <c r="R692" s="29" t="n"/>
      <c r="S692" s="29" t="n"/>
      <c r="T692" s="29" t="n"/>
      <c r="U692" s="29" t="n"/>
      <c r="V692" s="30">
        <f>IF(OR($A692="",$U692=""),"",IF($S692&lt;&gt;"",MAX(0,$S692-$U692),MAX(0,TODAY()-$U692)))</f>
        <v/>
      </c>
      <c r="W692" s="30">
        <f>IF($A692="","",IF(OR($N692="Live",$N692="Retired"),"",TODAY()-MAX($O692,$P692,$Q692,$R692)))</f>
        <v/>
      </c>
      <c r="X692" s="23" t="n"/>
      <c r="Y692" s="30">
        <f>IF($A692="","",COUNTIFS('Issues Log'!$C$5:$C$504,$A692,'Issues Log'!$K$5:$K$504,"Open")+COUNTIFS('Issues Log'!$C$5:$C$504,$A692,'Issues Log'!$K$5:$K$504,"In progress"))</f>
        <v/>
      </c>
      <c r="Z692" s="27" t="n"/>
    </row>
    <row r="693">
      <c r="A693" s="27" t="n"/>
      <c r="B693" s="27" t="n"/>
      <c r="C693" s="27" t="n"/>
      <c r="D693" s="28">
        <f>IF($C693="","",IFERROR(INDEX('Topic Plan'!$C$5:$C$115,MATCH($C693,'Topic Plan'!$B$5:$B$115,0)),"UNKNOWN TOPIC ID"))</f>
        <v/>
      </c>
      <c r="E693" s="28">
        <f>IF($C693="","",IFERROR(INDEX('Topic Plan'!$D$5:$D$115,MATCH($C693,'Topic Plan'!$B$5:$B$115,0)),""))</f>
        <v/>
      </c>
      <c r="F693" s="28">
        <f>IF($C693="","",IFERROR(INDEX('Topic Plan'!$E$5:$E$115,MATCH($C693,'Topic Plan'!$B$5:$B$115,0)),""))</f>
        <v/>
      </c>
      <c r="G693" s="23" t="n"/>
      <c r="H693" s="27" t="n"/>
      <c r="I693" s="27" t="n"/>
      <c r="J693" s="27" t="n"/>
      <c r="K693" s="27" t="n"/>
      <c r="L693" s="27" t="n"/>
      <c r="M693" s="27" t="n"/>
      <c r="N693" s="23" t="n"/>
      <c r="O693" s="29" t="n"/>
      <c r="P693" s="29" t="n"/>
      <c r="Q693" s="29" t="n"/>
      <c r="R693" s="29" t="n"/>
      <c r="S693" s="29" t="n"/>
      <c r="T693" s="29" t="n"/>
      <c r="U693" s="29" t="n"/>
      <c r="V693" s="30">
        <f>IF(OR($A693="",$U693=""),"",IF($S693&lt;&gt;"",MAX(0,$S693-$U693),MAX(0,TODAY()-$U693)))</f>
        <v/>
      </c>
      <c r="W693" s="30">
        <f>IF($A693="","",IF(OR($N693="Live",$N693="Retired"),"",TODAY()-MAX($O693,$P693,$Q693,$R693)))</f>
        <v/>
      </c>
      <c r="X693" s="23" t="n"/>
      <c r="Y693" s="30">
        <f>IF($A693="","",COUNTIFS('Issues Log'!$C$5:$C$504,$A693,'Issues Log'!$K$5:$K$504,"Open")+COUNTIFS('Issues Log'!$C$5:$C$504,$A693,'Issues Log'!$K$5:$K$504,"In progress"))</f>
        <v/>
      </c>
      <c r="Z693" s="27" t="n"/>
    </row>
    <row r="694">
      <c r="A694" s="27" t="n"/>
      <c r="B694" s="27" t="n"/>
      <c r="C694" s="27" t="n"/>
      <c r="D694" s="28">
        <f>IF($C694="","",IFERROR(INDEX('Topic Plan'!$C$5:$C$115,MATCH($C694,'Topic Plan'!$B$5:$B$115,0)),"UNKNOWN TOPIC ID"))</f>
        <v/>
      </c>
      <c r="E694" s="28">
        <f>IF($C694="","",IFERROR(INDEX('Topic Plan'!$D$5:$D$115,MATCH($C694,'Topic Plan'!$B$5:$B$115,0)),""))</f>
        <v/>
      </c>
      <c r="F694" s="28">
        <f>IF($C694="","",IFERROR(INDEX('Topic Plan'!$E$5:$E$115,MATCH($C694,'Topic Plan'!$B$5:$B$115,0)),""))</f>
        <v/>
      </c>
      <c r="G694" s="23" t="n"/>
      <c r="H694" s="27" t="n"/>
      <c r="I694" s="27" t="n"/>
      <c r="J694" s="27" t="n"/>
      <c r="K694" s="27" t="n"/>
      <c r="L694" s="27" t="n"/>
      <c r="M694" s="27" t="n"/>
      <c r="N694" s="23" t="n"/>
      <c r="O694" s="29" t="n"/>
      <c r="P694" s="29" t="n"/>
      <c r="Q694" s="29" t="n"/>
      <c r="R694" s="29" t="n"/>
      <c r="S694" s="29" t="n"/>
      <c r="T694" s="29" t="n"/>
      <c r="U694" s="29" t="n"/>
      <c r="V694" s="30">
        <f>IF(OR($A694="",$U694=""),"",IF($S694&lt;&gt;"",MAX(0,$S694-$U694),MAX(0,TODAY()-$U694)))</f>
        <v/>
      </c>
      <c r="W694" s="30">
        <f>IF($A694="","",IF(OR($N694="Live",$N694="Retired"),"",TODAY()-MAX($O694,$P694,$Q694,$R694)))</f>
        <v/>
      </c>
      <c r="X694" s="23" t="n"/>
      <c r="Y694" s="30">
        <f>IF($A694="","",COUNTIFS('Issues Log'!$C$5:$C$504,$A694,'Issues Log'!$K$5:$K$504,"Open")+COUNTIFS('Issues Log'!$C$5:$C$504,$A694,'Issues Log'!$K$5:$K$504,"In progress"))</f>
        <v/>
      </c>
      <c r="Z694" s="27" t="n"/>
    </row>
    <row r="695">
      <c r="A695" s="27" t="n"/>
      <c r="B695" s="27" t="n"/>
      <c r="C695" s="27" t="n"/>
      <c r="D695" s="28">
        <f>IF($C695="","",IFERROR(INDEX('Topic Plan'!$C$5:$C$115,MATCH($C695,'Topic Plan'!$B$5:$B$115,0)),"UNKNOWN TOPIC ID"))</f>
        <v/>
      </c>
      <c r="E695" s="28">
        <f>IF($C695="","",IFERROR(INDEX('Topic Plan'!$D$5:$D$115,MATCH($C695,'Topic Plan'!$B$5:$B$115,0)),""))</f>
        <v/>
      </c>
      <c r="F695" s="28">
        <f>IF($C695="","",IFERROR(INDEX('Topic Plan'!$E$5:$E$115,MATCH($C695,'Topic Plan'!$B$5:$B$115,0)),""))</f>
        <v/>
      </c>
      <c r="G695" s="23" t="n"/>
      <c r="H695" s="27" t="n"/>
      <c r="I695" s="27" t="n"/>
      <c r="J695" s="27" t="n"/>
      <c r="K695" s="27" t="n"/>
      <c r="L695" s="27" t="n"/>
      <c r="M695" s="27" t="n"/>
      <c r="N695" s="23" t="n"/>
      <c r="O695" s="29" t="n"/>
      <c r="P695" s="29" t="n"/>
      <c r="Q695" s="29" t="n"/>
      <c r="R695" s="29" t="n"/>
      <c r="S695" s="29" t="n"/>
      <c r="T695" s="29" t="n"/>
      <c r="U695" s="29" t="n"/>
      <c r="V695" s="30">
        <f>IF(OR($A695="",$U695=""),"",IF($S695&lt;&gt;"",MAX(0,$S695-$U695),MAX(0,TODAY()-$U695)))</f>
        <v/>
      </c>
      <c r="W695" s="30">
        <f>IF($A695="","",IF(OR($N695="Live",$N695="Retired"),"",TODAY()-MAX($O695,$P695,$Q695,$R695)))</f>
        <v/>
      </c>
      <c r="X695" s="23" t="n"/>
      <c r="Y695" s="30">
        <f>IF($A695="","",COUNTIFS('Issues Log'!$C$5:$C$504,$A695,'Issues Log'!$K$5:$K$504,"Open")+COUNTIFS('Issues Log'!$C$5:$C$504,$A695,'Issues Log'!$K$5:$K$504,"In progress"))</f>
        <v/>
      </c>
      <c r="Z695" s="27" t="n"/>
    </row>
    <row r="696">
      <c r="A696" s="27" t="n"/>
      <c r="B696" s="27" t="n"/>
      <c r="C696" s="27" t="n"/>
      <c r="D696" s="28">
        <f>IF($C696="","",IFERROR(INDEX('Topic Plan'!$C$5:$C$115,MATCH($C696,'Topic Plan'!$B$5:$B$115,0)),"UNKNOWN TOPIC ID"))</f>
        <v/>
      </c>
      <c r="E696" s="28">
        <f>IF($C696="","",IFERROR(INDEX('Topic Plan'!$D$5:$D$115,MATCH($C696,'Topic Plan'!$B$5:$B$115,0)),""))</f>
        <v/>
      </c>
      <c r="F696" s="28">
        <f>IF($C696="","",IFERROR(INDEX('Topic Plan'!$E$5:$E$115,MATCH($C696,'Topic Plan'!$B$5:$B$115,0)),""))</f>
        <v/>
      </c>
      <c r="G696" s="23" t="n"/>
      <c r="H696" s="27" t="n"/>
      <c r="I696" s="27" t="n"/>
      <c r="J696" s="27" t="n"/>
      <c r="K696" s="27" t="n"/>
      <c r="L696" s="27" t="n"/>
      <c r="M696" s="27" t="n"/>
      <c r="N696" s="23" t="n"/>
      <c r="O696" s="29" t="n"/>
      <c r="P696" s="29" t="n"/>
      <c r="Q696" s="29" t="n"/>
      <c r="R696" s="29" t="n"/>
      <c r="S696" s="29" t="n"/>
      <c r="T696" s="29" t="n"/>
      <c r="U696" s="29" t="n"/>
      <c r="V696" s="30">
        <f>IF(OR($A696="",$U696=""),"",IF($S696&lt;&gt;"",MAX(0,$S696-$U696),MAX(0,TODAY()-$U696)))</f>
        <v/>
      </c>
      <c r="W696" s="30">
        <f>IF($A696="","",IF(OR($N696="Live",$N696="Retired"),"",TODAY()-MAX($O696,$P696,$Q696,$R696)))</f>
        <v/>
      </c>
      <c r="X696" s="23" t="n"/>
      <c r="Y696" s="30">
        <f>IF($A696="","",COUNTIFS('Issues Log'!$C$5:$C$504,$A696,'Issues Log'!$K$5:$K$504,"Open")+COUNTIFS('Issues Log'!$C$5:$C$504,$A696,'Issues Log'!$K$5:$K$504,"In progress"))</f>
        <v/>
      </c>
      <c r="Z696" s="27" t="n"/>
    </row>
    <row r="697">
      <c r="A697" s="27" t="n"/>
      <c r="B697" s="27" t="n"/>
      <c r="C697" s="27" t="n"/>
      <c r="D697" s="28">
        <f>IF($C697="","",IFERROR(INDEX('Topic Plan'!$C$5:$C$115,MATCH($C697,'Topic Plan'!$B$5:$B$115,0)),"UNKNOWN TOPIC ID"))</f>
        <v/>
      </c>
      <c r="E697" s="28">
        <f>IF($C697="","",IFERROR(INDEX('Topic Plan'!$D$5:$D$115,MATCH($C697,'Topic Plan'!$B$5:$B$115,0)),""))</f>
        <v/>
      </c>
      <c r="F697" s="28">
        <f>IF($C697="","",IFERROR(INDEX('Topic Plan'!$E$5:$E$115,MATCH($C697,'Topic Plan'!$B$5:$B$115,0)),""))</f>
        <v/>
      </c>
      <c r="G697" s="23" t="n"/>
      <c r="H697" s="27" t="n"/>
      <c r="I697" s="27" t="n"/>
      <c r="J697" s="27" t="n"/>
      <c r="K697" s="27" t="n"/>
      <c r="L697" s="27" t="n"/>
      <c r="M697" s="27" t="n"/>
      <c r="N697" s="23" t="n"/>
      <c r="O697" s="29" t="n"/>
      <c r="P697" s="29" t="n"/>
      <c r="Q697" s="29" t="n"/>
      <c r="R697" s="29" t="n"/>
      <c r="S697" s="29" t="n"/>
      <c r="T697" s="29" t="n"/>
      <c r="U697" s="29" t="n"/>
      <c r="V697" s="30">
        <f>IF(OR($A697="",$U697=""),"",IF($S697&lt;&gt;"",MAX(0,$S697-$U697),MAX(0,TODAY()-$U697)))</f>
        <v/>
      </c>
      <c r="W697" s="30">
        <f>IF($A697="","",IF(OR($N697="Live",$N697="Retired"),"",TODAY()-MAX($O697,$P697,$Q697,$R697)))</f>
        <v/>
      </c>
      <c r="X697" s="23" t="n"/>
      <c r="Y697" s="30">
        <f>IF($A697="","",COUNTIFS('Issues Log'!$C$5:$C$504,$A697,'Issues Log'!$K$5:$K$504,"Open")+COUNTIFS('Issues Log'!$C$5:$C$504,$A697,'Issues Log'!$K$5:$K$504,"In progress"))</f>
        <v/>
      </c>
      <c r="Z697" s="27" t="n"/>
    </row>
    <row r="698">
      <c r="A698" s="27" t="n"/>
      <c r="B698" s="27" t="n"/>
      <c r="C698" s="27" t="n"/>
      <c r="D698" s="28">
        <f>IF($C698="","",IFERROR(INDEX('Topic Plan'!$C$5:$C$115,MATCH($C698,'Topic Plan'!$B$5:$B$115,0)),"UNKNOWN TOPIC ID"))</f>
        <v/>
      </c>
      <c r="E698" s="28">
        <f>IF($C698="","",IFERROR(INDEX('Topic Plan'!$D$5:$D$115,MATCH($C698,'Topic Plan'!$B$5:$B$115,0)),""))</f>
        <v/>
      </c>
      <c r="F698" s="28">
        <f>IF($C698="","",IFERROR(INDEX('Topic Plan'!$E$5:$E$115,MATCH($C698,'Topic Plan'!$B$5:$B$115,0)),""))</f>
        <v/>
      </c>
      <c r="G698" s="23" t="n"/>
      <c r="H698" s="27" t="n"/>
      <c r="I698" s="27" t="n"/>
      <c r="J698" s="27" t="n"/>
      <c r="K698" s="27" t="n"/>
      <c r="L698" s="27" t="n"/>
      <c r="M698" s="27" t="n"/>
      <c r="N698" s="23" t="n"/>
      <c r="O698" s="29" t="n"/>
      <c r="P698" s="29" t="n"/>
      <c r="Q698" s="29" t="n"/>
      <c r="R698" s="29" t="n"/>
      <c r="S698" s="29" t="n"/>
      <c r="T698" s="29" t="n"/>
      <c r="U698" s="29" t="n"/>
      <c r="V698" s="30">
        <f>IF(OR($A698="",$U698=""),"",IF($S698&lt;&gt;"",MAX(0,$S698-$U698),MAX(0,TODAY()-$U698)))</f>
        <v/>
      </c>
      <c r="W698" s="30">
        <f>IF($A698="","",IF(OR($N698="Live",$N698="Retired"),"",TODAY()-MAX($O698,$P698,$Q698,$R698)))</f>
        <v/>
      </c>
      <c r="X698" s="23" t="n"/>
      <c r="Y698" s="30">
        <f>IF($A698="","",COUNTIFS('Issues Log'!$C$5:$C$504,$A698,'Issues Log'!$K$5:$K$504,"Open")+COUNTIFS('Issues Log'!$C$5:$C$504,$A698,'Issues Log'!$K$5:$K$504,"In progress"))</f>
        <v/>
      </c>
      <c r="Z698" s="27" t="n"/>
    </row>
    <row r="699">
      <c r="A699" s="27" t="n"/>
      <c r="B699" s="27" t="n"/>
      <c r="C699" s="27" t="n"/>
      <c r="D699" s="28">
        <f>IF($C699="","",IFERROR(INDEX('Topic Plan'!$C$5:$C$115,MATCH($C699,'Topic Plan'!$B$5:$B$115,0)),"UNKNOWN TOPIC ID"))</f>
        <v/>
      </c>
      <c r="E699" s="28">
        <f>IF($C699="","",IFERROR(INDEX('Topic Plan'!$D$5:$D$115,MATCH($C699,'Topic Plan'!$B$5:$B$115,0)),""))</f>
        <v/>
      </c>
      <c r="F699" s="28">
        <f>IF($C699="","",IFERROR(INDEX('Topic Plan'!$E$5:$E$115,MATCH($C699,'Topic Plan'!$B$5:$B$115,0)),""))</f>
        <v/>
      </c>
      <c r="G699" s="23" t="n"/>
      <c r="H699" s="27" t="n"/>
      <c r="I699" s="27" t="n"/>
      <c r="J699" s="27" t="n"/>
      <c r="K699" s="27" t="n"/>
      <c r="L699" s="27" t="n"/>
      <c r="M699" s="27" t="n"/>
      <c r="N699" s="23" t="n"/>
      <c r="O699" s="29" t="n"/>
      <c r="P699" s="29" t="n"/>
      <c r="Q699" s="29" t="n"/>
      <c r="R699" s="29" t="n"/>
      <c r="S699" s="29" t="n"/>
      <c r="T699" s="29" t="n"/>
      <c r="U699" s="29" t="n"/>
      <c r="V699" s="30">
        <f>IF(OR($A699="",$U699=""),"",IF($S699&lt;&gt;"",MAX(0,$S699-$U699),MAX(0,TODAY()-$U699)))</f>
        <v/>
      </c>
      <c r="W699" s="30">
        <f>IF($A699="","",IF(OR($N699="Live",$N699="Retired"),"",TODAY()-MAX($O699,$P699,$Q699,$R699)))</f>
        <v/>
      </c>
      <c r="X699" s="23" t="n"/>
      <c r="Y699" s="30">
        <f>IF($A699="","",COUNTIFS('Issues Log'!$C$5:$C$504,$A699,'Issues Log'!$K$5:$K$504,"Open")+COUNTIFS('Issues Log'!$C$5:$C$504,$A699,'Issues Log'!$K$5:$K$504,"In progress"))</f>
        <v/>
      </c>
      <c r="Z699" s="27" t="n"/>
    </row>
    <row r="700">
      <c r="A700" s="27" t="n"/>
      <c r="B700" s="27" t="n"/>
      <c r="C700" s="27" t="n"/>
      <c r="D700" s="28">
        <f>IF($C700="","",IFERROR(INDEX('Topic Plan'!$C$5:$C$115,MATCH($C700,'Topic Plan'!$B$5:$B$115,0)),"UNKNOWN TOPIC ID"))</f>
        <v/>
      </c>
      <c r="E700" s="28">
        <f>IF($C700="","",IFERROR(INDEX('Topic Plan'!$D$5:$D$115,MATCH($C700,'Topic Plan'!$B$5:$B$115,0)),""))</f>
        <v/>
      </c>
      <c r="F700" s="28">
        <f>IF($C700="","",IFERROR(INDEX('Topic Plan'!$E$5:$E$115,MATCH($C700,'Topic Plan'!$B$5:$B$115,0)),""))</f>
        <v/>
      </c>
      <c r="G700" s="23" t="n"/>
      <c r="H700" s="27" t="n"/>
      <c r="I700" s="27" t="n"/>
      <c r="J700" s="27" t="n"/>
      <c r="K700" s="27" t="n"/>
      <c r="L700" s="27" t="n"/>
      <c r="M700" s="27" t="n"/>
      <c r="N700" s="23" t="n"/>
      <c r="O700" s="29" t="n"/>
      <c r="P700" s="29" t="n"/>
      <c r="Q700" s="29" t="n"/>
      <c r="R700" s="29" t="n"/>
      <c r="S700" s="29" t="n"/>
      <c r="T700" s="29" t="n"/>
      <c r="U700" s="29" t="n"/>
      <c r="V700" s="30">
        <f>IF(OR($A700="",$U700=""),"",IF($S700&lt;&gt;"",MAX(0,$S700-$U700),MAX(0,TODAY()-$U700)))</f>
        <v/>
      </c>
      <c r="W700" s="30">
        <f>IF($A700="","",IF(OR($N700="Live",$N700="Retired"),"",TODAY()-MAX($O700,$P700,$Q700,$R700)))</f>
        <v/>
      </c>
      <c r="X700" s="23" t="n"/>
      <c r="Y700" s="30">
        <f>IF($A700="","",COUNTIFS('Issues Log'!$C$5:$C$504,$A700,'Issues Log'!$K$5:$K$504,"Open")+COUNTIFS('Issues Log'!$C$5:$C$504,$A700,'Issues Log'!$K$5:$K$504,"In progress"))</f>
        <v/>
      </c>
      <c r="Z700" s="27" t="n"/>
    </row>
    <row r="701">
      <c r="A701" s="27" t="n"/>
      <c r="B701" s="27" t="n"/>
      <c r="C701" s="27" t="n"/>
      <c r="D701" s="28">
        <f>IF($C701="","",IFERROR(INDEX('Topic Plan'!$C$5:$C$115,MATCH($C701,'Topic Plan'!$B$5:$B$115,0)),"UNKNOWN TOPIC ID"))</f>
        <v/>
      </c>
      <c r="E701" s="28">
        <f>IF($C701="","",IFERROR(INDEX('Topic Plan'!$D$5:$D$115,MATCH($C701,'Topic Plan'!$B$5:$B$115,0)),""))</f>
        <v/>
      </c>
      <c r="F701" s="28">
        <f>IF($C701="","",IFERROR(INDEX('Topic Plan'!$E$5:$E$115,MATCH($C701,'Topic Plan'!$B$5:$B$115,0)),""))</f>
        <v/>
      </c>
      <c r="G701" s="23" t="n"/>
      <c r="H701" s="27" t="n"/>
      <c r="I701" s="27" t="n"/>
      <c r="J701" s="27" t="n"/>
      <c r="K701" s="27" t="n"/>
      <c r="L701" s="27" t="n"/>
      <c r="M701" s="27" t="n"/>
      <c r="N701" s="23" t="n"/>
      <c r="O701" s="29" t="n"/>
      <c r="P701" s="29" t="n"/>
      <c r="Q701" s="29" t="n"/>
      <c r="R701" s="29" t="n"/>
      <c r="S701" s="29" t="n"/>
      <c r="T701" s="29" t="n"/>
      <c r="U701" s="29" t="n"/>
      <c r="V701" s="30">
        <f>IF(OR($A701="",$U701=""),"",IF($S701&lt;&gt;"",MAX(0,$S701-$U701),MAX(0,TODAY()-$U701)))</f>
        <v/>
      </c>
      <c r="W701" s="30">
        <f>IF($A701="","",IF(OR($N701="Live",$N701="Retired"),"",TODAY()-MAX($O701,$P701,$Q701,$R701)))</f>
        <v/>
      </c>
      <c r="X701" s="23" t="n"/>
      <c r="Y701" s="30">
        <f>IF($A701="","",COUNTIFS('Issues Log'!$C$5:$C$504,$A701,'Issues Log'!$K$5:$K$504,"Open")+COUNTIFS('Issues Log'!$C$5:$C$504,$A701,'Issues Log'!$K$5:$K$504,"In progress"))</f>
        <v/>
      </c>
      <c r="Z701" s="27" t="n"/>
    </row>
    <row r="702">
      <c r="A702" s="27" t="n"/>
      <c r="B702" s="27" t="n"/>
      <c r="C702" s="27" t="n"/>
      <c r="D702" s="28">
        <f>IF($C702="","",IFERROR(INDEX('Topic Plan'!$C$5:$C$115,MATCH($C702,'Topic Plan'!$B$5:$B$115,0)),"UNKNOWN TOPIC ID"))</f>
        <v/>
      </c>
      <c r="E702" s="28">
        <f>IF($C702="","",IFERROR(INDEX('Topic Plan'!$D$5:$D$115,MATCH($C702,'Topic Plan'!$B$5:$B$115,0)),""))</f>
        <v/>
      </c>
      <c r="F702" s="28">
        <f>IF($C702="","",IFERROR(INDEX('Topic Plan'!$E$5:$E$115,MATCH($C702,'Topic Plan'!$B$5:$B$115,0)),""))</f>
        <v/>
      </c>
      <c r="G702" s="23" t="n"/>
      <c r="H702" s="27" t="n"/>
      <c r="I702" s="27" t="n"/>
      <c r="J702" s="27" t="n"/>
      <c r="K702" s="27" t="n"/>
      <c r="L702" s="27" t="n"/>
      <c r="M702" s="27" t="n"/>
      <c r="N702" s="23" t="n"/>
      <c r="O702" s="29" t="n"/>
      <c r="P702" s="29" t="n"/>
      <c r="Q702" s="29" t="n"/>
      <c r="R702" s="29" t="n"/>
      <c r="S702" s="29" t="n"/>
      <c r="T702" s="29" t="n"/>
      <c r="U702" s="29" t="n"/>
      <c r="V702" s="30">
        <f>IF(OR($A702="",$U702=""),"",IF($S702&lt;&gt;"",MAX(0,$S702-$U702),MAX(0,TODAY()-$U702)))</f>
        <v/>
      </c>
      <c r="W702" s="30">
        <f>IF($A702="","",IF(OR($N702="Live",$N702="Retired"),"",TODAY()-MAX($O702,$P702,$Q702,$R702)))</f>
        <v/>
      </c>
      <c r="X702" s="23" t="n"/>
      <c r="Y702" s="30">
        <f>IF($A702="","",COUNTIFS('Issues Log'!$C$5:$C$504,$A702,'Issues Log'!$K$5:$K$504,"Open")+COUNTIFS('Issues Log'!$C$5:$C$504,$A702,'Issues Log'!$K$5:$K$504,"In progress"))</f>
        <v/>
      </c>
      <c r="Z702" s="27" t="n"/>
    </row>
    <row r="703">
      <c r="A703" s="27" t="n"/>
      <c r="B703" s="27" t="n"/>
      <c r="C703" s="27" t="n"/>
      <c r="D703" s="28">
        <f>IF($C703="","",IFERROR(INDEX('Topic Plan'!$C$5:$C$115,MATCH($C703,'Topic Plan'!$B$5:$B$115,0)),"UNKNOWN TOPIC ID"))</f>
        <v/>
      </c>
      <c r="E703" s="28">
        <f>IF($C703="","",IFERROR(INDEX('Topic Plan'!$D$5:$D$115,MATCH($C703,'Topic Plan'!$B$5:$B$115,0)),""))</f>
        <v/>
      </c>
      <c r="F703" s="28">
        <f>IF($C703="","",IFERROR(INDEX('Topic Plan'!$E$5:$E$115,MATCH($C703,'Topic Plan'!$B$5:$B$115,0)),""))</f>
        <v/>
      </c>
      <c r="G703" s="23" t="n"/>
      <c r="H703" s="27" t="n"/>
      <c r="I703" s="27" t="n"/>
      <c r="J703" s="27" t="n"/>
      <c r="K703" s="27" t="n"/>
      <c r="L703" s="27" t="n"/>
      <c r="M703" s="27" t="n"/>
      <c r="N703" s="23" t="n"/>
      <c r="O703" s="29" t="n"/>
      <c r="P703" s="29" t="n"/>
      <c r="Q703" s="29" t="n"/>
      <c r="R703" s="29" t="n"/>
      <c r="S703" s="29" t="n"/>
      <c r="T703" s="29" t="n"/>
      <c r="U703" s="29" t="n"/>
      <c r="V703" s="30">
        <f>IF(OR($A703="",$U703=""),"",IF($S703&lt;&gt;"",MAX(0,$S703-$U703),MAX(0,TODAY()-$U703)))</f>
        <v/>
      </c>
      <c r="W703" s="30">
        <f>IF($A703="","",IF(OR($N703="Live",$N703="Retired"),"",TODAY()-MAX($O703,$P703,$Q703,$R703)))</f>
        <v/>
      </c>
      <c r="X703" s="23" t="n"/>
      <c r="Y703" s="30">
        <f>IF($A703="","",COUNTIFS('Issues Log'!$C$5:$C$504,$A703,'Issues Log'!$K$5:$K$504,"Open")+COUNTIFS('Issues Log'!$C$5:$C$504,$A703,'Issues Log'!$K$5:$K$504,"In progress"))</f>
        <v/>
      </c>
      <c r="Z703" s="27" t="n"/>
    </row>
    <row r="704">
      <c r="A704" s="27" t="n"/>
      <c r="B704" s="27" t="n"/>
      <c r="C704" s="27" t="n"/>
      <c r="D704" s="28">
        <f>IF($C704="","",IFERROR(INDEX('Topic Plan'!$C$5:$C$115,MATCH($C704,'Topic Plan'!$B$5:$B$115,0)),"UNKNOWN TOPIC ID"))</f>
        <v/>
      </c>
      <c r="E704" s="28">
        <f>IF($C704="","",IFERROR(INDEX('Topic Plan'!$D$5:$D$115,MATCH($C704,'Topic Plan'!$B$5:$B$115,0)),""))</f>
        <v/>
      </c>
      <c r="F704" s="28">
        <f>IF($C704="","",IFERROR(INDEX('Topic Plan'!$E$5:$E$115,MATCH($C704,'Topic Plan'!$B$5:$B$115,0)),""))</f>
        <v/>
      </c>
      <c r="G704" s="23" t="n"/>
      <c r="H704" s="27" t="n"/>
      <c r="I704" s="27" t="n"/>
      <c r="J704" s="27" t="n"/>
      <c r="K704" s="27" t="n"/>
      <c r="L704" s="27" t="n"/>
      <c r="M704" s="27" t="n"/>
      <c r="N704" s="23" t="n"/>
      <c r="O704" s="29" t="n"/>
      <c r="P704" s="29" t="n"/>
      <c r="Q704" s="29" t="n"/>
      <c r="R704" s="29" t="n"/>
      <c r="S704" s="29" t="n"/>
      <c r="T704" s="29" t="n"/>
      <c r="U704" s="29" t="n"/>
      <c r="V704" s="30">
        <f>IF(OR($A704="",$U704=""),"",IF($S704&lt;&gt;"",MAX(0,$S704-$U704),MAX(0,TODAY()-$U704)))</f>
        <v/>
      </c>
      <c r="W704" s="30">
        <f>IF($A704="","",IF(OR($N704="Live",$N704="Retired"),"",TODAY()-MAX($O704,$P704,$Q704,$R704)))</f>
        <v/>
      </c>
      <c r="X704" s="23" t="n"/>
      <c r="Y704" s="30">
        <f>IF($A704="","",COUNTIFS('Issues Log'!$C$5:$C$504,$A704,'Issues Log'!$K$5:$K$504,"Open")+COUNTIFS('Issues Log'!$C$5:$C$504,$A704,'Issues Log'!$K$5:$K$504,"In progress"))</f>
        <v/>
      </c>
      <c r="Z704" s="27" t="n"/>
    </row>
    <row r="705">
      <c r="A705" s="27" t="n"/>
      <c r="B705" s="27" t="n"/>
      <c r="C705" s="27" t="n"/>
      <c r="D705" s="28">
        <f>IF($C705="","",IFERROR(INDEX('Topic Plan'!$C$5:$C$115,MATCH($C705,'Topic Plan'!$B$5:$B$115,0)),"UNKNOWN TOPIC ID"))</f>
        <v/>
      </c>
      <c r="E705" s="28">
        <f>IF($C705="","",IFERROR(INDEX('Topic Plan'!$D$5:$D$115,MATCH($C705,'Topic Plan'!$B$5:$B$115,0)),""))</f>
        <v/>
      </c>
      <c r="F705" s="28">
        <f>IF($C705="","",IFERROR(INDEX('Topic Plan'!$E$5:$E$115,MATCH($C705,'Topic Plan'!$B$5:$B$115,0)),""))</f>
        <v/>
      </c>
      <c r="G705" s="23" t="n"/>
      <c r="H705" s="27" t="n"/>
      <c r="I705" s="27" t="n"/>
      <c r="J705" s="27" t="n"/>
      <c r="K705" s="27" t="n"/>
      <c r="L705" s="27" t="n"/>
      <c r="M705" s="27" t="n"/>
      <c r="N705" s="23" t="n"/>
      <c r="O705" s="29" t="n"/>
      <c r="P705" s="29" t="n"/>
      <c r="Q705" s="29" t="n"/>
      <c r="R705" s="29" t="n"/>
      <c r="S705" s="29" t="n"/>
      <c r="T705" s="29" t="n"/>
      <c r="U705" s="29" t="n"/>
      <c r="V705" s="30">
        <f>IF(OR($A705="",$U705=""),"",IF($S705&lt;&gt;"",MAX(0,$S705-$U705),MAX(0,TODAY()-$U705)))</f>
        <v/>
      </c>
      <c r="W705" s="30">
        <f>IF($A705="","",IF(OR($N705="Live",$N705="Retired"),"",TODAY()-MAX($O705,$P705,$Q705,$R705)))</f>
        <v/>
      </c>
      <c r="X705" s="23" t="n"/>
      <c r="Y705" s="30">
        <f>IF($A705="","",COUNTIFS('Issues Log'!$C$5:$C$504,$A705,'Issues Log'!$K$5:$K$504,"Open")+COUNTIFS('Issues Log'!$C$5:$C$504,$A705,'Issues Log'!$K$5:$K$504,"In progress"))</f>
        <v/>
      </c>
      <c r="Z705" s="27" t="n"/>
    </row>
    <row r="706">
      <c r="A706" s="27" t="n"/>
      <c r="B706" s="27" t="n"/>
      <c r="C706" s="27" t="n"/>
      <c r="D706" s="28">
        <f>IF($C706="","",IFERROR(INDEX('Topic Plan'!$C$5:$C$115,MATCH($C706,'Topic Plan'!$B$5:$B$115,0)),"UNKNOWN TOPIC ID"))</f>
        <v/>
      </c>
      <c r="E706" s="28">
        <f>IF($C706="","",IFERROR(INDEX('Topic Plan'!$D$5:$D$115,MATCH($C706,'Topic Plan'!$B$5:$B$115,0)),""))</f>
        <v/>
      </c>
      <c r="F706" s="28">
        <f>IF($C706="","",IFERROR(INDEX('Topic Plan'!$E$5:$E$115,MATCH($C706,'Topic Plan'!$B$5:$B$115,0)),""))</f>
        <v/>
      </c>
      <c r="G706" s="23" t="n"/>
      <c r="H706" s="27" t="n"/>
      <c r="I706" s="27" t="n"/>
      <c r="J706" s="27" t="n"/>
      <c r="K706" s="27" t="n"/>
      <c r="L706" s="27" t="n"/>
      <c r="M706" s="27" t="n"/>
      <c r="N706" s="23" t="n"/>
      <c r="O706" s="29" t="n"/>
      <c r="P706" s="29" t="n"/>
      <c r="Q706" s="29" t="n"/>
      <c r="R706" s="29" t="n"/>
      <c r="S706" s="29" t="n"/>
      <c r="T706" s="29" t="n"/>
      <c r="U706" s="29" t="n"/>
      <c r="V706" s="30">
        <f>IF(OR($A706="",$U706=""),"",IF($S706&lt;&gt;"",MAX(0,$S706-$U706),MAX(0,TODAY()-$U706)))</f>
        <v/>
      </c>
      <c r="W706" s="30">
        <f>IF($A706="","",IF(OR($N706="Live",$N706="Retired"),"",TODAY()-MAX($O706,$P706,$Q706,$R706)))</f>
        <v/>
      </c>
      <c r="X706" s="23" t="n"/>
      <c r="Y706" s="30">
        <f>IF($A706="","",COUNTIFS('Issues Log'!$C$5:$C$504,$A706,'Issues Log'!$K$5:$K$504,"Open")+COUNTIFS('Issues Log'!$C$5:$C$504,$A706,'Issues Log'!$K$5:$K$504,"In progress"))</f>
        <v/>
      </c>
      <c r="Z706" s="27" t="n"/>
    </row>
    <row r="707">
      <c r="A707" s="27" t="n"/>
      <c r="B707" s="27" t="n"/>
      <c r="C707" s="27" t="n"/>
      <c r="D707" s="28">
        <f>IF($C707="","",IFERROR(INDEX('Topic Plan'!$C$5:$C$115,MATCH($C707,'Topic Plan'!$B$5:$B$115,0)),"UNKNOWN TOPIC ID"))</f>
        <v/>
      </c>
      <c r="E707" s="28">
        <f>IF($C707="","",IFERROR(INDEX('Topic Plan'!$D$5:$D$115,MATCH($C707,'Topic Plan'!$B$5:$B$115,0)),""))</f>
        <v/>
      </c>
      <c r="F707" s="28">
        <f>IF($C707="","",IFERROR(INDEX('Topic Plan'!$E$5:$E$115,MATCH($C707,'Topic Plan'!$B$5:$B$115,0)),""))</f>
        <v/>
      </c>
      <c r="G707" s="23" t="n"/>
      <c r="H707" s="27" t="n"/>
      <c r="I707" s="27" t="n"/>
      <c r="J707" s="27" t="n"/>
      <c r="K707" s="27" t="n"/>
      <c r="L707" s="27" t="n"/>
      <c r="M707" s="27" t="n"/>
      <c r="N707" s="23" t="n"/>
      <c r="O707" s="29" t="n"/>
      <c r="P707" s="29" t="n"/>
      <c r="Q707" s="29" t="n"/>
      <c r="R707" s="29" t="n"/>
      <c r="S707" s="29" t="n"/>
      <c r="T707" s="29" t="n"/>
      <c r="U707" s="29" t="n"/>
      <c r="V707" s="30">
        <f>IF(OR($A707="",$U707=""),"",IF($S707&lt;&gt;"",MAX(0,$S707-$U707),MAX(0,TODAY()-$U707)))</f>
        <v/>
      </c>
      <c r="W707" s="30">
        <f>IF($A707="","",IF(OR($N707="Live",$N707="Retired"),"",TODAY()-MAX($O707,$P707,$Q707,$R707)))</f>
        <v/>
      </c>
      <c r="X707" s="23" t="n"/>
      <c r="Y707" s="30">
        <f>IF($A707="","",COUNTIFS('Issues Log'!$C$5:$C$504,$A707,'Issues Log'!$K$5:$K$504,"Open")+COUNTIFS('Issues Log'!$C$5:$C$504,$A707,'Issues Log'!$K$5:$K$504,"In progress"))</f>
        <v/>
      </c>
      <c r="Z707" s="27" t="n"/>
    </row>
    <row r="708">
      <c r="A708" s="27" t="n"/>
      <c r="B708" s="27" t="n"/>
      <c r="C708" s="27" t="n"/>
      <c r="D708" s="28">
        <f>IF($C708="","",IFERROR(INDEX('Topic Plan'!$C$5:$C$115,MATCH($C708,'Topic Plan'!$B$5:$B$115,0)),"UNKNOWN TOPIC ID"))</f>
        <v/>
      </c>
      <c r="E708" s="28">
        <f>IF($C708="","",IFERROR(INDEX('Topic Plan'!$D$5:$D$115,MATCH($C708,'Topic Plan'!$B$5:$B$115,0)),""))</f>
        <v/>
      </c>
      <c r="F708" s="28">
        <f>IF($C708="","",IFERROR(INDEX('Topic Plan'!$E$5:$E$115,MATCH($C708,'Topic Plan'!$B$5:$B$115,0)),""))</f>
        <v/>
      </c>
      <c r="G708" s="23" t="n"/>
      <c r="H708" s="27" t="n"/>
      <c r="I708" s="27" t="n"/>
      <c r="J708" s="27" t="n"/>
      <c r="K708" s="27" t="n"/>
      <c r="L708" s="27" t="n"/>
      <c r="M708" s="27" t="n"/>
      <c r="N708" s="23" t="n"/>
      <c r="O708" s="29" t="n"/>
      <c r="P708" s="29" t="n"/>
      <c r="Q708" s="29" t="n"/>
      <c r="R708" s="29" t="n"/>
      <c r="S708" s="29" t="n"/>
      <c r="T708" s="29" t="n"/>
      <c r="U708" s="29" t="n"/>
      <c r="V708" s="30">
        <f>IF(OR($A708="",$U708=""),"",IF($S708&lt;&gt;"",MAX(0,$S708-$U708),MAX(0,TODAY()-$U708)))</f>
        <v/>
      </c>
      <c r="W708" s="30">
        <f>IF($A708="","",IF(OR($N708="Live",$N708="Retired"),"",TODAY()-MAX($O708,$P708,$Q708,$R708)))</f>
        <v/>
      </c>
      <c r="X708" s="23" t="n"/>
      <c r="Y708" s="30">
        <f>IF($A708="","",COUNTIFS('Issues Log'!$C$5:$C$504,$A708,'Issues Log'!$K$5:$K$504,"Open")+COUNTIFS('Issues Log'!$C$5:$C$504,$A708,'Issues Log'!$K$5:$K$504,"In progress"))</f>
        <v/>
      </c>
      <c r="Z708" s="27" t="n"/>
    </row>
    <row r="709">
      <c r="A709" s="27" t="n"/>
      <c r="B709" s="27" t="n"/>
      <c r="C709" s="27" t="n"/>
      <c r="D709" s="28">
        <f>IF($C709="","",IFERROR(INDEX('Topic Plan'!$C$5:$C$115,MATCH($C709,'Topic Plan'!$B$5:$B$115,0)),"UNKNOWN TOPIC ID"))</f>
        <v/>
      </c>
      <c r="E709" s="28">
        <f>IF($C709="","",IFERROR(INDEX('Topic Plan'!$D$5:$D$115,MATCH($C709,'Topic Plan'!$B$5:$B$115,0)),""))</f>
        <v/>
      </c>
      <c r="F709" s="28">
        <f>IF($C709="","",IFERROR(INDEX('Topic Plan'!$E$5:$E$115,MATCH($C709,'Topic Plan'!$B$5:$B$115,0)),""))</f>
        <v/>
      </c>
      <c r="G709" s="23" t="n"/>
      <c r="H709" s="27" t="n"/>
      <c r="I709" s="27" t="n"/>
      <c r="J709" s="27" t="n"/>
      <c r="K709" s="27" t="n"/>
      <c r="L709" s="27" t="n"/>
      <c r="M709" s="27" t="n"/>
      <c r="N709" s="23" t="n"/>
      <c r="O709" s="29" t="n"/>
      <c r="P709" s="29" t="n"/>
      <c r="Q709" s="29" t="n"/>
      <c r="R709" s="29" t="n"/>
      <c r="S709" s="29" t="n"/>
      <c r="T709" s="29" t="n"/>
      <c r="U709" s="29" t="n"/>
      <c r="V709" s="30">
        <f>IF(OR($A709="",$U709=""),"",IF($S709&lt;&gt;"",MAX(0,$S709-$U709),MAX(0,TODAY()-$U709)))</f>
        <v/>
      </c>
      <c r="W709" s="30">
        <f>IF($A709="","",IF(OR($N709="Live",$N709="Retired"),"",TODAY()-MAX($O709,$P709,$Q709,$R709)))</f>
        <v/>
      </c>
      <c r="X709" s="23" t="n"/>
      <c r="Y709" s="30">
        <f>IF($A709="","",COUNTIFS('Issues Log'!$C$5:$C$504,$A709,'Issues Log'!$K$5:$K$504,"Open")+COUNTIFS('Issues Log'!$C$5:$C$504,$A709,'Issues Log'!$K$5:$K$504,"In progress"))</f>
        <v/>
      </c>
      <c r="Z709" s="27" t="n"/>
    </row>
    <row r="710">
      <c r="A710" s="27" t="n"/>
      <c r="B710" s="27" t="n"/>
      <c r="C710" s="27" t="n"/>
      <c r="D710" s="28">
        <f>IF($C710="","",IFERROR(INDEX('Topic Plan'!$C$5:$C$115,MATCH($C710,'Topic Plan'!$B$5:$B$115,0)),"UNKNOWN TOPIC ID"))</f>
        <v/>
      </c>
      <c r="E710" s="28">
        <f>IF($C710="","",IFERROR(INDEX('Topic Plan'!$D$5:$D$115,MATCH($C710,'Topic Plan'!$B$5:$B$115,0)),""))</f>
        <v/>
      </c>
      <c r="F710" s="28">
        <f>IF($C710="","",IFERROR(INDEX('Topic Plan'!$E$5:$E$115,MATCH($C710,'Topic Plan'!$B$5:$B$115,0)),""))</f>
        <v/>
      </c>
      <c r="G710" s="23" t="n"/>
      <c r="H710" s="27" t="n"/>
      <c r="I710" s="27" t="n"/>
      <c r="J710" s="27" t="n"/>
      <c r="K710" s="27" t="n"/>
      <c r="L710" s="27" t="n"/>
      <c r="M710" s="27" t="n"/>
      <c r="N710" s="23" t="n"/>
      <c r="O710" s="29" t="n"/>
      <c r="P710" s="29" t="n"/>
      <c r="Q710" s="29" t="n"/>
      <c r="R710" s="29" t="n"/>
      <c r="S710" s="29" t="n"/>
      <c r="T710" s="29" t="n"/>
      <c r="U710" s="29" t="n"/>
      <c r="V710" s="30">
        <f>IF(OR($A710="",$U710=""),"",IF($S710&lt;&gt;"",MAX(0,$S710-$U710),MAX(0,TODAY()-$U710)))</f>
        <v/>
      </c>
      <c r="W710" s="30">
        <f>IF($A710="","",IF(OR($N710="Live",$N710="Retired"),"",TODAY()-MAX($O710,$P710,$Q710,$R710)))</f>
        <v/>
      </c>
      <c r="X710" s="23" t="n"/>
      <c r="Y710" s="30">
        <f>IF($A710="","",COUNTIFS('Issues Log'!$C$5:$C$504,$A710,'Issues Log'!$K$5:$K$504,"Open")+COUNTIFS('Issues Log'!$C$5:$C$504,$A710,'Issues Log'!$K$5:$K$504,"In progress"))</f>
        <v/>
      </c>
      <c r="Z710" s="27" t="n"/>
    </row>
    <row r="711">
      <c r="A711" s="27" t="n"/>
      <c r="B711" s="27" t="n"/>
      <c r="C711" s="27" t="n"/>
      <c r="D711" s="28">
        <f>IF($C711="","",IFERROR(INDEX('Topic Plan'!$C$5:$C$115,MATCH($C711,'Topic Plan'!$B$5:$B$115,0)),"UNKNOWN TOPIC ID"))</f>
        <v/>
      </c>
      <c r="E711" s="28">
        <f>IF($C711="","",IFERROR(INDEX('Topic Plan'!$D$5:$D$115,MATCH($C711,'Topic Plan'!$B$5:$B$115,0)),""))</f>
        <v/>
      </c>
      <c r="F711" s="28">
        <f>IF($C711="","",IFERROR(INDEX('Topic Plan'!$E$5:$E$115,MATCH($C711,'Topic Plan'!$B$5:$B$115,0)),""))</f>
        <v/>
      </c>
      <c r="G711" s="23" t="n"/>
      <c r="H711" s="27" t="n"/>
      <c r="I711" s="27" t="n"/>
      <c r="J711" s="27" t="n"/>
      <c r="K711" s="27" t="n"/>
      <c r="L711" s="27" t="n"/>
      <c r="M711" s="27" t="n"/>
      <c r="N711" s="23" t="n"/>
      <c r="O711" s="29" t="n"/>
      <c r="P711" s="29" t="n"/>
      <c r="Q711" s="29" t="n"/>
      <c r="R711" s="29" t="n"/>
      <c r="S711" s="29" t="n"/>
      <c r="T711" s="29" t="n"/>
      <c r="U711" s="29" t="n"/>
      <c r="V711" s="30">
        <f>IF(OR($A711="",$U711=""),"",IF($S711&lt;&gt;"",MAX(0,$S711-$U711),MAX(0,TODAY()-$U711)))</f>
        <v/>
      </c>
      <c r="W711" s="30">
        <f>IF($A711="","",IF(OR($N711="Live",$N711="Retired"),"",TODAY()-MAX($O711,$P711,$Q711,$R711)))</f>
        <v/>
      </c>
      <c r="X711" s="23" t="n"/>
      <c r="Y711" s="30">
        <f>IF($A711="","",COUNTIFS('Issues Log'!$C$5:$C$504,$A711,'Issues Log'!$K$5:$K$504,"Open")+COUNTIFS('Issues Log'!$C$5:$C$504,$A711,'Issues Log'!$K$5:$K$504,"In progress"))</f>
        <v/>
      </c>
      <c r="Z711" s="27" t="n"/>
    </row>
    <row r="712">
      <c r="A712" s="27" t="n"/>
      <c r="B712" s="27" t="n"/>
      <c r="C712" s="27" t="n"/>
      <c r="D712" s="28">
        <f>IF($C712="","",IFERROR(INDEX('Topic Plan'!$C$5:$C$115,MATCH($C712,'Topic Plan'!$B$5:$B$115,0)),"UNKNOWN TOPIC ID"))</f>
        <v/>
      </c>
      <c r="E712" s="28">
        <f>IF($C712="","",IFERROR(INDEX('Topic Plan'!$D$5:$D$115,MATCH($C712,'Topic Plan'!$B$5:$B$115,0)),""))</f>
        <v/>
      </c>
      <c r="F712" s="28">
        <f>IF($C712="","",IFERROR(INDEX('Topic Plan'!$E$5:$E$115,MATCH($C712,'Topic Plan'!$B$5:$B$115,0)),""))</f>
        <v/>
      </c>
      <c r="G712" s="23" t="n"/>
      <c r="H712" s="27" t="n"/>
      <c r="I712" s="27" t="n"/>
      <c r="J712" s="27" t="n"/>
      <c r="K712" s="27" t="n"/>
      <c r="L712" s="27" t="n"/>
      <c r="M712" s="27" t="n"/>
      <c r="N712" s="23" t="n"/>
      <c r="O712" s="29" t="n"/>
      <c r="P712" s="29" t="n"/>
      <c r="Q712" s="29" t="n"/>
      <c r="R712" s="29" t="n"/>
      <c r="S712" s="29" t="n"/>
      <c r="T712" s="29" t="n"/>
      <c r="U712" s="29" t="n"/>
      <c r="V712" s="30">
        <f>IF(OR($A712="",$U712=""),"",IF($S712&lt;&gt;"",MAX(0,$S712-$U712),MAX(0,TODAY()-$U712)))</f>
        <v/>
      </c>
      <c r="W712" s="30">
        <f>IF($A712="","",IF(OR($N712="Live",$N712="Retired"),"",TODAY()-MAX($O712,$P712,$Q712,$R712)))</f>
        <v/>
      </c>
      <c r="X712" s="23" t="n"/>
      <c r="Y712" s="30">
        <f>IF($A712="","",COUNTIFS('Issues Log'!$C$5:$C$504,$A712,'Issues Log'!$K$5:$K$504,"Open")+COUNTIFS('Issues Log'!$C$5:$C$504,$A712,'Issues Log'!$K$5:$K$504,"In progress"))</f>
        <v/>
      </c>
      <c r="Z712" s="27" t="n"/>
    </row>
    <row r="713">
      <c r="A713" s="27" t="n"/>
      <c r="B713" s="27" t="n"/>
      <c r="C713" s="27" t="n"/>
      <c r="D713" s="28">
        <f>IF($C713="","",IFERROR(INDEX('Topic Plan'!$C$5:$C$115,MATCH($C713,'Topic Plan'!$B$5:$B$115,0)),"UNKNOWN TOPIC ID"))</f>
        <v/>
      </c>
      <c r="E713" s="28">
        <f>IF($C713="","",IFERROR(INDEX('Topic Plan'!$D$5:$D$115,MATCH($C713,'Topic Plan'!$B$5:$B$115,0)),""))</f>
        <v/>
      </c>
      <c r="F713" s="28">
        <f>IF($C713="","",IFERROR(INDEX('Topic Plan'!$E$5:$E$115,MATCH($C713,'Topic Plan'!$B$5:$B$115,0)),""))</f>
        <v/>
      </c>
      <c r="G713" s="23" t="n"/>
      <c r="H713" s="27" t="n"/>
      <c r="I713" s="27" t="n"/>
      <c r="J713" s="27" t="n"/>
      <c r="K713" s="27" t="n"/>
      <c r="L713" s="27" t="n"/>
      <c r="M713" s="27" t="n"/>
      <c r="N713" s="23" t="n"/>
      <c r="O713" s="29" t="n"/>
      <c r="P713" s="29" t="n"/>
      <c r="Q713" s="29" t="n"/>
      <c r="R713" s="29" t="n"/>
      <c r="S713" s="29" t="n"/>
      <c r="T713" s="29" t="n"/>
      <c r="U713" s="29" t="n"/>
      <c r="V713" s="30">
        <f>IF(OR($A713="",$U713=""),"",IF($S713&lt;&gt;"",MAX(0,$S713-$U713),MAX(0,TODAY()-$U713)))</f>
        <v/>
      </c>
      <c r="W713" s="30">
        <f>IF($A713="","",IF(OR($N713="Live",$N713="Retired"),"",TODAY()-MAX($O713,$P713,$Q713,$R713)))</f>
        <v/>
      </c>
      <c r="X713" s="23" t="n"/>
      <c r="Y713" s="30">
        <f>IF($A713="","",COUNTIFS('Issues Log'!$C$5:$C$504,$A713,'Issues Log'!$K$5:$K$504,"Open")+COUNTIFS('Issues Log'!$C$5:$C$504,$A713,'Issues Log'!$K$5:$K$504,"In progress"))</f>
        <v/>
      </c>
      <c r="Z713" s="27" t="n"/>
    </row>
    <row r="714">
      <c r="A714" s="27" t="n"/>
      <c r="B714" s="27" t="n"/>
      <c r="C714" s="27" t="n"/>
      <c r="D714" s="28">
        <f>IF($C714="","",IFERROR(INDEX('Topic Plan'!$C$5:$C$115,MATCH($C714,'Topic Plan'!$B$5:$B$115,0)),"UNKNOWN TOPIC ID"))</f>
        <v/>
      </c>
      <c r="E714" s="28">
        <f>IF($C714="","",IFERROR(INDEX('Topic Plan'!$D$5:$D$115,MATCH($C714,'Topic Plan'!$B$5:$B$115,0)),""))</f>
        <v/>
      </c>
      <c r="F714" s="28">
        <f>IF($C714="","",IFERROR(INDEX('Topic Plan'!$E$5:$E$115,MATCH($C714,'Topic Plan'!$B$5:$B$115,0)),""))</f>
        <v/>
      </c>
      <c r="G714" s="23" t="n"/>
      <c r="H714" s="27" t="n"/>
      <c r="I714" s="27" t="n"/>
      <c r="J714" s="27" t="n"/>
      <c r="K714" s="27" t="n"/>
      <c r="L714" s="27" t="n"/>
      <c r="M714" s="27" t="n"/>
      <c r="N714" s="23" t="n"/>
      <c r="O714" s="29" t="n"/>
      <c r="P714" s="29" t="n"/>
      <c r="Q714" s="29" t="n"/>
      <c r="R714" s="29" t="n"/>
      <c r="S714" s="29" t="n"/>
      <c r="T714" s="29" t="n"/>
      <c r="U714" s="29" t="n"/>
      <c r="V714" s="30">
        <f>IF(OR($A714="",$U714=""),"",IF($S714&lt;&gt;"",MAX(0,$S714-$U714),MAX(0,TODAY()-$U714)))</f>
        <v/>
      </c>
      <c r="W714" s="30">
        <f>IF($A714="","",IF(OR($N714="Live",$N714="Retired"),"",TODAY()-MAX($O714,$P714,$Q714,$R714)))</f>
        <v/>
      </c>
      <c r="X714" s="23" t="n"/>
      <c r="Y714" s="30">
        <f>IF($A714="","",COUNTIFS('Issues Log'!$C$5:$C$504,$A714,'Issues Log'!$K$5:$K$504,"Open")+COUNTIFS('Issues Log'!$C$5:$C$504,$A714,'Issues Log'!$K$5:$K$504,"In progress"))</f>
        <v/>
      </c>
      <c r="Z714" s="27" t="n"/>
    </row>
    <row r="715">
      <c r="A715" s="27" t="n"/>
      <c r="B715" s="27" t="n"/>
      <c r="C715" s="27" t="n"/>
      <c r="D715" s="28">
        <f>IF($C715="","",IFERROR(INDEX('Topic Plan'!$C$5:$C$115,MATCH($C715,'Topic Plan'!$B$5:$B$115,0)),"UNKNOWN TOPIC ID"))</f>
        <v/>
      </c>
      <c r="E715" s="28">
        <f>IF($C715="","",IFERROR(INDEX('Topic Plan'!$D$5:$D$115,MATCH($C715,'Topic Plan'!$B$5:$B$115,0)),""))</f>
        <v/>
      </c>
      <c r="F715" s="28">
        <f>IF($C715="","",IFERROR(INDEX('Topic Plan'!$E$5:$E$115,MATCH($C715,'Topic Plan'!$B$5:$B$115,0)),""))</f>
        <v/>
      </c>
      <c r="G715" s="23" t="n"/>
      <c r="H715" s="27" t="n"/>
      <c r="I715" s="27" t="n"/>
      <c r="J715" s="27" t="n"/>
      <c r="K715" s="27" t="n"/>
      <c r="L715" s="27" t="n"/>
      <c r="M715" s="27" t="n"/>
      <c r="N715" s="23" t="n"/>
      <c r="O715" s="29" t="n"/>
      <c r="P715" s="29" t="n"/>
      <c r="Q715" s="29" t="n"/>
      <c r="R715" s="29" t="n"/>
      <c r="S715" s="29" t="n"/>
      <c r="T715" s="29" t="n"/>
      <c r="U715" s="29" t="n"/>
      <c r="V715" s="30">
        <f>IF(OR($A715="",$U715=""),"",IF($S715&lt;&gt;"",MAX(0,$S715-$U715),MAX(0,TODAY()-$U715)))</f>
        <v/>
      </c>
      <c r="W715" s="30">
        <f>IF($A715="","",IF(OR($N715="Live",$N715="Retired"),"",TODAY()-MAX($O715,$P715,$Q715,$R715)))</f>
        <v/>
      </c>
      <c r="X715" s="23" t="n"/>
      <c r="Y715" s="30">
        <f>IF($A715="","",COUNTIFS('Issues Log'!$C$5:$C$504,$A715,'Issues Log'!$K$5:$K$504,"Open")+COUNTIFS('Issues Log'!$C$5:$C$504,$A715,'Issues Log'!$K$5:$K$504,"In progress"))</f>
        <v/>
      </c>
      <c r="Z715" s="27" t="n"/>
    </row>
    <row r="716">
      <c r="A716" s="27" t="n"/>
      <c r="B716" s="27" t="n"/>
      <c r="C716" s="27" t="n"/>
      <c r="D716" s="28">
        <f>IF($C716="","",IFERROR(INDEX('Topic Plan'!$C$5:$C$115,MATCH($C716,'Topic Plan'!$B$5:$B$115,0)),"UNKNOWN TOPIC ID"))</f>
        <v/>
      </c>
      <c r="E716" s="28">
        <f>IF($C716="","",IFERROR(INDEX('Topic Plan'!$D$5:$D$115,MATCH($C716,'Topic Plan'!$B$5:$B$115,0)),""))</f>
        <v/>
      </c>
      <c r="F716" s="28">
        <f>IF($C716="","",IFERROR(INDEX('Topic Plan'!$E$5:$E$115,MATCH($C716,'Topic Plan'!$B$5:$B$115,0)),""))</f>
        <v/>
      </c>
      <c r="G716" s="23" t="n"/>
      <c r="H716" s="27" t="n"/>
      <c r="I716" s="27" t="n"/>
      <c r="J716" s="27" t="n"/>
      <c r="K716" s="27" t="n"/>
      <c r="L716" s="27" t="n"/>
      <c r="M716" s="27" t="n"/>
      <c r="N716" s="23" t="n"/>
      <c r="O716" s="29" t="n"/>
      <c r="P716" s="29" t="n"/>
      <c r="Q716" s="29" t="n"/>
      <c r="R716" s="29" t="n"/>
      <c r="S716" s="29" t="n"/>
      <c r="T716" s="29" t="n"/>
      <c r="U716" s="29" t="n"/>
      <c r="V716" s="30">
        <f>IF(OR($A716="",$U716=""),"",IF($S716&lt;&gt;"",MAX(0,$S716-$U716),MAX(0,TODAY()-$U716)))</f>
        <v/>
      </c>
      <c r="W716" s="30">
        <f>IF($A716="","",IF(OR($N716="Live",$N716="Retired"),"",TODAY()-MAX($O716,$P716,$Q716,$R716)))</f>
        <v/>
      </c>
      <c r="X716" s="23" t="n"/>
      <c r="Y716" s="30">
        <f>IF($A716="","",COUNTIFS('Issues Log'!$C$5:$C$504,$A716,'Issues Log'!$K$5:$K$504,"Open")+COUNTIFS('Issues Log'!$C$5:$C$504,$A716,'Issues Log'!$K$5:$K$504,"In progress"))</f>
        <v/>
      </c>
      <c r="Z716" s="27" t="n"/>
    </row>
    <row r="717">
      <c r="A717" s="27" t="n"/>
      <c r="B717" s="27" t="n"/>
      <c r="C717" s="27" t="n"/>
      <c r="D717" s="28">
        <f>IF($C717="","",IFERROR(INDEX('Topic Plan'!$C$5:$C$115,MATCH($C717,'Topic Plan'!$B$5:$B$115,0)),"UNKNOWN TOPIC ID"))</f>
        <v/>
      </c>
      <c r="E717" s="28">
        <f>IF($C717="","",IFERROR(INDEX('Topic Plan'!$D$5:$D$115,MATCH($C717,'Topic Plan'!$B$5:$B$115,0)),""))</f>
        <v/>
      </c>
      <c r="F717" s="28">
        <f>IF($C717="","",IFERROR(INDEX('Topic Plan'!$E$5:$E$115,MATCH($C717,'Topic Plan'!$B$5:$B$115,0)),""))</f>
        <v/>
      </c>
      <c r="G717" s="23" t="n"/>
      <c r="H717" s="27" t="n"/>
      <c r="I717" s="27" t="n"/>
      <c r="J717" s="27" t="n"/>
      <c r="K717" s="27" t="n"/>
      <c r="L717" s="27" t="n"/>
      <c r="M717" s="27" t="n"/>
      <c r="N717" s="23" t="n"/>
      <c r="O717" s="29" t="n"/>
      <c r="P717" s="29" t="n"/>
      <c r="Q717" s="29" t="n"/>
      <c r="R717" s="29" t="n"/>
      <c r="S717" s="29" t="n"/>
      <c r="T717" s="29" t="n"/>
      <c r="U717" s="29" t="n"/>
      <c r="V717" s="30">
        <f>IF(OR($A717="",$U717=""),"",IF($S717&lt;&gt;"",MAX(0,$S717-$U717),MAX(0,TODAY()-$U717)))</f>
        <v/>
      </c>
      <c r="W717" s="30">
        <f>IF($A717="","",IF(OR($N717="Live",$N717="Retired"),"",TODAY()-MAX($O717,$P717,$Q717,$R717)))</f>
        <v/>
      </c>
      <c r="X717" s="23" t="n"/>
      <c r="Y717" s="30">
        <f>IF($A717="","",COUNTIFS('Issues Log'!$C$5:$C$504,$A717,'Issues Log'!$K$5:$K$504,"Open")+COUNTIFS('Issues Log'!$C$5:$C$504,$A717,'Issues Log'!$K$5:$K$504,"In progress"))</f>
        <v/>
      </c>
      <c r="Z717" s="27" t="n"/>
    </row>
    <row r="718">
      <c r="A718" s="27" t="n"/>
      <c r="B718" s="27" t="n"/>
      <c r="C718" s="27" t="n"/>
      <c r="D718" s="28">
        <f>IF($C718="","",IFERROR(INDEX('Topic Plan'!$C$5:$C$115,MATCH($C718,'Topic Plan'!$B$5:$B$115,0)),"UNKNOWN TOPIC ID"))</f>
        <v/>
      </c>
      <c r="E718" s="28">
        <f>IF($C718="","",IFERROR(INDEX('Topic Plan'!$D$5:$D$115,MATCH($C718,'Topic Plan'!$B$5:$B$115,0)),""))</f>
        <v/>
      </c>
      <c r="F718" s="28">
        <f>IF($C718="","",IFERROR(INDEX('Topic Plan'!$E$5:$E$115,MATCH($C718,'Topic Plan'!$B$5:$B$115,0)),""))</f>
        <v/>
      </c>
      <c r="G718" s="23" t="n"/>
      <c r="H718" s="27" t="n"/>
      <c r="I718" s="27" t="n"/>
      <c r="J718" s="27" t="n"/>
      <c r="K718" s="27" t="n"/>
      <c r="L718" s="27" t="n"/>
      <c r="M718" s="27" t="n"/>
      <c r="N718" s="23" t="n"/>
      <c r="O718" s="29" t="n"/>
      <c r="P718" s="29" t="n"/>
      <c r="Q718" s="29" t="n"/>
      <c r="R718" s="29" t="n"/>
      <c r="S718" s="29" t="n"/>
      <c r="T718" s="29" t="n"/>
      <c r="U718" s="29" t="n"/>
      <c r="V718" s="30">
        <f>IF(OR($A718="",$U718=""),"",IF($S718&lt;&gt;"",MAX(0,$S718-$U718),MAX(0,TODAY()-$U718)))</f>
        <v/>
      </c>
      <c r="W718" s="30">
        <f>IF($A718="","",IF(OR($N718="Live",$N718="Retired"),"",TODAY()-MAX($O718,$P718,$Q718,$R718)))</f>
        <v/>
      </c>
      <c r="X718" s="23" t="n"/>
      <c r="Y718" s="30">
        <f>IF($A718="","",COUNTIFS('Issues Log'!$C$5:$C$504,$A718,'Issues Log'!$K$5:$K$504,"Open")+COUNTIFS('Issues Log'!$C$5:$C$504,$A718,'Issues Log'!$K$5:$K$504,"In progress"))</f>
        <v/>
      </c>
      <c r="Z718" s="27" t="n"/>
    </row>
    <row r="719">
      <c r="A719" s="27" t="n"/>
      <c r="B719" s="27" t="n"/>
      <c r="C719" s="27" t="n"/>
      <c r="D719" s="28">
        <f>IF($C719="","",IFERROR(INDEX('Topic Plan'!$C$5:$C$115,MATCH($C719,'Topic Plan'!$B$5:$B$115,0)),"UNKNOWN TOPIC ID"))</f>
        <v/>
      </c>
      <c r="E719" s="28">
        <f>IF($C719="","",IFERROR(INDEX('Topic Plan'!$D$5:$D$115,MATCH($C719,'Topic Plan'!$B$5:$B$115,0)),""))</f>
        <v/>
      </c>
      <c r="F719" s="28">
        <f>IF($C719="","",IFERROR(INDEX('Topic Plan'!$E$5:$E$115,MATCH($C719,'Topic Plan'!$B$5:$B$115,0)),""))</f>
        <v/>
      </c>
      <c r="G719" s="23" t="n"/>
      <c r="H719" s="27" t="n"/>
      <c r="I719" s="27" t="n"/>
      <c r="J719" s="27" t="n"/>
      <c r="K719" s="27" t="n"/>
      <c r="L719" s="27" t="n"/>
      <c r="M719" s="27" t="n"/>
      <c r="N719" s="23" t="n"/>
      <c r="O719" s="29" t="n"/>
      <c r="P719" s="29" t="n"/>
      <c r="Q719" s="29" t="n"/>
      <c r="R719" s="29" t="n"/>
      <c r="S719" s="29" t="n"/>
      <c r="T719" s="29" t="n"/>
      <c r="U719" s="29" t="n"/>
      <c r="V719" s="30">
        <f>IF(OR($A719="",$U719=""),"",IF($S719&lt;&gt;"",MAX(0,$S719-$U719),MAX(0,TODAY()-$U719)))</f>
        <v/>
      </c>
      <c r="W719" s="30">
        <f>IF($A719="","",IF(OR($N719="Live",$N719="Retired"),"",TODAY()-MAX($O719,$P719,$Q719,$R719)))</f>
        <v/>
      </c>
      <c r="X719" s="23" t="n"/>
      <c r="Y719" s="30">
        <f>IF($A719="","",COUNTIFS('Issues Log'!$C$5:$C$504,$A719,'Issues Log'!$K$5:$K$504,"Open")+COUNTIFS('Issues Log'!$C$5:$C$504,$A719,'Issues Log'!$K$5:$K$504,"In progress"))</f>
        <v/>
      </c>
      <c r="Z719" s="27" t="n"/>
    </row>
    <row r="720">
      <c r="A720" s="27" t="n"/>
      <c r="B720" s="27" t="n"/>
      <c r="C720" s="27" t="n"/>
      <c r="D720" s="28">
        <f>IF($C720="","",IFERROR(INDEX('Topic Plan'!$C$5:$C$115,MATCH($C720,'Topic Plan'!$B$5:$B$115,0)),"UNKNOWN TOPIC ID"))</f>
        <v/>
      </c>
      <c r="E720" s="28">
        <f>IF($C720="","",IFERROR(INDEX('Topic Plan'!$D$5:$D$115,MATCH($C720,'Topic Plan'!$B$5:$B$115,0)),""))</f>
        <v/>
      </c>
      <c r="F720" s="28">
        <f>IF($C720="","",IFERROR(INDEX('Topic Plan'!$E$5:$E$115,MATCH($C720,'Topic Plan'!$B$5:$B$115,0)),""))</f>
        <v/>
      </c>
      <c r="G720" s="23" t="n"/>
      <c r="H720" s="27" t="n"/>
      <c r="I720" s="27" t="n"/>
      <c r="J720" s="27" t="n"/>
      <c r="K720" s="27" t="n"/>
      <c r="L720" s="27" t="n"/>
      <c r="M720" s="27" t="n"/>
      <c r="N720" s="23" t="n"/>
      <c r="O720" s="29" t="n"/>
      <c r="P720" s="29" t="n"/>
      <c r="Q720" s="29" t="n"/>
      <c r="R720" s="29" t="n"/>
      <c r="S720" s="29" t="n"/>
      <c r="T720" s="29" t="n"/>
      <c r="U720" s="29" t="n"/>
      <c r="V720" s="30">
        <f>IF(OR($A720="",$U720=""),"",IF($S720&lt;&gt;"",MAX(0,$S720-$U720),MAX(0,TODAY()-$U720)))</f>
        <v/>
      </c>
      <c r="W720" s="30">
        <f>IF($A720="","",IF(OR($N720="Live",$N720="Retired"),"",TODAY()-MAX($O720,$P720,$Q720,$R720)))</f>
        <v/>
      </c>
      <c r="X720" s="23" t="n"/>
      <c r="Y720" s="30">
        <f>IF($A720="","",COUNTIFS('Issues Log'!$C$5:$C$504,$A720,'Issues Log'!$K$5:$K$504,"Open")+COUNTIFS('Issues Log'!$C$5:$C$504,$A720,'Issues Log'!$K$5:$K$504,"In progress"))</f>
        <v/>
      </c>
      <c r="Z720" s="27" t="n"/>
    </row>
    <row r="721">
      <c r="A721" s="27" t="n"/>
      <c r="B721" s="27" t="n"/>
      <c r="C721" s="27" t="n"/>
      <c r="D721" s="28">
        <f>IF($C721="","",IFERROR(INDEX('Topic Plan'!$C$5:$C$115,MATCH($C721,'Topic Plan'!$B$5:$B$115,0)),"UNKNOWN TOPIC ID"))</f>
        <v/>
      </c>
      <c r="E721" s="28">
        <f>IF($C721="","",IFERROR(INDEX('Topic Plan'!$D$5:$D$115,MATCH($C721,'Topic Plan'!$B$5:$B$115,0)),""))</f>
        <v/>
      </c>
      <c r="F721" s="28">
        <f>IF($C721="","",IFERROR(INDEX('Topic Plan'!$E$5:$E$115,MATCH($C721,'Topic Plan'!$B$5:$B$115,0)),""))</f>
        <v/>
      </c>
      <c r="G721" s="23" t="n"/>
      <c r="H721" s="27" t="n"/>
      <c r="I721" s="27" t="n"/>
      <c r="J721" s="27" t="n"/>
      <c r="K721" s="27" t="n"/>
      <c r="L721" s="27" t="n"/>
      <c r="M721" s="27" t="n"/>
      <c r="N721" s="23" t="n"/>
      <c r="O721" s="29" t="n"/>
      <c r="P721" s="29" t="n"/>
      <c r="Q721" s="29" t="n"/>
      <c r="R721" s="29" t="n"/>
      <c r="S721" s="29" t="n"/>
      <c r="T721" s="29" t="n"/>
      <c r="U721" s="29" t="n"/>
      <c r="V721" s="30">
        <f>IF(OR($A721="",$U721=""),"",IF($S721&lt;&gt;"",MAX(0,$S721-$U721),MAX(0,TODAY()-$U721)))</f>
        <v/>
      </c>
      <c r="W721" s="30">
        <f>IF($A721="","",IF(OR($N721="Live",$N721="Retired"),"",TODAY()-MAX($O721,$P721,$Q721,$R721)))</f>
        <v/>
      </c>
      <c r="X721" s="23" t="n"/>
      <c r="Y721" s="30">
        <f>IF($A721="","",COUNTIFS('Issues Log'!$C$5:$C$504,$A721,'Issues Log'!$K$5:$K$504,"Open")+COUNTIFS('Issues Log'!$C$5:$C$504,$A721,'Issues Log'!$K$5:$K$504,"In progress"))</f>
        <v/>
      </c>
      <c r="Z721" s="27" t="n"/>
    </row>
    <row r="722">
      <c r="A722" s="27" t="n"/>
      <c r="B722" s="27" t="n"/>
      <c r="C722" s="27" t="n"/>
      <c r="D722" s="28">
        <f>IF($C722="","",IFERROR(INDEX('Topic Plan'!$C$5:$C$115,MATCH($C722,'Topic Plan'!$B$5:$B$115,0)),"UNKNOWN TOPIC ID"))</f>
        <v/>
      </c>
      <c r="E722" s="28">
        <f>IF($C722="","",IFERROR(INDEX('Topic Plan'!$D$5:$D$115,MATCH($C722,'Topic Plan'!$B$5:$B$115,0)),""))</f>
        <v/>
      </c>
      <c r="F722" s="28">
        <f>IF($C722="","",IFERROR(INDEX('Topic Plan'!$E$5:$E$115,MATCH($C722,'Topic Plan'!$B$5:$B$115,0)),""))</f>
        <v/>
      </c>
      <c r="G722" s="23" t="n"/>
      <c r="H722" s="27" t="n"/>
      <c r="I722" s="27" t="n"/>
      <c r="J722" s="27" t="n"/>
      <c r="K722" s="27" t="n"/>
      <c r="L722" s="27" t="n"/>
      <c r="M722" s="27" t="n"/>
      <c r="N722" s="23" t="n"/>
      <c r="O722" s="29" t="n"/>
      <c r="P722" s="29" t="n"/>
      <c r="Q722" s="29" t="n"/>
      <c r="R722" s="29" t="n"/>
      <c r="S722" s="29" t="n"/>
      <c r="T722" s="29" t="n"/>
      <c r="U722" s="29" t="n"/>
      <c r="V722" s="30">
        <f>IF(OR($A722="",$U722=""),"",IF($S722&lt;&gt;"",MAX(0,$S722-$U722),MAX(0,TODAY()-$U722)))</f>
        <v/>
      </c>
      <c r="W722" s="30">
        <f>IF($A722="","",IF(OR($N722="Live",$N722="Retired"),"",TODAY()-MAX($O722,$P722,$Q722,$R722)))</f>
        <v/>
      </c>
      <c r="X722" s="23" t="n"/>
      <c r="Y722" s="30">
        <f>IF($A722="","",COUNTIFS('Issues Log'!$C$5:$C$504,$A722,'Issues Log'!$K$5:$K$504,"Open")+COUNTIFS('Issues Log'!$C$5:$C$504,$A722,'Issues Log'!$K$5:$K$504,"In progress"))</f>
        <v/>
      </c>
      <c r="Z722" s="27" t="n"/>
    </row>
    <row r="723">
      <c r="A723" s="27" t="n"/>
      <c r="B723" s="27" t="n"/>
      <c r="C723" s="27" t="n"/>
      <c r="D723" s="28">
        <f>IF($C723="","",IFERROR(INDEX('Topic Plan'!$C$5:$C$115,MATCH($C723,'Topic Plan'!$B$5:$B$115,0)),"UNKNOWN TOPIC ID"))</f>
        <v/>
      </c>
      <c r="E723" s="28">
        <f>IF($C723="","",IFERROR(INDEX('Topic Plan'!$D$5:$D$115,MATCH($C723,'Topic Plan'!$B$5:$B$115,0)),""))</f>
        <v/>
      </c>
      <c r="F723" s="28">
        <f>IF($C723="","",IFERROR(INDEX('Topic Plan'!$E$5:$E$115,MATCH($C723,'Topic Plan'!$B$5:$B$115,0)),""))</f>
        <v/>
      </c>
      <c r="G723" s="23" t="n"/>
      <c r="H723" s="27" t="n"/>
      <c r="I723" s="27" t="n"/>
      <c r="J723" s="27" t="n"/>
      <c r="K723" s="27" t="n"/>
      <c r="L723" s="27" t="n"/>
      <c r="M723" s="27" t="n"/>
      <c r="N723" s="23" t="n"/>
      <c r="O723" s="29" t="n"/>
      <c r="P723" s="29" t="n"/>
      <c r="Q723" s="29" t="n"/>
      <c r="R723" s="29" t="n"/>
      <c r="S723" s="29" t="n"/>
      <c r="T723" s="29" t="n"/>
      <c r="U723" s="29" t="n"/>
      <c r="V723" s="30">
        <f>IF(OR($A723="",$U723=""),"",IF($S723&lt;&gt;"",MAX(0,$S723-$U723),MAX(0,TODAY()-$U723)))</f>
        <v/>
      </c>
      <c r="W723" s="30">
        <f>IF($A723="","",IF(OR($N723="Live",$N723="Retired"),"",TODAY()-MAX($O723,$P723,$Q723,$R723)))</f>
        <v/>
      </c>
      <c r="X723" s="23" t="n"/>
      <c r="Y723" s="30">
        <f>IF($A723="","",COUNTIFS('Issues Log'!$C$5:$C$504,$A723,'Issues Log'!$K$5:$K$504,"Open")+COUNTIFS('Issues Log'!$C$5:$C$504,$A723,'Issues Log'!$K$5:$K$504,"In progress"))</f>
        <v/>
      </c>
      <c r="Z723" s="27" t="n"/>
    </row>
    <row r="724">
      <c r="A724" s="27" t="n"/>
      <c r="B724" s="27" t="n"/>
      <c r="C724" s="27" t="n"/>
      <c r="D724" s="28">
        <f>IF($C724="","",IFERROR(INDEX('Topic Plan'!$C$5:$C$115,MATCH($C724,'Topic Plan'!$B$5:$B$115,0)),"UNKNOWN TOPIC ID"))</f>
        <v/>
      </c>
      <c r="E724" s="28">
        <f>IF($C724="","",IFERROR(INDEX('Topic Plan'!$D$5:$D$115,MATCH($C724,'Topic Plan'!$B$5:$B$115,0)),""))</f>
        <v/>
      </c>
      <c r="F724" s="28">
        <f>IF($C724="","",IFERROR(INDEX('Topic Plan'!$E$5:$E$115,MATCH($C724,'Topic Plan'!$B$5:$B$115,0)),""))</f>
        <v/>
      </c>
      <c r="G724" s="23" t="n"/>
      <c r="H724" s="27" t="n"/>
      <c r="I724" s="27" t="n"/>
      <c r="J724" s="27" t="n"/>
      <c r="K724" s="27" t="n"/>
      <c r="L724" s="27" t="n"/>
      <c r="M724" s="27" t="n"/>
      <c r="N724" s="23" t="n"/>
      <c r="O724" s="29" t="n"/>
      <c r="P724" s="29" t="n"/>
      <c r="Q724" s="29" t="n"/>
      <c r="R724" s="29" t="n"/>
      <c r="S724" s="29" t="n"/>
      <c r="T724" s="29" t="n"/>
      <c r="U724" s="29" t="n"/>
      <c r="V724" s="30">
        <f>IF(OR($A724="",$U724=""),"",IF($S724&lt;&gt;"",MAX(0,$S724-$U724),MAX(0,TODAY()-$U724)))</f>
        <v/>
      </c>
      <c r="W724" s="30">
        <f>IF($A724="","",IF(OR($N724="Live",$N724="Retired"),"",TODAY()-MAX($O724,$P724,$Q724,$R724)))</f>
        <v/>
      </c>
      <c r="X724" s="23" t="n"/>
      <c r="Y724" s="30">
        <f>IF($A724="","",COUNTIFS('Issues Log'!$C$5:$C$504,$A724,'Issues Log'!$K$5:$K$504,"Open")+COUNTIFS('Issues Log'!$C$5:$C$504,$A724,'Issues Log'!$K$5:$K$504,"In progress"))</f>
        <v/>
      </c>
      <c r="Z724" s="27" t="n"/>
    </row>
    <row r="725">
      <c r="A725" s="27" t="n"/>
      <c r="B725" s="27" t="n"/>
      <c r="C725" s="27" t="n"/>
      <c r="D725" s="28">
        <f>IF($C725="","",IFERROR(INDEX('Topic Plan'!$C$5:$C$115,MATCH($C725,'Topic Plan'!$B$5:$B$115,0)),"UNKNOWN TOPIC ID"))</f>
        <v/>
      </c>
      <c r="E725" s="28">
        <f>IF($C725="","",IFERROR(INDEX('Topic Plan'!$D$5:$D$115,MATCH($C725,'Topic Plan'!$B$5:$B$115,0)),""))</f>
        <v/>
      </c>
      <c r="F725" s="28">
        <f>IF($C725="","",IFERROR(INDEX('Topic Plan'!$E$5:$E$115,MATCH($C725,'Topic Plan'!$B$5:$B$115,0)),""))</f>
        <v/>
      </c>
      <c r="G725" s="23" t="n"/>
      <c r="H725" s="27" t="n"/>
      <c r="I725" s="27" t="n"/>
      <c r="J725" s="27" t="n"/>
      <c r="K725" s="27" t="n"/>
      <c r="L725" s="27" t="n"/>
      <c r="M725" s="27" t="n"/>
      <c r="N725" s="23" t="n"/>
      <c r="O725" s="29" t="n"/>
      <c r="P725" s="29" t="n"/>
      <c r="Q725" s="29" t="n"/>
      <c r="R725" s="29" t="n"/>
      <c r="S725" s="29" t="n"/>
      <c r="T725" s="29" t="n"/>
      <c r="U725" s="29" t="n"/>
      <c r="V725" s="30">
        <f>IF(OR($A725="",$U725=""),"",IF($S725&lt;&gt;"",MAX(0,$S725-$U725),MAX(0,TODAY()-$U725)))</f>
        <v/>
      </c>
      <c r="W725" s="30">
        <f>IF($A725="","",IF(OR($N725="Live",$N725="Retired"),"",TODAY()-MAX($O725,$P725,$Q725,$R725)))</f>
        <v/>
      </c>
      <c r="X725" s="23" t="n"/>
      <c r="Y725" s="30">
        <f>IF($A725="","",COUNTIFS('Issues Log'!$C$5:$C$504,$A725,'Issues Log'!$K$5:$K$504,"Open")+COUNTIFS('Issues Log'!$C$5:$C$504,$A725,'Issues Log'!$K$5:$K$504,"In progress"))</f>
        <v/>
      </c>
      <c r="Z725" s="27" t="n"/>
    </row>
    <row r="726">
      <c r="A726" s="27" t="n"/>
      <c r="B726" s="27" t="n"/>
      <c r="C726" s="27" t="n"/>
      <c r="D726" s="28">
        <f>IF($C726="","",IFERROR(INDEX('Topic Plan'!$C$5:$C$115,MATCH($C726,'Topic Plan'!$B$5:$B$115,0)),"UNKNOWN TOPIC ID"))</f>
        <v/>
      </c>
      <c r="E726" s="28">
        <f>IF($C726="","",IFERROR(INDEX('Topic Plan'!$D$5:$D$115,MATCH($C726,'Topic Plan'!$B$5:$B$115,0)),""))</f>
        <v/>
      </c>
      <c r="F726" s="28">
        <f>IF($C726="","",IFERROR(INDEX('Topic Plan'!$E$5:$E$115,MATCH($C726,'Topic Plan'!$B$5:$B$115,0)),""))</f>
        <v/>
      </c>
      <c r="G726" s="23" t="n"/>
      <c r="H726" s="27" t="n"/>
      <c r="I726" s="27" t="n"/>
      <c r="J726" s="27" t="n"/>
      <c r="K726" s="27" t="n"/>
      <c r="L726" s="27" t="n"/>
      <c r="M726" s="27" t="n"/>
      <c r="N726" s="23" t="n"/>
      <c r="O726" s="29" t="n"/>
      <c r="P726" s="29" t="n"/>
      <c r="Q726" s="29" t="n"/>
      <c r="R726" s="29" t="n"/>
      <c r="S726" s="29" t="n"/>
      <c r="T726" s="29" t="n"/>
      <c r="U726" s="29" t="n"/>
      <c r="V726" s="30">
        <f>IF(OR($A726="",$U726=""),"",IF($S726&lt;&gt;"",MAX(0,$S726-$U726),MAX(0,TODAY()-$U726)))</f>
        <v/>
      </c>
      <c r="W726" s="30">
        <f>IF($A726="","",IF(OR($N726="Live",$N726="Retired"),"",TODAY()-MAX($O726,$P726,$Q726,$R726)))</f>
        <v/>
      </c>
      <c r="X726" s="23" t="n"/>
      <c r="Y726" s="30">
        <f>IF($A726="","",COUNTIFS('Issues Log'!$C$5:$C$504,$A726,'Issues Log'!$K$5:$K$504,"Open")+COUNTIFS('Issues Log'!$C$5:$C$504,$A726,'Issues Log'!$K$5:$K$504,"In progress"))</f>
        <v/>
      </c>
      <c r="Z726" s="27" t="n"/>
    </row>
    <row r="727">
      <c r="A727" s="27" t="n"/>
      <c r="B727" s="27" t="n"/>
      <c r="C727" s="27" t="n"/>
      <c r="D727" s="28">
        <f>IF($C727="","",IFERROR(INDEX('Topic Plan'!$C$5:$C$115,MATCH($C727,'Topic Plan'!$B$5:$B$115,0)),"UNKNOWN TOPIC ID"))</f>
        <v/>
      </c>
      <c r="E727" s="28">
        <f>IF($C727="","",IFERROR(INDEX('Topic Plan'!$D$5:$D$115,MATCH($C727,'Topic Plan'!$B$5:$B$115,0)),""))</f>
        <v/>
      </c>
      <c r="F727" s="28">
        <f>IF($C727="","",IFERROR(INDEX('Topic Plan'!$E$5:$E$115,MATCH($C727,'Topic Plan'!$B$5:$B$115,0)),""))</f>
        <v/>
      </c>
      <c r="G727" s="23" t="n"/>
      <c r="H727" s="27" t="n"/>
      <c r="I727" s="27" t="n"/>
      <c r="J727" s="27" t="n"/>
      <c r="K727" s="27" t="n"/>
      <c r="L727" s="27" t="n"/>
      <c r="M727" s="27" t="n"/>
      <c r="N727" s="23" t="n"/>
      <c r="O727" s="29" t="n"/>
      <c r="P727" s="29" t="n"/>
      <c r="Q727" s="29" t="n"/>
      <c r="R727" s="29" t="n"/>
      <c r="S727" s="29" t="n"/>
      <c r="T727" s="29" t="n"/>
      <c r="U727" s="29" t="n"/>
      <c r="V727" s="30">
        <f>IF(OR($A727="",$U727=""),"",IF($S727&lt;&gt;"",MAX(0,$S727-$U727),MAX(0,TODAY()-$U727)))</f>
        <v/>
      </c>
      <c r="W727" s="30">
        <f>IF($A727="","",IF(OR($N727="Live",$N727="Retired"),"",TODAY()-MAX($O727,$P727,$Q727,$R727)))</f>
        <v/>
      </c>
      <c r="X727" s="23" t="n"/>
      <c r="Y727" s="30">
        <f>IF($A727="","",COUNTIFS('Issues Log'!$C$5:$C$504,$A727,'Issues Log'!$K$5:$K$504,"Open")+COUNTIFS('Issues Log'!$C$5:$C$504,$A727,'Issues Log'!$K$5:$K$504,"In progress"))</f>
        <v/>
      </c>
      <c r="Z727" s="27" t="n"/>
    </row>
    <row r="728">
      <c r="A728" s="27" t="n"/>
      <c r="B728" s="27" t="n"/>
      <c r="C728" s="27" t="n"/>
      <c r="D728" s="28">
        <f>IF($C728="","",IFERROR(INDEX('Topic Plan'!$C$5:$C$115,MATCH($C728,'Topic Plan'!$B$5:$B$115,0)),"UNKNOWN TOPIC ID"))</f>
        <v/>
      </c>
      <c r="E728" s="28">
        <f>IF($C728="","",IFERROR(INDEX('Topic Plan'!$D$5:$D$115,MATCH($C728,'Topic Plan'!$B$5:$B$115,0)),""))</f>
        <v/>
      </c>
      <c r="F728" s="28">
        <f>IF($C728="","",IFERROR(INDEX('Topic Plan'!$E$5:$E$115,MATCH($C728,'Topic Plan'!$B$5:$B$115,0)),""))</f>
        <v/>
      </c>
      <c r="G728" s="23" t="n"/>
      <c r="H728" s="27" t="n"/>
      <c r="I728" s="27" t="n"/>
      <c r="J728" s="27" t="n"/>
      <c r="K728" s="27" t="n"/>
      <c r="L728" s="27" t="n"/>
      <c r="M728" s="27" t="n"/>
      <c r="N728" s="23" t="n"/>
      <c r="O728" s="29" t="n"/>
      <c r="P728" s="29" t="n"/>
      <c r="Q728" s="29" t="n"/>
      <c r="R728" s="29" t="n"/>
      <c r="S728" s="29" t="n"/>
      <c r="T728" s="29" t="n"/>
      <c r="U728" s="29" t="n"/>
      <c r="V728" s="30">
        <f>IF(OR($A728="",$U728=""),"",IF($S728&lt;&gt;"",MAX(0,$S728-$U728),MAX(0,TODAY()-$U728)))</f>
        <v/>
      </c>
      <c r="W728" s="30">
        <f>IF($A728="","",IF(OR($N728="Live",$N728="Retired"),"",TODAY()-MAX($O728,$P728,$Q728,$R728)))</f>
        <v/>
      </c>
      <c r="X728" s="23" t="n"/>
      <c r="Y728" s="30">
        <f>IF($A728="","",COUNTIFS('Issues Log'!$C$5:$C$504,$A728,'Issues Log'!$K$5:$K$504,"Open")+COUNTIFS('Issues Log'!$C$5:$C$504,$A728,'Issues Log'!$K$5:$K$504,"In progress"))</f>
        <v/>
      </c>
      <c r="Z728" s="27" t="n"/>
    </row>
    <row r="729">
      <c r="A729" s="27" t="n"/>
      <c r="B729" s="27" t="n"/>
      <c r="C729" s="27" t="n"/>
      <c r="D729" s="28">
        <f>IF($C729="","",IFERROR(INDEX('Topic Plan'!$C$5:$C$115,MATCH($C729,'Topic Plan'!$B$5:$B$115,0)),"UNKNOWN TOPIC ID"))</f>
        <v/>
      </c>
      <c r="E729" s="28">
        <f>IF($C729="","",IFERROR(INDEX('Topic Plan'!$D$5:$D$115,MATCH($C729,'Topic Plan'!$B$5:$B$115,0)),""))</f>
        <v/>
      </c>
      <c r="F729" s="28">
        <f>IF($C729="","",IFERROR(INDEX('Topic Plan'!$E$5:$E$115,MATCH($C729,'Topic Plan'!$B$5:$B$115,0)),""))</f>
        <v/>
      </c>
      <c r="G729" s="23" t="n"/>
      <c r="H729" s="27" t="n"/>
      <c r="I729" s="27" t="n"/>
      <c r="J729" s="27" t="n"/>
      <c r="K729" s="27" t="n"/>
      <c r="L729" s="27" t="n"/>
      <c r="M729" s="27" t="n"/>
      <c r="N729" s="23" t="n"/>
      <c r="O729" s="29" t="n"/>
      <c r="P729" s="29" t="n"/>
      <c r="Q729" s="29" t="n"/>
      <c r="R729" s="29" t="n"/>
      <c r="S729" s="29" t="n"/>
      <c r="T729" s="29" t="n"/>
      <c r="U729" s="29" t="n"/>
      <c r="V729" s="30">
        <f>IF(OR($A729="",$U729=""),"",IF($S729&lt;&gt;"",MAX(0,$S729-$U729),MAX(0,TODAY()-$U729)))</f>
        <v/>
      </c>
      <c r="W729" s="30">
        <f>IF($A729="","",IF(OR($N729="Live",$N729="Retired"),"",TODAY()-MAX($O729,$P729,$Q729,$R729)))</f>
        <v/>
      </c>
      <c r="X729" s="23" t="n"/>
      <c r="Y729" s="30">
        <f>IF($A729="","",COUNTIFS('Issues Log'!$C$5:$C$504,$A729,'Issues Log'!$K$5:$K$504,"Open")+COUNTIFS('Issues Log'!$C$5:$C$504,$A729,'Issues Log'!$K$5:$K$504,"In progress"))</f>
        <v/>
      </c>
      <c r="Z729" s="27" t="n"/>
    </row>
    <row r="730">
      <c r="A730" s="27" t="n"/>
      <c r="B730" s="27" t="n"/>
      <c r="C730" s="27" t="n"/>
      <c r="D730" s="28">
        <f>IF($C730="","",IFERROR(INDEX('Topic Plan'!$C$5:$C$115,MATCH($C730,'Topic Plan'!$B$5:$B$115,0)),"UNKNOWN TOPIC ID"))</f>
        <v/>
      </c>
      <c r="E730" s="28">
        <f>IF($C730="","",IFERROR(INDEX('Topic Plan'!$D$5:$D$115,MATCH($C730,'Topic Plan'!$B$5:$B$115,0)),""))</f>
        <v/>
      </c>
      <c r="F730" s="28">
        <f>IF($C730="","",IFERROR(INDEX('Topic Plan'!$E$5:$E$115,MATCH($C730,'Topic Plan'!$B$5:$B$115,0)),""))</f>
        <v/>
      </c>
      <c r="G730" s="23" t="n"/>
      <c r="H730" s="27" t="n"/>
      <c r="I730" s="27" t="n"/>
      <c r="J730" s="27" t="n"/>
      <c r="K730" s="27" t="n"/>
      <c r="L730" s="27" t="n"/>
      <c r="M730" s="27" t="n"/>
      <c r="N730" s="23" t="n"/>
      <c r="O730" s="29" t="n"/>
      <c r="P730" s="29" t="n"/>
      <c r="Q730" s="29" t="n"/>
      <c r="R730" s="29" t="n"/>
      <c r="S730" s="29" t="n"/>
      <c r="T730" s="29" t="n"/>
      <c r="U730" s="29" t="n"/>
      <c r="V730" s="30">
        <f>IF(OR($A730="",$U730=""),"",IF($S730&lt;&gt;"",MAX(0,$S730-$U730),MAX(0,TODAY()-$U730)))</f>
        <v/>
      </c>
      <c r="W730" s="30">
        <f>IF($A730="","",IF(OR($N730="Live",$N730="Retired"),"",TODAY()-MAX($O730,$P730,$Q730,$R730)))</f>
        <v/>
      </c>
      <c r="X730" s="23" t="n"/>
      <c r="Y730" s="30">
        <f>IF($A730="","",COUNTIFS('Issues Log'!$C$5:$C$504,$A730,'Issues Log'!$K$5:$K$504,"Open")+COUNTIFS('Issues Log'!$C$5:$C$504,$A730,'Issues Log'!$K$5:$K$504,"In progress"))</f>
        <v/>
      </c>
      <c r="Z730" s="27" t="n"/>
    </row>
    <row r="731">
      <c r="A731" s="27" t="n"/>
      <c r="B731" s="27" t="n"/>
      <c r="C731" s="27" t="n"/>
      <c r="D731" s="28">
        <f>IF($C731="","",IFERROR(INDEX('Topic Plan'!$C$5:$C$115,MATCH($C731,'Topic Plan'!$B$5:$B$115,0)),"UNKNOWN TOPIC ID"))</f>
        <v/>
      </c>
      <c r="E731" s="28">
        <f>IF($C731="","",IFERROR(INDEX('Topic Plan'!$D$5:$D$115,MATCH($C731,'Topic Plan'!$B$5:$B$115,0)),""))</f>
        <v/>
      </c>
      <c r="F731" s="28">
        <f>IF($C731="","",IFERROR(INDEX('Topic Plan'!$E$5:$E$115,MATCH($C731,'Topic Plan'!$B$5:$B$115,0)),""))</f>
        <v/>
      </c>
      <c r="G731" s="23" t="n"/>
      <c r="H731" s="27" t="n"/>
      <c r="I731" s="27" t="n"/>
      <c r="J731" s="27" t="n"/>
      <c r="K731" s="27" t="n"/>
      <c r="L731" s="27" t="n"/>
      <c r="M731" s="27" t="n"/>
      <c r="N731" s="23" t="n"/>
      <c r="O731" s="29" t="n"/>
      <c r="P731" s="29" t="n"/>
      <c r="Q731" s="29" t="n"/>
      <c r="R731" s="29" t="n"/>
      <c r="S731" s="29" t="n"/>
      <c r="T731" s="29" t="n"/>
      <c r="U731" s="29" t="n"/>
      <c r="V731" s="30">
        <f>IF(OR($A731="",$U731=""),"",IF($S731&lt;&gt;"",MAX(0,$S731-$U731),MAX(0,TODAY()-$U731)))</f>
        <v/>
      </c>
      <c r="W731" s="30">
        <f>IF($A731="","",IF(OR($N731="Live",$N731="Retired"),"",TODAY()-MAX($O731,$P731,$Q731,$R731)))</f>
        <v/>
      </c>
      <c r="X731" s="23" t="n"/>
      <c r="Y731" s="30">
        <f>IF($A731="","",COUNTIFS('Issues Log'!$C$5:$C$504,$A731,'Issues Log'!$K$5:$K$504,"Open")+COUNTIFS('Issues Log'!$C$5:$C$504,$A731,'Issues Log'!$K$5:$K$504,"In progress"))</f>
        <v/>
      </c>
      <c r="Z731" s="27" t="n"/>
    </row>
    <row r="732">
      <c r="A732" s="27" t="n"/>
      <c r="B732" s="27" t="n"/>
      <c r="C732" s="27" t="n"/>
      <c r="D732" s="28">
        <f>IF($C732="","",IFERROR(INDEX('Topic Plan'!$C$5:$C$115,MATCH($C732,'Topic Plan'!$B$5:$B$115,0)),"UNKNOWN TOPIC ID"))</f>
        <v/>
      </c>
      <c r="E732" s="28">
        <f>IF($C732="","",IFERROR(INDEX('Topic Plan'!$D$5:$D$115,MATCH($C732,'Topic Plan'!$B$5:$B$115,0)),""))</f>
        <v/>
      </c>
      <c r="F732" s="28">
        <f>IF($C732="","",IFERROR(INDEX('Topic Plan'!$E$5:$E$115,MATCH($C732,'Topic Plan'!$B$5:$B$115,0)),""))</f>
        <v/>
      </c>
      <c r="G732" s="23" t="n"/>
      <c r="H732" s="27" t="n"/>
      <c r="I732" s="27" t="n"/>
      <c r="J732" s="27" t="n"/>
      <c r="K732" s="27" t="n"/>
      <c r="L732" s="27" t="n"/>
      <c r="M732" s="27" t="n"/>
      <c r="N732" s="23" t="n"/>
      <c r="O732" s="29" t="n"/>
      <c r="P732" s="29" t="n"/>
      <c r="Q732" s="29" t="n"/>
      <c r="R732" s="29" t="n"/>
      <c r="S732" s="29" t="n"/>
      <c r="T732" s="29" t="n"/>
      <c r="U732" s="29" t="n"/>
      <c r="V732" s="30">
        <f>IF(OR($A732="",$U732=""),"",IF($S732&lt;&gt;"",MAX(0,$S732-$U732),MAX(0,TODAY()-$U732)))</f>
        <v/>
      </c>
      <c r="W732" s="30">
        <f>IF($A732="","",IF(OR($N732="Live",$N732="Retired"),"",TODAY()-MAX($O732,$P732,$Q732,$R732)))</f>
        <v/>
      </c>
      <c r="X732" s="23" t="n"/>
      <c r="Y732" s="30">
        <f>IF($A732="","",COUNTIFS('Issues Log'!$C$5:$C$504,$A732,'Issues Log'!$K$5:$K$504,"Open")+COUNTIFS('Issues Log'!$C$5:$C$504,$A732,'Issues Log'!$K$5:$K$504,"In progress"))</f>
        <v/>
      </c>
      <c r="Z732" s="27" t="n"/>
    </row>
    <row r="733">
      <c r="A733" s="27" t="n"/>
      <c r="B733" s="27" t="n"/>
      <c r="C733" s="27" t="n"/>
      <c r="D733" s="28">
        <f>IF($C733="","",IFERROR(INDEX('Topic Plan'!$C$5:$C$115,MATCH($C733,'Topic Plan'!$B$5:$B$115,0)),"UNKNOWN TOPIC ID"))</f>
        <v/>
      </c>
      <c r="E733" s="28">
        <f>IF($C733="","",IFERROR(INDEX('Topic Plan'!$D$5:$D$115,MATCH($C733,'Topic Plan'!$B$5:$B$115,0)),""))</f>
        <v/>
      </c>
      <c r="F733" s="28">
        <f>IF($C733="","",IFERROR(INDEX('Topic Plan'!$E$5:$E$115,MATCH($C733,'Topic Plan'!$B$5:$B$115,0)),""))</f>
        <v/>
      </c>
      <c r="G733" s="23" t="n"/>
      <c r="H733" s="27" t="n"/>
      <c r="I733" s="27" t="n"/>
      <c r="J733" s="27" t="n"/>
      <c r="K733" s="27" t="n"/>
      <c r="L733" s="27" t="n"/>
      <c r="M733" s="27" t="n"/>
      <c r="N733" s="23" t="n"/>
      <c r="O733" s="29" t="n"/>
      <c r="P733" s="29" t="n"/>
      <c r="Q733" s="29" t="n"/>
      <c r="R733" s="29" t="n"/>
      <c r="S733" s="29" t="n"/>
      <c r="T733" s="29" t="n"/>
      <c r="U733" s="29" t="n"/>
      <c r="V733" s="30">
        <f>IF(OR($A733="",$U733=""),"",IF($S733&lt;&gt;"",MAX(0,$S733-$U733),MAX(0,TODAY()-$U733)))</f>
        <v/>
      </c>
      <c r="W733" s="30">
        <f>IF($A733="","",IF(OR($N733="Live",$N733="Retired"),"",TODAY()-MAX($O733,$P733,$Q733,$R733)))</f>
        <v/>
      </c>
      <c r="X733" s="23" t="n"/>
      <c r="Y733" s="30">
        <f>IF($A733="","",COUNTIFS('Issues Log'!$C$5:$C$504,$A733,'Issues Log'!$K$5:$K$504,"Open")+COUNTIFS('Issues Log'!$C$5:$C$504,$A733,'Issues Log'!$K$5:$K$504,"In progress"))</f>
        <v/>
      </c>
      <c r="Z733" s="27" t="n"/>
    </row>
    <row r="734">
      <c r="A734" s="27" t="n"/>
      <c r="B734" s="27" t="n"/>
      <c r="C734" s="27" t="n"/>
      <c r="D734" s="28">
        <f>IF($C734="","",IFERROR(INDEX('Topic Plan'!$C$5:$C$115,MATCH($C734,'Topic Plan'!$B$5:$B$115,0)),"UNKNOWN TOPIC ID"))</f>
        <v/>
      </c>
      <c r="E734" s="28">
        <f>IF($C734="","",IFERROR(INDEX('Topic Plan'!$D$5:$D$115,MATCH($C734,'Topic Plan'!$B$5:$B$115,0)),""))</f>
        <v/>
      </c>
      <c r="F734" s="28">
        <f>IF($C734="","",IFERROR(INDEX('Topic Plan'!$E$5:$E$115,MATCH($C734,'Topic Plan'!$B$5:$B$115,0)),""))</f>
        <v/>
      </c>
      <c r="G734" s="23" t="n"/>
      <c r="H734" s="27" t="n"/>
      <c r="I734" s="27" t="n"/>
      <c r="J734" s="27" t="n"/>
      <c r="K734" s="27" t="n"/>
      <c r="L734" s="27" t="n"/>
      <c r="M734" s="27" t="n"/>
      <c r="N734" s="23" t="n"/>
      <c r="O734" s="29" t="n"/>
      <c r="P734" s="29" t="n"/>
      <c r="Q734" s="29" t="n"/>
      <c r="R734" s="29" t="n"/>
      <c r="S734" s="29" t="n"/>
      <c r="T734" s="29" t="n"/>
      <c r="U734" s="29" t="n"/>
      <c r="V734" s="30">
        <f>IF(OR($A734="",$U734=""),"",IF($S734&lt;&gt;"",MAX(0,$S734-$U734),MAX(0,TODAY()-$U734)))</f>
        <v/>
      </c>
      <c r="W734" s="30">
        <f>IF($A734="","",IF(OR($N734="Live",$N734="Retired"),"",TODAY()-MAX($O734,$P734,$Q734,$R734)))</f>
        <v/>
      </c>
      <c r="X734" s="23" t="n"/>
      <c r="Y734" s="30">
        <f>IF($A734="","",COUNTIFS('Issues Log'!$C$5:$C$504,$A734,'Issues Log'!$K$5:$K$504,"Open")+COUNTIFS('Issues Log'!$C$5:$C$504,$A734,'Issues Log'!$K$5:$K$504,"In progress"))</f>
        <v/>
      </c>
      <c r="Z734" s="27" t="n"/>
    </row>
    <row r="735">
      <c r="A735" s="27" t="n"/>
      <c r="B735" s="27" t="n"/>
      <c r="C735" s="27" t="n"/>
      <c r="D735" s="28">
        <f>IF($C735="","",IFERROR(INDEX('Topic Plan'!$C$5:$C$115,MATCH($C735,'Topic Plan'!$B$5:$B$115,0)),"UNKNOWN TOPIC ID"))</f>
        <v/>
      </c>
      <c r="E735" s="28">
        <f>IF($C735="","",IFERROR(INDEX('Topic Plan'!$D$5:$D$115,MATCH($C735,'Topic Plan'!$B$5:$B$115,0)),""))</f>
        <v/>
      </c>
      <c r="F735" s="28">
        <f>IF($C735="","",IFERROR(INDEX('Topic Plan'!$E$5:$E$115,MATCH($C735,'Topic Plan'!$B$5:$B$115,0)),""))</f>
        <v/>
      </c>
      <c r="G735" s="23" t="n"/>
      <c r="H735" s="27" t="n"/>
      <c r="I735" s="27" t="n"/>
      <c r="J735" s="27" t="n"/>
      <c r="K735" s="27" t="n"/>
      <c r="L735" s="27" t="n"/>
      <c r="M735" s="27" t="n"/>
      <c r="N735" s="23" t="n"/>
      <c r="O735" s="29" t="n"/>
      <c r="P735" s="29" t="n"/>
      <c r="Q735" s="29" t="n"/>
      <c r="R735" s="29" t="n"/>
      <c r="S735" s="29" t="n"/>
      <c r="T735" s="29" t="n"/>
      <c r="U735" s="29" t="n"/>
      <c r="V735" s="30">
        <f>IF(OR($A735="",$U735=""),"",IF($S735&lt;&gt;"",MAX(0,$S735-$U735),MAX(0,TODAY()-$U735)))</f>
        <v/>
      </c>
      <c r="W735" s="30">
        <f>IF($A735="","",IF(OR($N735="Live",$N735="Retired"),"",TODAY()-MAX($O735,$P735,$Q735,$R735)))</f>
        <v/>
      </c>
      <c r="X735" s="23" t="n"/>
      <c r="Y735" s="30">
        <f>IF($A735="","",COUNTIFS('Issues Log'!$C$5:$C$504,$A735,'Issues Log'!$K$5:$K$504,"Open")+COUNTIFS('Issues Log'!$C$5:$C$504,$A735,'Issues Log'!$K$5:$K$504,"In progress"))</f>
        <v/>
      </c>
      <c r="Z735" s="27" t="n"/>
    </row>
    <row r="736">
      <c r="A736" s="27" t="n"/>
      <c r="B736" s="27" t="n"/>
      <c r="C736" s="27" t="n"/>
      <c r="D736" s="28">
        <f>IF($C736="","",IFERROR(INDEX('Topic Plan'!$C$5:$C$115,MATCH($C736,'Topic Plan'!$B$5:$B$115,0)),"UNKNOWN TOPIC ID"))</f>
        <v/>
      </c>
      <c r="E736" s="28">
        <f>IF($C736="","",IFERROR(INDEX('Topic Plan'!$D$5:$D$115,MATCH($C736,'Topic Plan'!$B$5:$B$115,0)),""))</f>
        <v/>
      </c>
      <c r="F736" s="28">
        <f>IF($C736="","",IFERROR(INDEX('Topic Plan'!$E$5:$E$115,MATCH($C736,'Topic Plan'!$B$5:$B$115,0)),""))</f>
        <v/>
      </c>
      <c r="G736" s="23" t="n"/>
      <c r="H736" s="27" t="n"/>
      <c r="I736" s="27" t="n"/>
      <c r="J736" s="27" t="n"/>
      <c r="K736" s="27" t="n"/>
      <c r="L736" s="27" t="n"/>
      <c r="M736" s="27" t="n"/>
      <c r="N736" s="23" t="n"/>
      <c r="O736" s="29" t="n"/>
      <c r="P736" s="29" t="n"/>
      <c r="Q736" s="29" t="n"/>
      <c r="R736" s="29" t="n"/>
      <c r="S736" s="29" t="n"/>
      <c r="T736" s="29" t="n"/>
      <c r="U736" s="29" t="n"/>
      <c r="V736" s="30">
        <f>IF(OR($A736="",$U736=""),"",IF($S736&lt;&gt;"",MAX(0,$S736-$U736),MAX(0,TODAY()-$U736)))</f>
        <v/>
      </c>
      <c r="W736" s="30">
        <f>IF($A736="","",IF(OR($N736="Live",$N736="Retired"),"",TODAY()-MAX($O736,$P736,$Q736,$R736)))</f>
        <v/>
      </c>
      <c r="X736" s="23" t="n"/>
      <c r="Y736" s="30">
        <f>IF($A736="","",COUNTIFS('Issues Log'!$C$5:$C$504,$A736,'Issues Log'!$K$5:$K$504,"Open")+COUNTIFS('Issues Log'!$C$5:$C$504,$A736,'Issues Log'!$K$5:$K$504,"In progress"))</f>
        <v/>
      </c>
      <c r="Z736" s="27" t="n"/>
    </row>
    <row r="737">
      <c r="A737" s="27" t="n"/>
      <c r="B737" s="27" t="n"/>
      <c r="C737" s="27" t="n"/>
      <c r="D737" s="28">
        <f>IF($C737="","",IFERROR(INDEX('Topic Plan'!$C$5:$C$115,MATCH($C737,'Topic Plan'!$B$5:$B$115,0)),"UNKNOWN TOPIC ID"))</f>
        <v/>
      </c>
      <c r="E737" s="28">
        <f>IF($C737="","",IFERROR(INDEX('Topic Plan'!$D$5:$D$115,MATCH($C737,'Topic Plan'!$B$5:$B$115,0)),""))</f>
        <v/>
      </c>
      <c r="F737" s="28">
        <f>IF($C737="","",IFERROR(INDEX('Topic Plan'!$E$5:$E$115,MATCH($C737,'Topic Plan'!$B$5:$B$115,0)),""))</f>
        <v/>
      </c>
      <c r="G737" s="23" t="n"/>
      <c r="H737" s="27" t="n"/>
      <c r="I737" s="27" t="n"/>
      <c r="J737" s="27" t="n"/>
      <c r="K737" s="27" t="n"/>
      <c r="L737" s="27" t="n"/>
      <c r="M737" s="27" t="n"/>
      <c r="N737" s="23" t="n"/>
      <c r="O737" s="29" t="n"/>
      <c r="P737" s="29" t="n"/>
      <c r="Q737" s="29" t="n"/>
      <c r="R737" s="29" t="n"/>
      <c r="S737" s="29" t="n"/>
      <c r="T737" s="29" t="n"/>
      <c r="U737" s="29" t="n"/>
      <c r="V737" s="30">
        <f>IF(OR($A737="",$U737=""),"",IF($S737&lt;&gt;"",MAX(0,$S737-$U737),MAX(0,TODAY()-$U737)))</f>
        <v/>
      </c>
      <c r="W737" s="30">
        <f>IF($A737="","",IF(OR($N737="Live",$N737="Retired"),"",TODAY()-MAX($O737,$P737,$Q737,$R737)))</f>
        <v/>
      </c>
      <c r="X737" s="23" t="n"/>
      <c r="Y737" s="30">
        <f>IF($A737="","",COUNTIFS('Issues Log'!$C$5:$C$504,$A737,'Issues Log'!$K$5:$K$504,"Open")+COUNTIFS('Issues Log'!$C$5:$C$504,$A737,'Issues Log'!$K$5:$K$504,"In progress"))</f>
        <v/>
      </c>
      <c r="Z737" s="27" t="n"/>
    </row>
    <row r="738">
      <c r="A738" s="27" t="n"/>
      <c r="B738" s="27" t="n"/>
      <c r="C738" s="27" t="n"/>
      <c r="D738" s="28">
        <f>IF($C738="","",IFERROR(INDEX('Topic Plan'!$C$5:$C$115,MATCH($C738,'Topic Plan'!$B$5:$B$115,0)),"UNKNOWN TOPIC ID"))</f>
        <v/>
      </c>
      <c r="E738" s="28">
        <f>IF($C738="","",IFERROR(INDEX('Topic Plan'!$D$5:$D$115,MATCH($C738,'Topic Plan'!$B$5:$B$115,0)),""))</f>
        <v/>
      </c>
      <c r="F738" s="28">
        <f>IF($C738="","",IFERROR(INDEX('Topic Plan'!$E$5:$E$115,MATCH($C738,'Topic Plan'!$B$5:$B$115,0)),""))</f>
        <v/>
      </c>
      <c r="G738" s="23" t="n"/>
      <c r="H738" s="27" t="n"/>
      <c r="I738" s="27" t="n"/>
      <c r="J738" s="27" t="n"/>
      <c r="K738" s="27" t="n"/>
      <c r="L738" s="27" t="n"/>
      <c r="M738" s="27" t="n"/>
      <c r="N738" s="23" t="n"/>
      <c r="O738" s="29" t="n"/>
      <c r="P738" s="29" t="n"/>
      <c r="Q738" s="29" t="n"/>
      <c r="R738" s="29" t="n"/>
      <c r="S738" s="29" t="n"/>
      <c r="T738" s="29" t="n"/>
      <c r="U738" s="29" t="n"/>
      <c r="V738" s="30">
        <f>IF(OR($A738="",$U738=""),"",IF($S738&lt;&gt;"",MAX(0,$S738-$U738),MAX(0,TODAY()-$U738)))</f>
        <v/>
      </c>
      <c r="W738" s="30">
        <f>IF($A738="","",IF(OR($N738="Live",$N738="Retired"),"",TODAY()-MAX($O738,$P738,$Q738,$R738)))</f>
        <v/>
      </c>
      <c r="X738" s="23" t="n"/>
      <c r="Y738" s="30">
        <f>IF($A738="","",COUNTIFS('Issues Log'!$C$5:$C$504,$A738,'Issues Log'!$K$5:$K$504,"Open")+COUNTIFS('Issues Log'!$C$5:$C$504,$A738,'Issues Log'!$K$5:$K$504,"In progress"))</f>
        <v/>
      </c>
      <c r="Z738" s="27" t="n"/>
    </row>
    <row r="739">
      <c r="A739" s="27" t="n"/>
      <c r="B739" s="27" t="n"/>
      <c r="C739" s="27" t="n"/>
      <c r="D739" s="28">
        <f>IF($C739="","",IFERROR(INDEX('Topic Plan'!$C$5:$C$115,MATCH($C739,'Topic Plan'!$B$5:$B$115,0)),"UNKNOWN TOPIC ID"))</f>
        <v/>
      </c>
      <c r="E739" s="28">
        <f>IF($C739="","",IFERROR(INDEX('Topic Plan'!$D$5:$D$115,MATCH($C739,'Topic Plan'!$B$5:$B$115,0)),""))</f>
        <v/>
      </c>
      <c r="F739" s="28">
        <f>IF($C739="","",IFERROR(INDEX('Topic Plan'!$E$5:$E$115,MATCH($C739,'Topic Plan'!$B$5:$B$115,0)),""))</f>
        <v/>
      </c>
      <c r="G739" s="23" t="n"/>
      <c r="H739" s="27" t="n"/>
      <c r="I739" s="27" t="n"/>
      <c r="J739" s="27" t="n"/>
      <c r="K739" s="27" t="n"/>
      <c r="L739" s="27" t="n"/>
      <c r="M739" s="27" t="n"/>
      <c r="N739" s="23" t="n"/>
      <c r="O739" s="29" t="n"/>
      <c r="P739" s="29" t="n"/>
      <c r="Q739" s="29" t="n"/>
      <c r="R739" s="29" t="n"/>
      <c r="S739" s="29" t="n"/>
      <c r="T739" s="29" t="n"/>
      <c r="U739" s="29" t="n"/>
      <c r="V739" s="30">
        <f>IF(OR($A739="",$U739=""),"",IF($S739&lt;&gt;"",MAX(0,$S739-$U739),MAX(0,TODAY()-$U739)))</f>
        <v/>
      </c>
      <c r="W739" s="30">
        <f>IF($A739="","",IF(OR($N739="Live",$N739="Retired"),"",TODAY()-MAX($O739,$P739,$Q739,$R739)))</f>
        <v/>
      </c>
      <c r="X739" s="23" t="n"/>
      <c r="Y739" s="30">
        <f>IF($A739="","",COUNTIFS('Issues Log'!$C$5:$C$504,$A739,'Issues Log'!$K$5:$K$504,"Open")+COUNTIFS('Issues Log'!$C$5:$C$504,$A739,'Issues Log'!$K$5:$K$504,"In progress"))</f>
        <v/>
      </c>
      <c r="Z739" s="27" t="n"/>
    </row>
    <row r="740">
      <c r="A740" s="27" t="n"/>
      <c r="B740" s="27" t="n"/>
      <c r="C740" s="27" t="n"/>
      <c r="D740" s="28">
        <f>IF($C740="","",IFERROR(INDEX('Topic Plan'!$C$5:$C$115,MATCH($C740,'Topic Plan'!$B$5:$B$115,0)),"UNKNOWN TOPIC ID"))</f>
        <v/>
      </c>
      <c r="E740" s="28">
        <f>IF($C740="","",IFERROR(INDEX('Topic Plan'!$D$5:$D$115,MATCH($C740,'Topic Plan'!$B$5:$B$115,0)),""))</f>
        <v/>
      </c>
      <c r="F740" s="28">
        <f>IF($C740="","",IFERROR(INDEX('Topic Plan'!$E$5:$E$115,MATCH($C740,'Topic Plan'!$B$5:$B$115,0)),""))</f>
        <v/>
      </c>
      <c r="G740" s="23" t="n"/>
      <c r="H740" s="27" t="n"/>
      <c r="I740" s="27" t="n"/>
      <c r="J740" s="27" t="n"/>
      <c r="K740" s="27" t="n"/>
      <c r="L740" s="27" t="n"/>
      <c r="M740" s="27" t="n"/>
      <c r="N740" s="23" t="n"/>
      <c r="O740" s="29" t="n"/>
      <c r="P740" s="29" t="n"/>
      <c r="Q740" s="29" t="n"/>
      <c r="R740" s="29" t="n"/>
      <c r="S740" s="29" t="n"/>
      <c r="T740" s="29" t="n"/>
      <c r="U740" s="29" t="n"/>
      <c r="V740" s="30">
        <f>IF(OR($A740="",$U740=""),"",IF($S740&lt;&gt;"",MAX(0,$S740-$U740),MAX(0,TODAY()-$U740)))</f>
        <v/>
      </c>
      <c r="W740" s="30">
        <f>IF($A740="","",IF(OR($N740="Live",$N740="Retired"),"",TODAY()-MAX($O740,$P740,$Q740,$R740)))</f>
        <v/>
      </c>
      <c r="X740" s="23" t="n"/>
      <c r="Y740" s="30">
        <f>IF($A740="","",COUNTIFS('Issues Log'!$C$5:$C$504,$A740,'Issues Log'!$K$5:$K$504,"Open")+COUNTIFS('Issues Log'!$C$5:$C$504,$A740,'Issues Log'!$K$5:$K$504,"In progress"))</f>
        <v/>
      </c>
      <c r="Z740" s="27" t="n"/>
    </row>
    <row r="741">
      <c r="A741" s="27" t="n"/>
      <c r="B741" s="27" t="n"/>
      <c r="C741" s="27" t="n"/>
      <c r="D741" s="28">
        <f>IF($C741="","",IFERROR(INDEX('Topic Plan'!$C$5:$C$115,MATCH($C741,'Topic Plan'!$B$5:$B$115,0)),"UNKNOWN TOPIC ID"))</f>
        <v/>
      </c>
      <c r="E741" s="28">
        <f>IF($C741="","",IFERROR(INDEX('Topic Plan'!$D$5:$D$115,MATCH($C741,'Topic Plan'!$B$5:$B$115,0)),""))</f>
        <v/>
      </c>
      <c r="F741" s="28">
        <f>IF($C741="","",IFERROR(INDEX('Topic Plan'!$E$5:$E$115,MATCH($C741,'Topic Plan'!$B$5:$B$115,0)),""))</f>
        <v/>
      </c>
      <c r="G741" s="23" t="n"/>
      <c r="H741" s="27" t="n"/>
      <c r="I741" s="27" t="n"/>
      <c r="J741" s="27" t="n"/>
      <c r="K741" s="27" t="n"/>
      <c r="L741" s="27" t="n"/>
      <c r="M741" s="27" t="n"/>
      <c r="N741" s="23" t="n"/>
      <c r="O741" s="29" t="n"/>
      <c r="P741" s="29" t="n"/>
      <c r="Q741" s="29" t="n"/>
      <c r="R741" s="29" t="n"/>
      <c r="S741" s="29" t="n"/>
      <c r="T741" s="29" t="n"/>
      <c r="U741" s="29" t="n"/>
      <c r="V741" s="30">
        <f>IF(OR($A741="",$U741=""),"",IF($S741&lt;&gt;"",MAX(0,$S741-$U741),MAX(0,TODAY()-$U741)))</f>
        <v/>
      </c>
      <c r="W741" s="30">
        <f>IF($A741="","",IF(OR($N741="Live",$N741="Retired"),"",TODAY()-MAX($O741,$P741,$Q741,$R741)))</f>
        <v/>
      </c>
      <c r="X741" s="23" t="n"/>
      <c r="Y741" s="30">
        <f>IF($A741="","",COUNTIFS('Issues Log'!$C$5:$C$504,$A741,'Issues Log'!$K$5:$K$504,"Open")+COUNTIFS('Issues Log'!$C$5:$C$504,$A741,'Issues Log'!$K$5:$K$504,"In progress"))</f>
        <v/>
      </c>
      <c r="Z741" s="27" t="n"/>
    </row>
    <row r="742">
      <c r="A742" s="27" t="n"/>
      <c r="B742" s="27" t="n"/>
      <c r="C742" s="27" t="n"/>
      <c r="D742" s="28">
        <f>IF($C742="","",IFERROR(INDEX('Topic Plan'!$C$5:$C$115,MATCH($C742,'Topic Plan'!$B$5:$B$115,0)),"UNKNOWN TOPIC ID"))</f>
        <v/>
      </c>
      <c r="E742" s="28">
        <f>IF($C742="","",IFERROR(INDEX('Topic Plan'!$D$5:$D$115,MATCH($C742,'Topic Plan'!$B$5:$B$115,0)),""))</f>
        <v/>
      </c>
      <c r="F742" s="28">
        <f>IF($C742="","",IFERROR(INDEX('Topic Plan'!$E$5:$E$115,MATCH($C742,'Topic Plan'!$B$5:$B$115,0)),""))</f>
        <v/>
      </c>
      <c r="G742" s="23" t="n"/>
      <c r="H742" s="27" t="n"/>
      <c r="I742" s="27" t="n"/>
      <c r="J742" s="27" t="n"/>
      <c r="K742" s="27" t="n"/>
      <c r="L742" s="27" t="n"/>
      <c r="M742" s="27" t="n"/>
      <c r="N742" s="23" t="n"/>
      <c r="O742" s="29" t="n"/>
      <c r="P742" s="29" t="n"/>
      <c r="Q742" s="29" t="n"/>
      <c r="R742" s="29" t="n"/>
      <c r="S742" s="29" t="n"/>
      <c r="T742" s="29" t="n"/>
      <c r="U742" s="29" t="n"/>
      <c r="V742" s="30">
        <f>IF(OR($A742="",$U742=""),"",IF($S742&lt;&gt;"",MAX(0,$S742-$U742),MAX(0,TODAY()-$U742)))</f>
        <v/>
      </c>
      <c r="W742" s="30">
        <f>IF($A742="","",IF(OR($N742="Live",$N742="Retired"),"",TODAY()-MAX($O742,$P742,$Q742,$R742)))</f>
        <v/>
      </c>
      <c r="X742" s="23" t="n"/>
      <c r="Y742" s="30">
        <f>IF($A742="","",COUNTIFS('Issues Log'!$C$5:$C$504,$A742,'Issues Log'!$K$5:$K$504,"Open")+COUNTIFS('Issues Log'!$C$5:$C$504,$A742,'Issues Log'!$K$5:$K$504,"In progress"))</f>
        <v/>
      </c>
      <c r="Z742" s="27" t="n"/>
    </row>
    <row r="743">
      <c r="A743" s="27" t="n"/>
      <c r="B743" s="27" t="n"/>
      <c r="C743" s="27" t="n"/>
      <c r="D743" s="28">
        <f>IF($C743="","",IFERROR(INDEX('Topic Plan'!$C$5:$C$115,MATCH($C743,'Topic Plan'!$B$5:$B$115,0)),"UNKNOWN TOPIC ID"))</f>
        <v/>
      </c>
      <c r="E743" s="28">
        <f>IF($C743="","",IFERROR(INDEX('Topic Plan'!$D$5:$D$115,MATCH($C743,'Topic Plan'!$B$5:$B$115,0)),""))</f>
        <v/>
      </c>
      <c r="F743" s="28">
        <f>IF($C743="","",IFERROR(INDEX('Topic Plan'!$E$5:$E$115,MATCH($C743,'Topic Plan'!$B$5:$B$115,0)),""))</f>
        <v/>
      </c>
      <c r="G743" s="23" t="n"/>
      <c r="H743" s="27" t="n"/>
      <c r="I743" s="27" t="n"/>
      <c r="J743" s="27" t="n"/>
      <c r="K743" s="27" t="n"/>
      <c r="L743" s="27" t="n"/>
      <c r="M743" s="27" t="n"/>
      <c r="N743" s="23" t="n"/>
      <c r="O743" s="29" t="n"/>
      <c r="P743" s="29" t="n"/>
      <c r="Q743" s="29" t="n"/>
      <c r="R743" s="29" t="n"/>
      <c r="S743" s="29" t="n"/>
      <c r="T743" s="29" t="n"/>
      <c r="U743" s="29" t="n"/>
      <c r="V743" s="30">
        <f>IF(OR($A743="",$U743=""),"",IF($S743&lt;&gt;"",MAX(0,$S743-$U743),MAX(0,TODAY()-$U743)))</f>
        <v/>
      </c>
      <c r="W743" s="30">
        <f>IF($A743="","",IF(OR($N743="Live",$N743="Retired"),"",TODAY()-MAX($O743,$P743,$Q743,$R743)))</f>
        <v/>
      </c>
      <c r="X743" s="23" t="n"/>
      <c r="Y743" s="30">
        <f>IF($A743="","",COUNTIFS('Issues Log'!$C$5:$C$504,$A743,'Issues Log'!$K$5:$K$504,"Open")+COUNTIFS('Issues Log'!$C$5:$C$504,$A743,'Issues Log'!$K$5:$K$504,"In progress"))</f>
        <v/>
      </c>
      <c r="Z743" s="27" t="n"/>
    </row>
    <row r="744">
      <c r="A744" s="27" t="n"/>
      <c r="B744" s="27" t="n"/>
      <c r="C744" s="27" t="n"/>
      <c r="D744" s="28">
        <f>IF($C744="","",IFERROR(INDEX('Topic Plan'!$C$5:$C$115,MATCH($C744,'Topic Plan'!$B$5:$B$115,0)),"UNKNOWN TOPIC ID"))</f>
        <v/>
      </c>
      <c r="E744" s="28">
        <f>IF($C744="","",IFERROR(INDEX('Topic Plan'!$D$5:$D$115,MATCH($C744,'Topic Plan'!$B$5:$B$115,0)),""))</f>
        <v/>
      </c>
      <c r="F744" s="28">
        <f>IF($C744="","",IFERROR(INDEX('Topic Plan'!$E$5:$E$115,MATCH($C744,'Topic Plan'!$B$5:$B$115,0)),""))</f>
        <v/>
      </c>
      <c r="G744" s="23" t="n"/>
      <c r="H744" s="27" t="n"/>
      <c r="I744" s="27" t="n"/>
      <c r="J744" s="27" t="n"/>
      <c r="K744" s="27" t="n"/>
      <c r="L744" s="27" t="n"/>
      <c r="M744" s="27" t="n"/>
      <c r="N744" s="23" t="n"/>
      <c r="O744" s="29" t="n"/>
      <c r="P744" s="29" t="n"/>
      <c r="Q744" s="29" t="n"/>
      <c r="R744" s="29" t="n"/>
      <c r="S744" s="29" t="n"/>
      <c r="T744" s="29" t="n"/>
      <c r="U744" s="29" t="n"/>
      <c r="V744" s="30">
        <f>IF(OR($A744="",$U744=""),"",IF($S744&lt;&gt;"",MAX(0,$S744-$U744),MAX(0,TODAY()-$U744)))</f>
        <v/>
      </c>
      <c r="W744" s="30">
        <f>IF($A744="","",IF(OR($N744="Live",$N744="Retired"),"",TODAY()-MAX($O744,$P744,$Q744,$R744)))</f>
        <v/>
      </c>
      <c r="X744" s="23" t="n"/>
      <c r="Y744" s="30">
        <f>IF($A744="","",COUNTIFS('Issues Log'!$C$5:$C$504,$A744,'Issues Log'!$K$5:$K$504,"Open")+COUNTIFS('Issues Log'!$C$5:$C$504,$A744,'Issues Log'!$K$5:$K$504,"In progress"))</f>
        <v/>
      </c>
      <c r="Z744" s="27" t="n"/>
    </row>
    <row r="745">
      <c r="A745" s="27" t="n"/>
      <c r="B745" s="27" t="n"/>
      <c r="C745" s="27" t="n"/>
      <c r="D745" s="28">
        <f>IF($C745="","",IFERROR(INDEX('Topic Plan'!$C$5:$C$115,MATCH($C745,'Topic Plan'!$B$5:$B$115,0)),"UNKNOWN TOPIC ID"))</f>
        <v/>
      </c>
      <c r="E745" s="28">
        <f>IF($C745="","",IFERROR(INDEX('Topic Plan'!$D$5:$D$115,MATCH($C745,'Topic Plan'!$B$5:$B$115,0)),""))</f>
        <v/>
      </c>
      <c r="F745" s="28">
        <f>IF($C745="","",IFERROR(INDEX('Topic Plan'!$E$5:$E$115,MATCH($C745,'Topic Plan'!$B$5:$B$115,0)),""))</f>
        <v/>
      </c>
      <c r="G745" s="23" t="n"/>
      <c r="H745" s="27" t="n"/>
      <c r="I745" s="27" t="n"/>
      <c r="J745" s="27" t="n"/>
      <c r="K745" s="27" t="n"/>
      <c r="L745" s="27" t="n"/>
      <c r="M745" s="27" t="n"/>
      <c r="N745" s="23" t="n"/>
      <c r="O745" s="29" t="n"/>
      <c r="P745" s="29" t="n"/>
      <c r="Q745" s="29" t="n"/>
      <c r="R745" s="29" t="n"/>
      <c r="S745" s="29" t="n"/>
      <c r="T745" s="29" t="n"/>
      <c r="U745" s="29" t="n"/>
      <c r="V745" s="30">
        <f>IF(OR($A745="",$U745=""),"",IF($S745&lt;&gt;"",MAX(0,$S745-$U745),MAX(0,TODAY()-$U745)))</f>
        <v/>
      </c>
      <c r="W745" s="30">
        <f>IF($A745="","",IF(OR($N745="Live",$N745="Retired"),"",TODAY()-MAX($O745,$P745,$Q745,$R745)))</f>
        <v/>
      </c>
      <c r="X745" s="23" t="n"/>
      <c r="Y745" s="30">
        <f>IF($A745="","",COUNTIFS('Issues Log'!$C$5:$C$504,$A745,'Issues Log'!$K$5:$K$504,"Open")+COUNTIFS('Issues Log'!$C$5:$C$504,$A745,'Issues Log'!$K$5:$K$504,"In progress"))</f>
        <v/>
      </c>
      <c r="Z745" s="27" t="n"/>
    </row>
    <row r="746">
      <c r="A746" s="27" t="n"/>
      <c r="B746" s="27" t="n"/>
      <c r="C746" s="27" t="n"/>
      <c r="D746" s="28">
        <f>IF($C746="","",IFERROR(INDEX('Topic Plan'!$C$5:$C$115,MATCH($C746,'Topic Plan'!$B$5:$B$115,0)),"UNKNOWN TOPIC ID"))</f>
        <v/>
      </c>
      <c r="E746" s="28">
        <f>IF($C746="","",IFERROR(INDEX('Topic Plan'!$D$5:$D$115,MATCH($C746,'Topic Plan'!$B$5:$B$115,0)),""))</f>
        <v/>
      </c>
      <c r="F746" s="28">
        <f>IF($C746="","",IFERROR(INDEX('Topic Plan'!$E$5:$E$115,MATCH($C746,'Topic Plan'!$B$5:$B$115,0)),""))</f>
        <v/>
      </c>
      <c r="G746" s="23" t="n"/>
      <c r="H746" s="27" t="n"/>
      <c r="I746" s="27" t="n"/>
      <c r="J746" s="27" t="n"/>
      <c r="K746" s="27" t="n"/>
      <c r="L746" s="27" t="n"/>
      <c r="M746" s="27" t="n"/>
      <c r="N746" s="23" t="n"/>
      <c r="O746" s="29" t="n"/>
      <c r="P746" s="29" t="n"/>
      <c r="Q746" s="29" t="n"/>
      <c r="R746" s="29" t="n"/>
      <c r="S746" s="29" t="n"/>
      <c r="T746" s="29" t="n"/>
      <c r="U746" s="29" t="n"/>
      <c r="V746" s="30">
        <f>IF(OR($A746="",$U746=""),"",IF($S746&lt;&gt;"",MAX(0,$S746-$U746),MAX(0,TODAY()-$U746)))</f>
        <v/>
      </c>
      <c r="W746" s="30">
        <f>IF($A746="","",IF(OR($N746="Live",$N746="Retired"),"",TODAY()-MAX($O746,$P746,$Q746,$R746)))</f>
        <v/>
      </c>
      <c r="X746" s="23" t="n"/>
      <c r="Y746" s="30">
        <f>IF($A746="","",COUNTIFS('Issues Log'!$C$5:$C$504,$A746,'Issues Log'!$K$5:$K$504,"Open")+COUNTIFS('Issues Log'!$C$5:$C$504,$A746,'Issues Log'!$K$5:$K$504,"In progress"))</f>
        <v/>
      </c>
      <c r="Z746" s="27" t="n"/>
    </row>
    <row r="747">
      <c r="A747" s="27" t="n"/>
      <c r="B747" s="27" t="n"/>
      <c r="C747" s="27" t="n"/>
      <c r="D747" s="28">
        <f>IF($C747="","",IFERROR(INDEX('Topic Plan'!$C$5:$C$115,MATCH($C747,'Topic Plan'!$B$5:$B$115,0)),"UNKNOWN TOPIC ID"))</f>
        <v/>
      </c>
      <c r="E747" s="28">
        <f>IF($C747="","",IFERROR(INDEX('Topic Plan'!$D$5:$D$115,MATCH($C747,'Topic Plan'!$B$5:$B$115,0)),""))</f>
        <v/>
      </c>
      <c r="F747" s="28">
        <f>IF($C747="","",IFERROR(INDEX('Topic Plan'!$E$5:$E$115,MATCH($C747,'Topic Plan'!$B$5:$B$115,0)),""))</f>
        <v/>
      </c>
      <c r="G747" s="23" t="n"/>
      <c r="H747" s="27" t="n"/>
      <c r="I747" s="27" t="n"/>
      <c r="J747" s="27" t="n"/>
      <c r="K747" s="27" t="n"/>
      <c r="L747" s="27" t="n"/>
      <c r="M747" s="27" t="n"/>
      <c r="N747" s="23" t="n"/>
      <c r="O747" s="29" t="n"/>
      <c r="P747" s="29" t="n"/>
      <c r="Q747" s="29" t="n"/>
      <c r="R747" s="29" t="n"/>
      <c r="S747" s="29" t="n"/>
      <c r="T747" s="29" t="n"/>
      <c r="U747" s="29" t="n"/>
      <c r="V747" s="30">
        <f>IF(OR($A747="",$U747=""),"",IF($S747&lt;&gt;"",MAX(0,$S747-$U747),MAX(0,TODAY()-$U747)))</f>
        <v/>
      </c>
      <c r="W747" s="30">
        <f>IF($A747="","",IF(OR($N747="Live",$N747="Retired"),"",TODAY()-MAX($O747,$P747,$Q747,$R747)))</f>
        <v/>
      </c>
      <c r="X747" s="23" t="n"/>
      <c r="Y747" s="30">
        <f>IF($A747="","",COUNTIFS('Issues Log'!$C$5:$C$504,$A747,'Issues Log'!$K$5:$K$504,"Open")+COUNTIFS('Issues Log'!$C$5:$C$504,$A747,'Issues Log'!$K$5:$K$504,"In progress"))</f>
        <v/>
      </c>
      <c r="Z747" s="27" t="n"/>
    </row>
    <row r="748">
      <c r="A748" s="27" t="n"/>
      <c r="B748" s="27" t="n"/>
      <c r="C748" s="27" t="n"/>
      <c r="D748" s="28">
        <f>IF($C748="","",IFERROR(INDEX('Topic Plan'!$C$5:$C$115,MATCH($C748,'Topic Plan'!$B$5:$B$115,0)),"UNKNOWN TOPIC ID"))</f>
        <v/>
      </c>
      <c r="E748" s="28">
        <f>IF($C748="","",IFERROR(INDEX('Topic Plan'!$D$5:$D$115,MATCH($C748,'Topic Plan'!$B$5:$B$115,0)),""))</f>
        <v/>
      </c>
      <c r="F748" s="28">
        <f>IF($C748="","",IFERROR(INDEX('Topic Plan'!$E$5:$E$115,MATCH($C748,'Topic Plan'!$B$5:$B$115,0)),""))</f>
        <v/>
      </c>
      <c r="G748" s="23" t="n"/>
      <c r="H748" s="27" t="n"/>
      <c r="I748" s="27" t="n"/>
      <c r="J748" s="27" t="n"/>
      <c r="K748" s="27" t="n"/>
      <c r="L748" s="27" t="n"/>
      <c r="M748" s="27" t="n"/>
      <c r="N748" s="23" t="n"/>
      <c r="O748" s="29" t="n"/>
      <c r="P748" s="29" t="n"/>
      <c r="Q748" s="29" t="n"/>
      <c r="R748" s="29" t="n"/>
      <c r="S748" s="29" t="n"/>
      <c r="T748" s="29" t="n"/>
      <c r="U748" s="29" t="n"/>
      <c r="V748" s="30">
        <f>IF(OR($A748="",$U748=""),"",IF($S748&lt;&gt;"",MAX(0,$S748-$U748),MAX(0,TODAY()-$U748)))</f>
        <v/>
      </c>
      <c r="W748" s="30">
        <f>IF($A748="","",IF(OR($N748="Live",$N748="Retired"),"",TODAY()-MAX($O748,$P748,$Q748,$R748)))</f>
        <v/>
      </c>
      <c r="X748" s="23" t="n"/>
      <c r="Y748" s="30">
        <f>IF($A748="","",COUNTIFS('Issues Log'!$C$5:$C$504,$A748,'Issues Log'!$K$5:$K$504,"Open")+COUNTIFS('Issues Log'!$C$5:$C$504,$A748,'Issues Log'!$K$5:$K$504,"In progress"))</f>
        <v/>
      </c>
      <c r="Z748" s="27" t="n"/>
    </row>
    <row r="749">
      <c r="A749" s="27" t="n"/>
      <c r="B749" s="27" t="n"/>
      <c r="C749" s="27" t="n"/>
      <c r="D749" s="28">
        <f>IF($C749="","",IFERROR(INDEX('Topic Plan'!$C$5:$C$115,MATCH($C749,'Topic Plan'!$B$5:$B$115,0)),"UNKNOWN TOPIC ID"))</f>
        <v/>
      </c>
      <c r="E749" s="28">
        <f>IF($C749="","",IFERROR(INDEX('Topic Plan'!$D$5:$D$115,MATCH($C749,'Topic Plan'!$B$5:$B$115,0)),""))</f>
        <v/>
      </c>
      <c r="F749" s="28">
        <f>IF($C749="","",IFERROR(INDEX('Topic Plan'!$E$5:$E$115,MATCH($C749,'Topic Plan'!$B$5:$B$115,0)),""))</f>
        <v/>
      </c>
      <c r="G749" s="23" t="n"/>
      <c r="H749" s="27" t="n"/>
      <c r="I749" s="27" t="n"/>
      <c r="J749" s="27" t="n"/>
      <c r="K749" s="27" t="n"/>
      <c r="L749" s="27" t="n"/>
      <c r="M749" s="27" t="n"/>
      <c r="N749" s="23" t="n"/>
      <c r="O749" s="29" t="n"/>
      <c r="P749" s="29" t="n"/>
      <c r="Q749" s="29" t="n"/>
      <c r="R749" s="29" t="n"/>
      <c r="S749" s="29" t="n"/>
      <c r="T749" s="29" t="n"/>
      <c r="U749" s="29" t="n"/>
      <c r="V749" s="30">
        <f>IF(OR($A749="",$U749=""),"",IF($S749&lt;&gt;"",MAX(0,$S749-$U749),MAX(0,TODAY()-$U749)))</f>
        <v/>
      </c>
      <c r="W749" s="30">
        <f>IF($A749="","",IF(OR($N749="Live",$N749="Retired"),"",TODAY()-MAX($O749,$P749,$Q749,$R749)))</f>
        <v/>
      </c>
      <c r="X749" s="23" t="n"/>
      <c r="Y749" s="30">
        <f>IF($A749="","",COUNTIFS('Issues Log'!$C$5:$C$504,$A749,'Issues Log'!$K$5:$K$504,"Open")+COUNTIFS('Issues Log'!$C$5:$C$504,$A749,'Issues Log'!$K$5:$K$504,"In progress"))</f>
        <v/>
      </c>
      <c r="Z749" s="27" t="n"/>
    </row>
    <row r="750">
      <c r="A750" s="27" t="n"/>
      <c r="B750" s="27" t="n"/>
      <c r="C750" s="27" t="n"/>
      <c r="D750" s="28">
        <f>IF($C750="","",IFERROR(INDEX('Topic Plan'!$C$5:$C$115,MATCH($C750,'Topic Plan'!$B$5:$B$115,0)),"UNKNOWN TOPIC ID"))</f>
        <v/>
      </c>
      <c r="E750" s="28">
        <f>IF($C750="","",IFERROR(INDEX('Topic Plan'!$D$5:$D$115,MATCH($C750,'Topic Plan'!$B$5:$B$115,0)),""))</f>
        <v/>
      </c>
      <c r="F750" s="28">
        <f>IF($C750="","",IFERROR(INDEX('Topic Plan'!$E$5:$E$115,MATCH($C750,'Topic Plan'!$B$5:$B$115,0)),""))</f>
        <v/>
      </c>
      <c r="G750" s="23" t="n"/>
      <c r="H750" s="27" t="n"/>
      <c r="I750" s="27" t="n"/>
      <c r="J750" s="27" t="n"/>
      <c r="K750" s="27" t="n"/>
      <c r="L750" s="27" t="n"/>
      <c r="M750" s="27" t="n"/>
      <c r="N750" s="23" t="n"/>
      <c r="O750" s="29" t="n"/>
      <c r="P750" s="29" t="n"/>
      <c r="Q750" s="29" t="n"/>
      <c r="R750" s="29" t="n"/>
      <c r="S750" s="29" t="n"/>
      <c r="T750" s="29" t="n"/>
      <c r="U750" s="29" t="n"/>
      <c r="V750" s="30">
        <f>IF(OR($A750="",$U750=""),"",IF($S750&lt;&gt;"",MAX(0,$S750-$U750),MAX(0,TODAY()-$U750)))</f>
        <v/>
      </c>
      <c r="W750" s="30">
        <f>IF($A750="","",IF(OR($N750="Live",$N750="Retired"),"",TODAY()-MAX($O750,$P750,$Q750,$R750)))</f>
        <v/>
      </c>
      <c r="X750" s="23" t="n"/>
      <c r="Y750" s="30">
        <f>IF($A750="","",COUNTIFS('Issues Log'!$C$5:$C$504,$A750,'Issues Log'!$K$5:$K$504,"Open")+COUNTIFS('Issues Log'!$C$5:$C$504,$A750,'Issues Log'!$K$5:$K$504,"In progress"))</f>
        <v/>
      </c>
      <c r="Z750" s="27" t="n"/>
    </row>
    <row r="751">
      <c r="A751" s="27" t="n"/>
      <c r="B751" s="27" t="n"/>
      <c r="C751" s="27" t="n"/>
      <c r="D751" s="28">
        <f>IF($C751="","",IFERROR(INDEX('Topic Plan'!$C$5:$C$115,MATCH($C751,'Topic Plan'!$B$5:$B$115,0)),"UNKNOWN TOPIC ID"))</f>
        <v/>
      </c>
      <c r="E751" s="28">
        <f>IF($C751="","",IFERROR(INDEX('Topic Plan'!$D$5:$D$115,MATCH($C751,'Topic Plan'!$B$5:$B$115,0)),""))</f>
        <v/>
      </c>
      <c r="F751" s="28">
        <f>IF($C751="","",IFERROR(INDEX('Topic Plan'!$E$5:$E$115,MATCH($C751,'Topic Plan'!$B$5:$B$115,0)),""))</f>
        <v/>
      </c>
      <c r="G751" s="23" t="n"/>
      <c r="H751" s="27" t="n"/>
      <c r="I751" s="27" t="n"/>
      <c r="J751" s="27" t="n"/>
      <c r="K751" s="27" t="n"/>
      <c r="L751" s="27" t="n"/>
      <c r="M751" s="27" t="n"/>
      <c r="N751" s="23" t="n"/>
      <c r="O751" s="29" t="n"/>
      <c r="P751" s="29" t="n"/>
      <c r="Q751" s="29" t="n"/>
      <c r="R751" s="29" t="n"/>
      <c r="S751" s="29" t="n"/>
      <c r="T751" s="29" t="n"/>
      <c r="U751" s="29" t="n"/>
      <c r="V751" s="30">
        <f>IF(OR($A751="",$U751=""),"",IF($S751&lt;&gt;"",MAX(0,$S751-$U751),MAX(0,TODAY()-$U751)))</f>
        <v/>
      </c>
      <c r="W751" s="30">
        <f>IF($A751="","",IF(OR($N751="Live",$N751="Retired"),"",TODAY()-MAX($O751,$P751,$Q751,$R751)))</f>
        <v/>
      </c>
      <c r="X751" s="23" t="n"/>
      <c r="Y751" s="30">
        <f>IF($A751="","",COUNTIFS('Issues Log'!$C$5:$C$504,$A751,'Issues Log'!$K$5:$K$504,"Open")+COUNTIFS('Issues Log'!$C$5:$C$504,$A751,'Issues Log'!$K$5:$K$504,"In progress"))</f>
        <v/>
      </c>
      <c r="Z751" s="27" t="n"/>
    </row>
    <row r="752">
      <c r="A752" s="27" t="n"/>
      <c r="B752" s="27" t="n"/>
      <c r="C752" s="27" t="n"/>
      <c r="D752" s="28">
        <f>IF($C752="","",IFERROR(INDEX('Topic Plan'!$C$5:$C$115,MATCH($C752,'Topic Plan'!$B$5:$B$115,0)),"UNKNOWN TOPIC ID"))</f>
        <v/>
      </c>
      <c r="E752" s="28">
        <f>IF($C752="","",IFERROR(INDEX('Topic Plan'!$D$5:$D$115,MATCH($C752,'Topic Plan'!$B$5:$B$115,0)),""))</f>
        <v/>
      </c>
      <c r="F752" s="28">
        <f>IF($C752="","",IFERROR(INDEX('Topic Plan'!$E$5:$E$115,MATCH($C752,'Topic Plan'!$B$5:$B$115,0)),""))</f>
        <v/>
      </c>
      <c r="G752" s="23" t="n"/>
      <c r="H752" s="27" t="n"/>
      <c r="I752" s="27" t="n"/>
      <c r="J752" s="27" t="n"/>
      <c r="K752" s="27" t="n"/>
      <c r="L752" s="27" t="n"/>
      <c r="M752" s="27" t="n"/>
      <c r="N752" s="23" t="n"/>
      <c r="O752" s="29" t="n"/>
      <c r="P752" s="29" t="n"/>
      <c r="Q752" s="29" t="n"/>
      <c r="R752" s="29" t="n"/>
      <c r="S752" s="29" t="n"/>
      <c r="T752" s="29" t="n"/>
      <c r="U752" s="29" t="n"/>
      <c r="V752" s="30">
        <f>IF(OR($A752="",$U752=""),"",IF($S752&lt;&gt;"",MAX(0,$S752-$U752),MAX(0,TODAY()-$U752)))</f>
        <v/>
      </c>
      <c r="W752" s="30">
        <f>IF($A752="","",IF(OR($N752="Live",$N752="Retired"),"",TODAY()-MAX($O752,$P752,$Q752,$R752)))</f>
        <v/>
      </c>
      <c r="X752" s="23" t="n"/>
      <c r="Y752" s="30">
        <f>IF($A752="","",COUNTIFS('Issues Log'!$C$5:$C$504,$A752,'Issues Log'!$K$5:$K$504,"Open")+COUNTIFS('Issues Log'!$C$5:$C$504,$A752,'Issues Log'!$K$5:$K$504,"In progress"))</f>
        <v/>
      </c>
      <c r="Z752" s="27" t="n"/>
    </row>
    <row r="753">
      <c r="A753" s="27" t="n"/>
      <c r="B753" s="27" t="n"/>
      <c r="C753" s="27" t="n"/>
      <c r="D753" s="28">
        <f>IF($C753="","",IFERROR(INDEX('Topic Plan'!$C$5:$C$115,MATCH($C753,'Topic Plan'!$B$5:$B$115,0)),"UNKNOWN TOPIC ID"))</f>
        <v/>
      </c>
      <c r="E753" s="28">
        <f>IF($C753="","",IFERROR(INDEX('Topic Plan'!$D$5:$D$115,MATCH($C753,'Topic Plan'!$B$5:$B$115,0)),""))</f>
        <v/>
      </c>
      <c r="F753" s="28">
        <f>IF($C753="","",IFERROR(INDEX('Topic Plan'!$E$5:$E$115,MATCH($C753,'Topic Plan'!$B$5:$B$115,0)),""))</f>
        <v/>
      </c>
      <c r="G753" s="23" t="n"/>
      <c r="H753" s="27" t="n"/>
      <c r="I753" s="27" t="n"/>
      <c r="J753" s="27" t="n"/>
      <c r="K753" s="27" t="n"/>
      <c r="L753" s="27" t="n"/>
      <c r="M753" s="27" t="n"/>
      <c r="N753" s="23" t="n"/>
      <c r="O753" s="29" t="n"/>
      <c r="P753" s="29" t="n"/>
      <c r="Q753" s="29" t="n"/>
      <c r="R753" s="29" t="n"/>
      <c r="S753" s="29" t="n"/>
      <c r="T753" s="29" t="n"/>
      <c r="U753" s="29" t="n"/>
      <c r="V753" s="30">
        <f>IF(OR($A753="",$U753=""),"",IF($S753&lt;&gt;"",MAX(0,$S753-$U753),MAX(0,TODAY()-$U753)))</f>
        <v/>
      </c>
      <c r="W753" s="30">
        <f>IF($A753="","",IF(OR($N753="Live",$N753="Retired"),"",TODAY()-MAX($O753,$P753,$Q753,$R753)))</f>
        <v/>
      </c>
      <c r="X753" s="23" t="n"/>
      <c r="Y753" s="30">
        <f>IF($A753="","",COUNTIFS('Issues Log'!$C$5:$C$504,$A753,'Issues Log'!$K$5:$K$504,"Open")+COUNTIFS('Issues Log'!$C$5:$C$504,$A753,'Issues Log'!$K$5:$K$504,"In progress"))</f>
        <v/>
      </c>
      <c r="Z753" s="27" t="n"/>
    </row>
    <row r="754">
      <c r="A754" s="27" t="n"/>
      <c r="B754" s="27" t="n"/>
      <c r="C754" s="27" t="n"/>
      <c r="D754" s="28">
        <f>IF($C754="","",IFERROR(INDEX('Topic Plan'!$C$5:$C$115,MATCH($C754,'Topic Plan'!$B$5:$B$115,0)),"UNKNOWN TOPIC ID"))</f>
        <v/>
      </c>
      <c r="E754" s="28">
        <f>IF($C754="","",IFERROR(INDEX('Topic Plan'!$D$5:$D$115,MATCH($C754,'Topic Plan'!$B$5:$B$115,0)),""))</f>
        <v/>
      </c>
      <c r="F754" s="28">
        <f>IF($C754="","",IFERROR(INDEX('Topic Plan'!$E$5:$E$115,MATCH($C754,'Topic Plan'!$B$5:$B$115,0)),""))</f>
        <v/>
      </c>
      <c r="G754" s="23" t="n"/>
      <c r="H754" s="27" t="n"/>
      <c r="I754" s="27" t="n"/>
      <c r="J754" s="27" t="n"/>
      <c r="K754" s="27" t="n"/>
      <c r="L754" s="27" t="n"/>
      <c r="M754" s="27" t="n"/>
      <c r="N754" s="23" t="n"/>
      <c r="O754" s="29" t="n"/>
      <c r="P754" s="29" t="n"/>
      <c r="Q754" s="29" t="n"/>
      <c r="R754" s="29" t="n"/>
      <c r="S754" s="29" t="n"/>
      <c r="T754" s="29" t="n"/>
      <c r="U754" s="29" t="n"/>
      <c r="V754" s="30">
        <f>IF(OR($A754="",$U754=""),"",IF($S754&lt;&gt;"",MAX(0,$S754-$U754),MAX(0,TODAY()-$U754)))</f>
        <v/>
      </c>
      <c r="W754" s="30">
        <f>IF($A754="","",IF(OR($N754="Live",$N754="Retired"),"",TODAY()-MAX($O754,$P754,$Q754,$R754)))</f>
        <v/>
      </c>
      <c r="X754" s="23" t="n"/>
      <c r="Y754" s="30">
        <f>IF($A754="","",COUNTIFS('Issues Log'!$C$5:$C$504,$A754,'Issues Log'!$K$5:$K$504,"Open")+COUNTIFS('Issues Log'!$C$5:$C$504,$A754,'Issues Log'!$K$5:$K$504,"In progress"))</f>
        <v/>
      </c>
      <c r="Z754" s="27" t="n"/>
    </row>
    <row r="755">
      <c r="A755" s="27" t="n"/>
      <c r="B755" s="27" t="n"/>
      <c r="C755" s="27" t="n"/>
      <c r="D755" s="28">
        <f>IF($C755="","",IFERROR(INDEX('Topic Plan'!$C$5:$C$115,MATCH($C755,'Topic Plan'!$B$5:$B$115,0)),"UNKNOWN TOPIC ID"))</f>
        <v/>
      </c>
      <c r="E755" s="28">
        <f>IF($C755="","",IFERROR(INDEX('Topic Plan'!$D$5:$D$115,MATCH($C755,'Topic Plan'!$B$5:$B$115,0)),""))</f>
        <v/>
      </c>
      <c r="F755" s="28">
        <f>IF($C755="","",IFERROR(INDEX('Topic Plan'!$E$5:$E$115,MATCH($C755,'Topic Plan'!$B$5:$B$115,0)),""))</f>
        <v/>
      </c>
      <c r="G755" s="23" t="n"/>
      <c r="H755" s="27" t="n"/>
      <c r="I755" s="27" t="n"/>
      <c r="J755" s="27" t="n"/>
      <c r="K755" s="27" t="n"/>
      <c r="L755" s="27" t="n"/>
      <c r="M755" s="27" t="n"/>
      <c r="N755" s="23" t="n"/>
      <c r="O755" s="29" t="n"/>
      <c r="P755" s="29" t="n"/>
      <c r="Q755" s="29" t="n"/>
      <c r="R755" s="29" t="n"/>
      <c r="S755" s="29" t="n"/>
      <c r="T755" s="29" t="n"/>
      <c r="U755" s="29" t="n"/>
      <c r="V755" s="30">
        <f>IF(OR($A755="",$U755=""),"",IF($S755&lt;&gt;"",MAX(0,$S755-$U755),MAX(0,TODAY()-$U755)))</f>
        <v/>
      </c>
      <c r="W755" s="30">
        <f>IF($A755="","",IF(OR($N755="Live",$N755="Retired"),"",TODAY()-MAX($O755,$P755,$Q755,$R755)))</f>
        <v/>
      </c>
      <c r="X755" s="23" t="n"/>
      <c r="Y755" s="30">
        <f>IF($A755="","",COUNTIFS('Issues Log'!$C$5:$C$504,$A755,'Issues Log'!$K$5:$K$504,"Open")+COUNTIFS('Issues Log'!$C$5:$C$504,$A755,'Issues Log'!$K$5:$K$504,"In progress"))</f>
        <v/>
      </c>
      <c r="Z755" s="27" t="n"/>
    </row>
    <row r="756">
      <c r="A756" s="27" t="n"/>
      <c r="B756" s="27" t="n"/>
      <c r="C756" s="27" t="n"/>
      <c r="D756" s="28">
        <f>IF($C756="","",IFERROR(INDEX('Topic Plan'!$C$5:$C$115,MATCH($C756,'Topic Plan'!$B$5:$B$115,0)),"UNKNOWN TOPIC ID"))</f>
        <v/>
      </c>
      <c r="E756" s="28">
        <f>IF($C756="","",IFERROR(INDEX('Topic Plan'!$D$5:$D$115,MATCH($C756,'Topic Plan'!$B$5:$B$115,0)),""))</f>
        <v/>
      </c>
      <c r="F756" s="28">
        <f>IF($C756="","",IFERROR(INDEX('Topic Plan'!$E$5:$E$115,MATCH($C756,'Topic Plan'!$B$5:$B$115,0)),""))</f>
        <v/>
      </c>
      <c r="G756" s="23" t="n"/>
      <c r="H756" s="27" t="n"/>
      <c r="I756" s="27" t="n"/>
      <c r="J756" s="27" t="n"/>
      <c r="K756" s="27" t="n"/>
      <c r="L756" s="27" t="n"/>
      <c r="M756" s="27" t="n"/>
      <c r="N756" s="23" t="n"/>
      <c r="O756" s="29" t="n"/>
      <c r="P756" s="29" t="n"/>
      <c r="Q756" s="29" t="n"/>
      <c r="R756" s="29" t="n"/>
      <c r="S756" s="29" t="n"/>
      <c r="T756" s="29" t="n"/>
      <c r="U756" s="29" t="n"/>
      <c r="V756" s="30">
        <f>IF(OR($A756="",$U756=""),"",IF($S756&lt;&gt;"",MAX(0,$S756-$U756),MAX(0,TODAY()-$U756)))</f>
        <v/>
      </c>
      <c r="W756" s="30">
        <f>IF($A756="","",IF(OR($N756="Live",$N756="Retired"),"",TODAY()-MAX($O756,$P756,$Q756,$R756)))</f>
        <v/>
      </c>
      <c r="X756" s="23" t="n"/>
      <c r="Y756" s="30">
        <f>IF($A756="","",COUNTIFS('Issues Log'!$C$5:$C$504,$A756,'Issues Log'!$K$5:$K$504,"Open")+COUNTIFS('Issues Log'!$C$5:$C$504,$A756,'Issues Log'!$K$5:$K$504,"In progress"))</f>
        <v/>
      </c>
      <c r="Z756" s="27" t="n"/>
    </row>
    <row r="757">
      <c r="A757" s="27" t="n"/>
      <c r="B757" s="27" t="n"/>
      <c r="C757" s="27" t="n"/>
      <c r="D757" s="28">
        <f>IF($C757="","",IFERROR(INDEX('Topic Plan'!$C$5:$C$115,MATCH($C757,'Topic Plan'!$B$5:$B$115,0)),"UNKNOWN TOPIC ID"))</f>
        <v/>
      </c>
      <c r="E757" s="28">
        <f>IF($C757="","",IFERROR(INDEX('Topic Plan'!$D$5:$D$115,MATCH($C757,'Topic Plan'!$B$5:$B$115,0)),""))</f>
        <v/>
      </c>
      <c r="F757" s="28">
        <f>IF($C757="","",IFERROR(INDEX('Topic Plan'!$E$5:$E$115,MATCH($C757,'Topic Plan'!$B$5:$B$115,0)),""))</f>
        <v/>
      </c>
      <c r="G757" s="23" t="n"/>
      <c r="H757" s="27" t="n"/>
      <c r="I757" s="27" t="n"/>
      <c r="J757" s="27" t="n"/>
      <c r="K757" s="27" t="n"/>
      <c r="L757" s="27" t="n"/>
      <c r="M757" s="27" t="n"/>
      <c r="N757" s="23" t="n"/>
      <c r="O757" s="29" t="n"/>
      <c r="P757" s="29" t="n"/>
      <c r="Q757" s="29" t="n"/>
      <c r="R757" s="29" t="n"/>
      <c r="S757" s="29" t="n"/>
      <c r="T757" s="29" t="n"/>
      <c r="U757" s="29" t="n"/>
      <c r="V757" s="30">
        <f>IF(OR($A757="",$U757=""),"",IF($S757&lt;&gt;"",MAX(0,$S757-$U757),MAX(0,TODAY()-$U757)))</f>
        <v/>
      </c>
      <c r="W757" s="30">
        <f>IF($A757="","",IF(OR($N757="Live",$N757="Retired"),"",TODAY()-MAX($O757,$P757,$Q757,$R757)))</f>
        <v/>
      </c>
      <c r="X757" s="23" t="n"/>
      <c r="Y757" s="30">
        <f>IF($A757="","",COUNTIFS('Issues Log'!$C$5:$C$504,$A757,'Issues Log'!$K$5:$K$504,"Open")+COUNTIFS('Issues Log'!$C$5:$C$504,$A757,'Issues Log'!$K$5:$K$504,"In progress"))</f>
        <v/>
      </c>
      <c r="Z757" s="27" t="n"/>
    </row>
    <row r="758">
      <c r="A758" s="27" t="n"/>
      <c r="B758" s="27" t="n"/>
      <c r="C758" s="27" t="n"/>
      <c r="D758" s="28">
        <f>IF($C758="","",IFERROR(INDEX('Topic Plan'!$C$5:$C$115,MATCH($C758,'Topic Plan'!$B$5:$B$115,0)),"UNKNOWN TOPIC ID"))</f>
        <v/>
      </c>
      <c r="E758" s="28">
        <f>IF($C758="","",IFERROR(INDEX('Topic Plan'!$D$5:$D$115,MATCH($C758,'Topic Plan'!$B$5:$B$115,0)),""))</f>
        <v/>
      </c>
      <c r="F758" s="28">
        <f>IF($C758="","",IFERROR(INDEX('Topic Plan'!$E$5:$E$115,MATCH($C758,'Topic Plan'!$B$5:$B$115,0)),""))</f>
        <v/>
      </c>
      <c r="G758" s="23" t="n"/>
      <c r="H758" s="27" t="n"/>
      <c r="I758" s="27" t="n"/>
      <c r="J758" s="27" t="n"/>
      <c r="K758" s="27" t="n"/>
      <c r="L758" s="27" t="n"/>
      <c r="M758" s="27" t="n"/>
      <c r="N758" s="23" t="n"/>
      <c r="O758" s="29" t="n"/>
      <c r="P758" s="29" t="n"/>
      <c r="Q758" s="29" t="n"/>
      <c r="R758" s="29" t="n"/>
      <c r="S758" s="29" t="n"/>
      <c r="T758" s="29" t="n"/>
      <c r="U758" s="29" t="n"/>
      <c r="V758" s="30">
        <f>IF(OR($A758="",$U758=""),"",IF($S758&lt;&gt;"",MAX(0,$S758-$U758),MAX(0,TODAY()-$U758)))</f>
        <v/>
      </c>
      <c r="W758" s="30">
        <f>IF($A758="","",IF(OR($N758="Live",$N758="Retired"),"",TODAY()-MAX($O758,$P758,$Q758,$R758)))</f>
        <v/>
      </c>
      <c r="X758" s="23" t="n"/>
      <c r="Y758" s="30">
        <f>IF($A758="","",COUNTIFS('Issues Log'!$C$5:$C$504,$A758,'Issues Log'!$K$5:$K$504,"Open")+COUNTIFS('Issues Log'!$C$5:$C$504,$A758,'Issues Log'!$K$5:$K$504,"In progress"))</f>
        <v/>
      </c>
      <c r="Z758" s="27" t="n"/>
    </row>
    <row r="759">
      <c r="A759" s="27" t="n"/>
      <c r="B759" s="27" t="n"/>
      <c r="C759" s="27" t="n"/>
      <c r="D759" s="28">
        <f>IF($C759="","",IFERROR(INDEX('Topic Plan'!$C$5:$C$115,MATCH($C759,'Topic Plan'!$B$5:$B$115,0)),"UNKNOWN TOPIC ID"))</f>
        <v/>
      </c>
      <c r="E759" s="28">
        <f>IF($C759="","",IFERROR(INDEX('Topic Plan'!$D$5:$D$115,MATCH($C759,'Topic Plan'!$B$5:$B$115,0)),""))</f>
        <v/>
      </c>
      <c r="F759" s="28">
        <f>IF($C759="","",IFERROR(INDEX('Topic Plan'!$E$5:$E$115,MATCH($C759,'Topic Plan'!$B$5:$B$115,0)),""))</f>
        <v/>
      </c>
      <c r="G759" s="23" t="n"/>
      <c r="H759" s="27" t="n"/>
      <c r="I759" s="27" t="n"/>
      <c r="J759" s="27" t="n"/>
      <c r="K759" s="27" t="n"/>
      <c r="L759" s="27" t="n"/>
      <c r="M759" s="27" t="n"/>
      <c r="N759" s="23" t="n"/>
      <c r="O759" s="29" t="n"/>
      <c r="P759" s="29" t="n"/>
      <c r="Q759" s="29" t="n"/>
      <c r="R759" s="29" t="n"/>
      <c r="S759" s="29" t="n"/>
      <c r="T759" s="29" t="n"/>
      <c r="U759" s="29" t="n"/>
      <c r="V759" s="30">
        <f>IF(OR($A759="",$U759=""),"",IF($S759&lt;&gt;"",MAX(0,$S759-$U759),MAX(0,TODAY()-$U759)))</f>
        <v/>
      </c>
      <c r="W759" s="30">
        <f>IF($A759="","",IF(OR($N759="Live",$N759="Retired"),"",TODAY()-MAX($O759,$P759,$Q759,$R759)))</f>
        <v/>
      </c>
      <c r="X759" s="23" t="n"/>
      <c r="Y759" s="30">
        <f>IF($A759="","",COUNTIFS('Issues Log'!$C$5:$C$504,$A759,'Issues Log'!$K$5:$K$504,"Open")+COUNTIFS('Issues Log'!$C$5:$C$504,$A759,'Issues Log'!$K$5:$K$504,"In progress"))</f>
        <v/>
      </c>
      <c r="Z759" s="27" t="n"/>
    </row>
    <row r="760">
      <c r="A760" s="27" t="n"/>
      <c r="B760" s="27" t="n"/>
      <c r="C760" s="27" t="n"/>
      <c r="D760" s="28">
        <f>IF($C760="","",IFERROR(INDEX('Topic Plan'!$C$5:$C$115,MATCH($C760,'Topic Plan'!$B$5:$B$115,0)),"UNKNOWN TOPIC ID"))</f>
        <v/>
      </c>
      <c r="E760" s="28">
        <f>IF($C760="","",IFERROR(INDEX('Topic Plan'!$D$5:$D$115,MATCH($C760,'Topic Plan'!$B$5:$B$115,0)),""))</f>
        <v/>
      </c>
      <c r="F760" s="28">
        <f>IF($C760="","",IFERROR(INDEX('Topic Plan'!$E$5:$E$115,MATCH($C760,'Topic Plan'!$B$5:$B$115,0)),""))</f>
        <v/>
      </c>
      <c r="G760" s="23" t="n"/>
      <c r="H760" s="27" t="n"/>
      <c r="I760" s="27" t="n"/>
      <c r="J760" s="27" t="n"/>
      <c r="K760" s="27" t="n"/>
      <c r="L760" s="27" t="n"/>
      <c r="M760" s="27" t="n"/>
      <c r="N760" s="23" t="n"/>
      <c r="O760" s="29" t="n"/>
      <c r="P760" s="29" t="n"/>
      <c r="Q760" s="29" t="n"/>
      <c r="R760" s="29" t="n"/>
      <c r="S760" s="29" t="n"/>
      <c r="T760" s="29" t="n"/>
      <c r="U760" s="29" t="n"/>
      <c r="V760" s="30">
        <f>IF(OR($A760="",$U760=""),"",IF($S760&lt;&gt;"",MAX(0,$S760-$U760),MAX(0,TODAY()-$U760)))</f>
        <v/>
      </c>
      <c r="W760" s="30">
        <f>IF($A760="","",IF(OR($N760="Live",$N760="Retired"),"",TODAY()-MAX($O760,$P760,$Q760,$R760)))</f>
        <v/>
      </c>
      <c r="X760" s="23" t="n"/>
      <c r="Y760" s="30">
        <f>IF($A760="","",COUNTIFS('Issues Log'!$C$5:$C$504,$A760,'Issues Log'!$K$5:$K$504,"Open")+COUNTIFS('Issues Log'!$C$5:$C$504,$A760,'Issues Log'!$K$5:$K$504,"In progress"))</f>
        <v/>
      </c>
      <c r="Z760" s="27" t="n"/>
    </row>
    <row r="761">
      <c r="A761" s="27" t="n"/>
      <c r="B761" s="27" t="n"/>
      <c r="C761" s="27" t="n"/>
      <c r="D761" s="28">
        <f>IF($C761="","",IFERROR(INDEX('Topic Plan'!$C$5:$C$115,MATCH($C761,'Topic Plan'!$B$5:$B$115,0)),"UNKNOWN TOPIC ID"))</f>
        <v/>
      </c>
      <c r="E761" s="28">
        <f>IF($C761="","",IFERROR(INDEX('Topic Plan'!$D$5:$D$115,MATCH($C761,'Topic Plan'!$B$5:$B$115,0)),""))</f>
        <v/>
      </c>
      <c r="F761" s="28">
        <f>IF($C761="","",IFERROR(INDEX('Topic Plan'!$E$5:$E$115,MATCH($C761,'Topic Plan'!$B$5:$B$115,0)),""))</f>
        <v/>
      </c>
      <c r="G761" s="23" t="n"/>
      <c r="H761" s="27" t="n"/>
      <c r="I761" s="27" t="n"/>
      <c r="J761" s="27" t="n"/>
      <c r="K761" s="27" t="n"/>
      <c r="L761" s="27" t="n"/>
      <c r="M761" s="27" t="n"/>
      <c r="N761" s="23" t="n"/>
      <c r="O761" s="29" t="n"/>
      <c r="P761" s="29" t="n"/>
      <c r="Q761" s="29" t="n"/>
      <c r="R761" s="29" t="n"/>
      <c r="S761" s="29" t="n"/>
      <c r="T761" s="29" t="n"/>
      <c r="U761" s="29" t="n"/>
      <c r="V761" s="30">
        <f>IF(OR($A761="",$U761=""),"",IF($S761&lt;&gt;"",MAX(0,$S761-$U761),MAX(0,TODAY()-$U761)))</f>
        <v/>
      </c>
      <c r="W761" s="30">
        <f>IF($A761="","",IF(OR($N761="Live",$N761="Retired"),"",TODAY()-MAX($O761,$P761,$Q761,$R761)))</f>
        <v/>
      </c>
      <c r="X761" s="23" t="n"/>
      <c r="Y761" s="30">
        <f>IF($A761="","",COUNTIFS('Issues Log'!$C$5:$C$504,$A761,'Issues Log'!$K$5:$K$504,"Open")+COUNTIFS('Issues Log'!$C$5:$C$504,$A761,'Issues Log'!$K$5:$K$504,"In progress"))</f>
        <v/>
      </c>
      <c r="Z761" s="27" t="n"/>
    </row>
    <row r="762">
      <c r="A762" s="27" t="n"/>
      <c r="B762" s="27" t="n"/>
      <c r="C762" s="27" t="n"/>
      <c r="D762" s="28">
        <f>IF($C762="","",IFERROR(INDEX('Topic Plan'!$C$5:$C$115,MATCH($C762,'Topic Plan'!$B$5:$B$115,0)),"UNKNOWN TOPIC ID"))</f>
        <v/>
      </c>
      <c r="E762" s="28">
        <f>IF($C762="","",IFERROR(INDEX('Topic Plan'!$D$5:$D$115,MATCH($C762,'Topic Plan'!$B$5:$B$115,0)),""))</f>
        <v/>
      </c>
      <c r="F762" s="28">
        <f>IF($C762="","",IFERROR(INDEX('Topic Plan'!$E$5:$E$115,MATCH($C762,'Topic Plan'!$B$5:$B$115,0)),""))</f>
        <v/>
      </c>
      <c r="G762" s="23" t="n"/>
      <c r="H762" s="27" t="n"/>
      <c r="I762" s="27" t="n"/>
      <c r="J762" s="27" t="n"/>
      <c r="K762" s="27" t="n"/>
      <c r="L762" s="27" t="n"/>
      <c r="M762" s="27" t="n"/>
      <c r="N762" s="23" t="n"/>
      <c r="O762" s="29" t="n"/>
      <c r="P762" s="29" t="n"/>
      <c r="Q762" s="29" t="n"/>
      <c r="R762" s="29" t="n"/>
      <c r="S762" s="29" t="n"/>
      <c r="T762" s="29" t="n"/>
      <c r="U762" s="29" t="n"/>
      <c r="V762" s="30">
        <f>IF(OR($A762="",$U762=""),"",IF($S762&lt;&gt;"",MAX(0,$S762-$U762),MAX(0,TODAY()-$U762)))</f>
        <v/>
      </c>
      <c r="W762" s="30">
        <f>IF($A762="","",IF(OR($N762="Live",$N762="Retired"),"",TODAY()-MAX($O762,$P762,$Q762,$R762)))</f>
        <v/>
      </c>
      <c r="X762" s="23" t="n"/>
      <c r="Y762" s="30">
        <f>IF($A762="","",COUNTIFS('Issues Log'!$C$5:$C$504,$A762,'Issues Log'!$K$5:$K$504,"Open")+COUNTIFS('Issues Log'!$C$5:$C$504,$A762,'Issues Log'!$K$5:$K$504,"In progress"))</f>
        <v/>
      </c>
      <c r="Z762" s="27" t="n"/>
    </row>
    <row r="763">
      <c r="A763" s="27" t="n"/>
      <c r="B763" s="27" t="n"/>
      <c r="C763" s="27" t="n"/>
      <c r="D763" s="28">
        <f>IF($C763="","",IFERROR(INDEX('Topic Plan'!$C$5:$C$115,MATCH($C763,'Topic Plan'!$B$5:$B$115,0)),"UNKNOWN TOPIC ID"))</f>
        <v/>
      </c>
      <c r="E763" s="28">
        <f>IF($C763="","",IFERROR(INDEX('Topic Plan'!$D$5:$D$115,MATCH($C763,'Topic Plan'!$B$5:$B$115,0)),""))</f>
        <v/>
      </c>
      <c r="F763" s="28">
        <f>IF($C763="","",IFERROR(INDEX('Topic Plan'!$E$5:$E$115,MATCH($C763,'Topic Plan'!$B$5:$B$115,0)),""))</f>
        <v/>
      </c>
      <c r="G763" s="23" t="n"/>
      <c r="H763" s="27" t="n"/>
      <c r="I763" s="27" t="n"/>
      <c r="J763" s="27" t="n"/>
      <c r="K763" s="27" t="n"/>
      <c r="L763" s="27" t="n"/>
      <c r="M763" s="27" t="n"/>
      <c r="N763" s="23" t="n"/>
      <c r="O763" s="29" t="n"/>
      <c r="P763" s="29" t="n"/>
      <c r="Q763" s="29" t="n"/>
      <c r="R763" s="29" t="n"/>
      <c r="S763" s="29" t="n"/>
      <c r="T763" s="29" t="n"/>
      <c r="U763" s="29" t="n"/>
      <c r="V763" s="30">
        <f>IF(OR($A763="",$U763=""),"",IF($S763&lt;&gt;"",MAX(0,$S763-$U763),MAX(0,TODAY()-$U763)))</f>
        <v/>
      </c>
      <c r="W763" s="30">
        <f>IF($A763="","",IF(OR($N763="Live",$N763="Retired"),"",TODAY()-MAX($O763,$P763,$Q763,$R763)))</f>
        <v/>
      </c>
      <c r="X763" s="23" t="n"/>
      <c r="Y763" s="30">
        <f>IF($A763="","",COUNTIFS('Issues Log'!$C$5:$C$504,$A763,'Issues Log'!$K$5:$K$504,"Open")+COUNTIFS('Issues Log'!$C$5:$C$504,$A763,'Issues Log'!$K$5:$K$504,"In progress"))</f>
        <v/>
      </c>
      <c r="Z763" s="27" t="n"/>
    </row>
    <row r="764">
      <c r="A764" s="27" t="n"/>
      <c r="B764" s="27" t="n"/>
      <c r="C764" s="27" t="n"/>
      <c r="D764" s="28">
        <f>IF($C764="","",IFERROR(INDEX('Topic Plan'!$C$5:$C$115,MATCH($C764,'Topic Plan'!$B$5:$B$115,0)),"UNKNOWN TOPIC ID"))</f>
        <v/>
      </c>
      <c r="E764" s="28">
        <f>IF($C764="","",IFERROR(INDEX('Topic Plan'!$D$5:$D$115,MATCH($C764,'Topic Plan'!$B$5:$B$115,0)),""))</f>
        <v/>
      </c>
      <c r="F764" s="28">
        <f>IF($C764="","",IFERROR(INDEX('Topic Plan'!$E$5:$E$115,MATCH($C764,'Topic Plan'!$B$5:$B$115,0)),""))</f>
        <v/>
      </c>
      <c r="G764" s="23" t="n"/>
      <c r="H764" s="27" t="n"/>
      <c r="I764" s="27" t="n"/>
      <c r="J764" s="27" t="n"/>
      <c r="K764" s="27" t="n"/>
      <c r="L764" s="27" t="n"/>
      <c r="M764" s="27" t="n"/>
      <c r="N764" s="23" t="n"/>
      <c r="O764" s="29" t="n"/>
      <c r="P764" s="29" t="n"/>
      <c r="Q764" s="29" t="n"/>
      <c r="R764" s="29" t="n"/>
      <c r="S764" s="29" t="n"/>
      <c r="T764" s="29" t="n"/>
      <c r="U764" s="29" t="n"/>
      <c r="V764" s="30">
        <f>IF(OR($A764="",$U764=""),"",IF($S764&lt;&gt;"",MAX(0,$S764-$U764),MAX(0,TODAY()-$U764)))</f>
        <v/>
      </c>
      <c r="W764" s="30">
        <f>IF($A764="","",IF(OR($N764="Live",$N764="Retired"),"",TODAY()-MAX($O764,$P764,$Q764,$R764)))</f>
        <v/>
      </c>
      <c r="X764" s="23" t="n"/>
      <c r="Y764" s="30">
        <f>IF($A764="","",COUNTIFS('Issues Log'!$C$5:$C$504,$A764,'Issues Log'!$K$5:$K$504,"Open")+COUNTIFS('Issues Log'!$C$5:$C$504,$A764,'Issues Log'!$K$5:$K$504,"In progress"))</f>
        <v/>
      </c>
      <c r="Z764" s="27" t="n"/>
    </row>
    <row r="765">
      <c r="A765" s="27" t="n"/>
      <c r="B765" s="27" t="n"/>
      <c r="C765" s="27" t="n"/>
      <c r="D765" s="28">
        <f>IF($C765="","",IFERROR(INDEX('Topic Plan'!$C$5:$C$115,MATCH($C765,'Topic Plan'!$B$5:$B$115,0)),"UNKNOWN TOPIC ID"))</f>
        <v/>
      </c>
      <c r="E765" s="28">
        <f>IF($C765="","",IFERROR(INDEX('Topic Plan'!$D$5:$D$115,MATCH($C765,'Topic Plan'!$B$5:$B$115,0)),""))</f>
        <v/>
      </c>
      <c r="F765" s="28">
        <f>IF($C765="","",IFERROR(INDEX('Topic Plan'!$E$5:$E$115,MATCH($C765,'Topic Plan'!$B$5:$B$115,0)),""))</f>
        <v/>
      </c>
      <c r="G765" s="23" t="n"/>
      <c r="H765" s="27" t="n"/>
      <c r="I765" s="27" t="n"/>
      <c r="J765" s="27" t="n"/>
      <c r="K765" s="27" t="n"/>
      <c r="L765" s="27" t="n"/>
      <c r="M765" s="27" t="n"/>
      <c r="N765" s="23" t="n"/>
      <c r="O765" s="29" t="n"/>
      <c r="P765" s="29" t="n"/>
      <c r="Q765" s="29" t="n"/>
      <c r="R765" s="29" t="n"/>
      <c r="S765" s="29" t="n"/>
      <c r="T765" s="29" t="n"/>
      <c r="U765" s="29" t="n"/>
      <c r="V765" s="30">
        <f>IF(OR($A765="",$U765=""),"",IF($S765&lt;&gt;"",MAX(0,$S765-$U765),MAX(0,TODAY()-$U765)))</f>
        <v/>
      </c>
      <c r="W765" s="30">
        <f>IF($A765="","",IF(OR($N765="Live",$N765="Retired"),"",TODAY()-MAX($O765,$P765,$Q765,$R765)))</f>
        <v/>
      </c>
      <c r="X765" s="23" t="n"/>
      <c r="Y765" s="30">
        <f>IF($A765="","",COUNTIFS('Issues Log'!$C$5:$C$504,$A765,'Issues Log'!$K$5:$K$504,"Open")+COUNTIFS('Issues Log'!$C$5:$C$504,$A765,'Issues Log'!$K$5:$K$504,"In progress"))</f>
        <v/>
      </c>
      <c r="Z765" s="27" t="n"/>
    </row>
    <row r="766">
      <c r="A766" s="27" t="n"/>
      <c r="B766" s="27" t="n"/>
      <c r="C766" s="27" t="n"/>
      <c r="D766" s="28">
        <f>IF($C766="","",IFERROR(INDEX('Topic Plan'!$C$5:$C$115,MATCH($C766,'Topic Plan'!$B$5:$B$115,0)),"UNKNOWN TOPIC ID"))</f>
        <v/>
      </c>
      <c r="E766" s="28">
        <f>IF($C766="","",IFERROR(INDEX('Topic Plan'!$D$5:$D$115,MATCH($C766,'Topic Plan'!$B$5:$B$115,0)),""))</f>
        <v/>
      </c>
      <c r="F766" s="28">
        <f>IF($C766="","",IFERROR(INDEX('Topic Plan'!$E$5:$E$115,MATCH($C766,'Topic Plan'!$B$5:$B$115,0)),""))</f>
        <v/>
      </c>
      <c r="G766" s="23" t="n"/>
      <c r="H766" s="27" t="n"/>
      <c r="I766" s="27" t="n"/>
      <c r="J766" s="27" t="n"/>
      <c r="K766" s="27" t="n"/>
      <c r="L766" s="27" t="n"/>
      <c r="M766" s="27" t="n"/>
      <c r="N766" s="23" t="n"/>
      <c r="O766" s="29" t="n"/>
      <c r="P766" s="29" t="n"/>
      <c r="Q766" s="29" t="n"/>
      <c r="R766" s="29" t="n"/>
      <c r="S766" s="29" t="n"/>
      <c r="T766" s="29" t="n"/>
      <c r="U766" s="29" t="n"/>
      <c r="V766" s="30">
        <f>IF(OR($A766="",$U766=""),"",IF($S766&lt;&gt;"",MAX(0,$S766-$U766),MAX(0,TODAY()-$U766)))</f>
        <v/>
      </c>
      <c r="W766" s="30">
        <f>IF($A766="","",IF(OR($N766="Live",$N766="Retired"),"",TODAY()-MAX($O766,$P766,$Q766,$R766)))</f>
        <v/>
      </c>
      <c r="X766" s="23" t="n"/>
      <c r="Y766" s="30">
        <f>IF($A766="","",COUNTIFS('Issues Log'!$C$5:$C$504,$A766,'Issues Log'!$K$5:$K$504,"Open")+COUNTIFS('Issues Log'!$C$5:$C$504,$A766,'Issues Log'!$K$5:$K$504,"In progress"))</f>
        <v/>
      </c>
      <c r="Z766" s="27" t="n"/>
    </row>
    <row r="767">
      <c r="A767" s="27" t="n"/>
      <c r="B767" s="27" t="n"/>
      <c r="C767" s="27" t="n"/>
      <c r="D767" s="28">
        <f>IF($C767="","",IFERROR(INDEX('Topic Plan'!$C$5:$C$115,MATCH($C767,'Topic Plan'!$B$5:$B$115,0)),"UNKNOWN TOPIC ID"))</f>
        <v/>
      </c>
      <c r="E767" s="28">
        <f>IF($C767="","",IFERROR(INDEX('Topic Plan'!$D$5:$D$115,MATCH($C767,'Topic Plan'!$B$5:$B$115,0)),""))</f>
        <v/>
      </c>
      <c r="F767" s="28">
        <f>IF($C767="","",IFERROR(INDEX('Topic Plan'!$E$5:$E$115,MATCH($C767,'Topic Plan'!$B$5:$B$115,0)),""))</f>
        <v/>
      </c>
      <c r="G767" s="23" t="n"/>
      <c r="H767" s="27" t="n"/>
      <c r="I767" s="27" t="n"/>
      <c r="J767" s="27" t="n"/>
      <c r="K767" s="27" t="n"/>
      <c r="L767" s="27" t="n"/>
      <c r="M767" s="27" t="n"/>
      <c r="N767" s="23" t="n"/>
      <c r="O767" s="29" t="n"/>
      <c r="P767" s="29" t="n"/>
      <c r="Q767" s="29" t="n"/>
      <c r="R767" s="29" t="n"/>
      <c r="S767" s="29" t="n"/>
      <c r="T767" s="29" t="n"/>
      <c r="U767" s="29" t="n"/>
      <c r="V767" s="30">
        <f>IF(OR($A767="",$U767=""),"",IF($S767&lt;&gt;"",MAX(0,$S767-$U767),MAX(0,TODAY()-$U767)))</f>
        <v/>
      </c>
      <c r="W767" s="30">
        <f>IF($A767="","",IF(OR($N767="Live",$N767="Retired"),"",TODAY()-MAX($O767,$P767,$Q767,$R767)))</f>
        <v/>
      </c>
      <c r="X767" s="23" t="n"/>
      <c r="Y767" s="30">
        <f>IF($A767="","",COUNTIFS('Issues Log'!$C$5:$C$504,$A767,'Issues Log'!$K$5:$K$504,"Open")+COUNTIFS('Issues Log'!$C$5:$C$504,$A767,'Issues Log'!$K$5:$K$504,"In progress"))</f>
        <v/>
      </c>
      <c r="Z767" s="27" t="n"/>
    </row>
    <row r="768">
      <c r="A768" s="27" t="n"/>
      <c r="B768" s="27" t="n"/>
      <c r="C768" s="27" t="n"/>
      <c r="D768" s="28">
        <f>IF($C768="","",IFERROR(INDEX('Topic Plan'!$C$5:$C$115,MATCH($C768,'Topic Plan'!$B$5:$B$115,0)),"UNKNOWN TOPIC ID"))</f>
        <v/>
      </c>
      <c r="E768" s="28">
        <f>IF($C768="","",IFERROR(INDEX('Topic Plan'!$D$5:$D$115,MATCH($C768,'Topic Plan'!$B$5:$B$115,0)),""))</f>
        <v/>
      </c>
      <c r="F768" s="28">
        <f>IF($C768="","",IFERROR(INDEX('Topic Plan'!$E$5:$E$115,MATCH($C768,'Topic Plan'!$B$5:$B$115,0)),""))</f>
        <v/>
      </c>
      <c r="G768" s="23" t="n"/>
      <c r="H768" s="27" t="n"/>
      <c r="I768" s="27" t="n"/>
      <c r="J768" s="27" t="n"/>
      <c r="K768" s="27" t="n"/>
      <c r="L768" s="27" t="n"/>
      <c r="M768" s="27" t="n"/>
      <c r="N768" s="23" t="n"/>
      <c r="O768" s="29" t="n"/>
      <c r="P768" s="29" t="n"/>
      <c r="Q768" s="29" t="n"/>
      <c r="R768" s="29" t="n"/>
      <c r="S768" s="29" t="n"/>
      <c r="T768" s="29" t="n"/>
      <c r="U768" s="29" t="n"/>
      <c r="V768" s="30">
        <f>IF(OR($A768="",$U768=""),"",IF($S768&lt;&gt;"",MAX(0,$S768-$U768),MAX(0,TODAY()-$U768)))</f>
        <v/>
      </c>
      <c r="W768" s="30">
        <f>IF($A768="","",IF(OR($N768="Live",$N768="Retired"),"",TODAY()-MAX($O768,$P768,$Q768,$R768)))</f>
        <v/>
      </c>
      <c r="X768" s="23" t="n"/>
      <c r="Y768" s="30">
        <f>IF($A768="","",COUNTIFS('Issues Log'!$C$5:$C$504,$A768,'Issues Log'!$K$5:$K$504,"Open")+COUNTIFS('Issues Log'!$C$5:$C$504,$A768,'Issues Log'!$K$5:$K$504,"In progress"))</f>
        <v/>
      </c>
      <c r="Z768" s="27" t="n"/>
    </row>
    <row r="769">
      <c r="A769" s="27" t="n"/>
      <c r="B769" s="27" t="n"/>
      <c r="C769" s="27" t="n"/>
      <c r="D769" s="28">
        <f>IF($C769="","",IFERROR(INDEX('Topic Plan'!$C$5:$C$115,MATCH($C769,'Topic Plan'!$B$5:$B$115,0)),"UNKNOWN TOPIC ID"))</f>
        <v/>
      </c>
      <c r="E769" s="28">
        <f>IF($C769="","",IFERROR(INDEX('Topic Plan'!$D$5:$D$115,MATCH($C769,'Topic Plan'!$B$5:$B$115,0)),""))</f>
        <v/>
      </c>
      <c r="F769" s="28">
        <f>IF($C769="","",IFERROR(INDEX('Topic Plan'!$E$5:$E$115,MATCH($C769,'Topic Plan'!$B$5:$B$115,0)),""))</f>
        <v/>
      </c>
      <c r="G769" s="23" t="n"/>
      <c r="H769" s="27" t="n"/>
      <c r="I769" s="27" t="n"/>
      <c r="J769" s="27" t="n"/>
      <c r="K769" s="27" t="n"/>
      <c r="L769" s="27" t="n"/>
      <c r="M769" s="27" t="n"/>
      <c r="N769" s="23" t="n"/>
      <c r="O769" s="29" t="n"/>
      <c r="P769" s="29" t="n"/>
      <c r="Q769" s="29" t="n"/>
      <c r="R769" s="29" t="n"/>
      <c r="S769" s="29" t="n"/>
      <c r="T769" s="29" t="n"/>
      <c r="U769" s="29" t="n"/>
      <c r="V769" s="30">
        <f>IF(OR($A769="",$U769=""),"",IF($S769&lt;&gt;"",MAX(0,$S769-$U769),MAX(0,TODAY()-$U769)))</f>
        <v/>
      </c>
      <c r="W769" s="30">
        <f>IF($A769="","",IF(OR($N769="Live",$N769="Retired"),"",TODAY()-MAX($O769,$P769,$Q769,$R769)))</f>
        <v/>
      </c>
      <c r="X769" s="23" t="n"/>
      <c r="Y769" s="30">
        <f>IF($A769="","",COUNTIFS('Issues Log'!$C$5:$C$504,$A769,'Issues Log'!$K$5:$K$504,"Open")+COUNTIFS('Issues Log'!$C$5:$C$504,$A769,'Issues Log'!$K$5:$K$504,"In progress"))</f>
        <v/>
      </c>
      <c r="Z769" s="27" t="n"/>
    </row>
    <row r="770">
      <c r="A770" s="27" t="n"/>
      <c r="B770" s="27" t="n"/>
      <c r="C770" s="27" t="n"/>
      <c r="D770" s="28">
        <f>IF($C770="","",IFERROR(INDEX('Topic Plan'!$C$5:$C$115,MATCH($C770,'Topic Plan'!$B$5:$B$115,0)),"UNKNOWN TOPIC ID"))</f>
        <v/>
      </c>
      <c r="E770" s="28">
        <f>IF($C770="","",IFERROR(INDEX('Topic Plan'!$D$5:$D$115,MATCH($C770,'Topic Plan'!$B$5:$B$115,0)),""))</f>
        <v/>
      </c>
      <c r="F770" s="28">
        <f>IF($C770="","",IFERROR(INDEX('Topic Plan'!$E$5:$E$115,MATCH($C770,'Topic Plan'!$B$5:$B$115,0)),""))</f>
        <v/>
      </c>
      <c r="G770" s="23" t="n"/>
      <c r="H770" s="27" t="n"/>
      <c r="I770" s="27" t="n"/>
      <c r="J770" s="27" t="n"/>
      <c r="K770" s="27" t="n"/>
      <c r="L770" s="27" t="n"/>
      <c r="M770" s="27" t="n"/>
      <c r="N770" s="23" t="n"/>
      <c r="O770" s="29" t="n"/>
      <c r="P770" s="29" t="n"/>
      <c r="Q770" s="29" t="n"/>
      <c r="R770" s="29" t="n"/>
      <c r="S770" s="29" t="n"/>
      <c r="T770" s="29" t="n"/>
      <c r="U770" s="29" t="n"/>
      <c r="V770" s="30">
        <f>IF(OR($A770="",$U770=""),"",IF($S770&lt;&gt;"",MAX(0,$S770-$U770),MAX(0,TODAY()-$U770)))</f>
        <v/>
      </c>
      <c r="W770" s="30">
        <f>IF($A770="","",IF(OR($N770="Live",$N770="Retired"),"",TODAY()-MAX($O770,$P770,$Q770,$R770)))</f>
        <v/>
      </c>
      <c r="X770" s="23" t="n"/>
      <c r="Y770" s="30">
        <f>IF($A770="","",COUNTIFS('Issues Log'!$C$5:$C$504,$A770,'Issues Log'!$K$5:$K$504,"Open")+COUNTIFS('Issues Log'!$C$5:$C$504,$A770,'Issues Log'!$K$5:$K$504,"In progress"))</f>
        <v/>
      </c>
      <c r="Z770" s="27" t="n"/>
    </row>
    <row r="771">
      <c r="A771" s="27" t="n"/>
      <c r="B771" s="27" t="n"/>
      <c r="C771" s="27" t="n"/>
      <c r="D771" s="28">
        <f>IF($C771="","",IFERROR(INDEX('Topic Plan'!$C$5:$C$115,MATCH($C771,'Topic Plan'!$B$5:$B$115,0)),"UNKNOWN TOPIC ID"))</f>
        <v/>
      </c>
      <c r="E771" s="28">
        <f>IF($C771="","",IFERROR(INDEX('Topic Plan'!$D$5:$D$115,MATCH($C771,'Topic Plan'!$B$5:$B$115,0)),""))</f>
        <v/>
      </c>
      <c r="F771" s="28">
        <f>IF($C771="","",IFERROR(INDEX('Topic Plan'!$E$5:$E$115,MATCH($C771,'Topic Plan'!$B$5:$B$115,0)),""))</f>
        <v/>
      </c>
      <c r="G771" s="23" t="n"/>
      <c r="H771" s="27" t="n"/>
      <c r="I771" s="27" t="n"/>
      <c r="J771" s="27" t="n"/>
      <c r="K771" s="27" t="n"/>
      <c r="L771" s="27" t="n"/>
      <c r="M771" s="27" t="n"/>
      <c r="N771" s="23" t="n"/>
      <c r="O771" s="29" t="n"/>
      <c r="P771" s="29" t="n"/>
      <c r="Q771" s="29" t="n"/>
      <c r="R771" s="29" t="n"/>
      <c r="S771" s="29" t="n"/>
      <c r="T771" s="29" t="n"/>
      <c r="U771" s="29" t="n"/>
      <c r="V771" s="30">
        <f>IF(OR($A771="",$U771=""),"",IF($S771&lt;&gt;"",MAX(0,$S771-$U771),MAX(0,TODAY()-$U771)))</f>
        <v/>
      </c>
      <c r="W771" s="30">
        <f>IF($A771="","",IF(OR($N771="Live",$N771="Retired"),"",TODAY()-MAX($O771,$P771,$Q771,$R771)))</f>
        <v/>
      </c>
      <c r="X771" s="23" t="n"/>
      <c r="Y771" s="30">
        <f>IF($A771="","",COUNTIFS('Issues Log'!$C$5:$C$504,$A771,'Issues Log'!$K$5:$K$504,"Open")+COUNTIFS('Issues Log'!$C$5:$C$504,$A771,'Issues Log'!$K$5:$K$504,"In progress"))</f>
        <v/>
      </c>
      <c r="Z771" s="27" t="n"/>
    </row>
    <row r="772">
      <c r="A772" s="27" t="n"/>
      <c r="B772" s="27" t="n"/>
      <c r="C772" s="27" t="n"/>
      <c r="D772" s="28">
        <f>IF($C772="","",IFERROR(INDEX('Topic Plan'!$C$5:$C$115,MATCH($C772,'Topic Plan'!$B$5:$B$115,0)),"UNKNOWN TOPIC ID"))</f>
        <v/>
      </c>
      <c r="E772" s="28">
        <f>IF($C772="","",IFERROR(INDEX('Topic Plan'!$D$5:$D$115,MATCH($C772,'Topic Plan'!$B$5:$B$115,0)),""))</f>
        <v/>
      </c>
      <c r="F772" s="28">
        <f>IF($C772="","",IFERROR(INDEX('Topic Plan'!$E$5:$E$115,MATCH($C772,'Topic Plan'!$B$5:$B$115,0)),""))</f>
        <v/>
      </c>
      <c r="G772" s="23" t="n"/>
      <c r="H772" s="27" t="n"/>
      <c r="I772" s="27" t="n"/>
      <c r="J772" s="27" t="n"/>
      <c r="K772" s="27" t="n"/>
      <c r="L772" s="27" t="n"/>
      <c r="M772" s="27" t="n"/>
      <c r="N772" s="23" t="n"/>
      <c r="O772" s="29" t="n"/>
      <c r="P772" s="29" t="n"/>
      <c r="Q772" s="29" t="n"/>
      <c r="R772" s="29" t="n"/>
      <c r="S772" s="29" t="n"/>
      <c r="T772" s="29" t="n"/>
      <c r="U772" s="29" t="n"/>
      <c r="V772" s="30">
        <f>IF(OR($A772="",$U772=""),"",IF($S772&lt;&gt;"",MAX(0,$S772-$U772),MAX(0,TODAY()-$U772)))</f>
        <v/>
      </c>
      <c r="W772" s="30">
        <f>IF($A772="","",IF(OR($N772="Live",$N772="Retired"),"",TODAY()-MAX($O772,$P772,$Q772,$R772)))</f>
        <v/>
      </c>
      <c r="X772" s="23" t="n"/>
      <c r="Y772" s="30">
        <f>IF($A772="","",COUNTIFS('Issues Log'!$C$5:$C$504,$A772,'Issues Log'!$K$5:$K$504,"Open")+COUNTIFS('Issues Log'!$C$5:$C$504,$A772,'Issues Log'!$K$5:$K$504,"In progress"))</f>
        <v/>
      </c>
      <c r="Z772" s="27" t="n"/>
    </row>
    <row r="773">
      <c r="A773" s="27" t="n"/>
      <c r="B773" s="27" t="n"/>
      <c r="C773" s="27" t="n"/>
      <c r="D773" s="28">
        <f>IF($C773="","",IFERROR(INDEX('Topic Plan'!$C$5:$C$115,MATCH($C773,'Topic Plan'!$B$5:$B$115,0)),"UNKNOWN TOPIC ID"))</f>
        <v/>
      </c>
      <c r="E773" s="28">
        <f>IF($C773="","",IFERROR(INDEX('Topic Plan'!$D$5:$D$115,MATCH($C773,'Topic Plan'!$B$5:$B$115,0)),""))</f>
        <v/>
      </c>
      <c r="F773" s="28">
        <f>IF($C773="","",IFERROR(INDEX('Topic Plan'!$E$5:$E$115,MATCH($C773,'Topic Plan'!$B$5:$B$115,0)),""))</f>
        <v/>
      </c>
      <c r="G773" s="23" t="n"/>
      <c r="H773" s="27" t="n"/>
      <c r="I773" s="27" t="n"/>
      <c r="J773" s="27" t="n"/>
      <c r="K773" s="27" t="n"/>
      <c r="L773" s="27" t="n"/>
      <c r="M773" s="27" t="n"/>
      <c r="N773" s="23" t="n"/>
      <c r="O773" s="29" t="n"/>
      <c r="P773" s="29" t="n"/>
      <c r="Q773" s="29" t="n"/>
      <c r="R773" s="29" t="n"/>
      <c r="S773" s="29" t="n"/>
      <c r="T773" s="29" t="n"/>
      <c r="U773" s="29" t="n"/>
      <c r="V773" s="30">
        <f>IF(OR($A773="",$U773=""),"",IF($S773&lt;&gt;"",MAX(0,$S773-$U773),MAX(0,TODAY()-$U773)))</f>
        <v/>
      </c>
      <c r="W773" s="30">
        <f>IF($A773="","",IF(OR($N773="Live",$N773="Retired"),"",TODAY()-MAX($O773,$P773,$Q773,$R773)))</f>
        <v/>
      </c>
      <c r="X773" s="23" t="n"/>
      <c r="Y773" s="30">
        <f>IF($A773="","",COUNTIFS('Issues Log'!$C$5:$C$504,$A773,'Issues Log'!$K$5:$K$504,"Open")+COUNTIFS('Issues Log'!$C$5:$C$504,$A773,'Issues Log'!$K$5:$K$504,"In progress"))</f>
        <v/>
      </c>
      <c r="Z773" s="27" t="n"/>
    </row>
    <row r="774">
      <c r="A774" s="27" t="n"/>
      <c r="B774" s="27" t="n"/>
      <c r="C774" s="27" t="n"/>
      <c r="D774" s="28">
        <f>IF($C774="","",IFERROR(INDEX('Topic Plan'!$C$5:$C$115,MATCH($C774,'Topic Plan'!$B$5:$B$115,0)),"UNKNOWN TOPIC ID"))</f>
        <v/>
      </c>
      <c r="E774" s="28">
        <f>IF($C774="","",IFERROR(INDEX('Topic Plan'!$D$5:$D$115,MATCH($C774,'Topic Plan'!$B$5:$B$115,0)),""))</f>
        <v/>
      </c>
      <c r="F774" s="28">
        <f>IF($C774="","",IFERROR(INDEX('Topic Plan'!$E$5:$E$115,MATCH($C774,'Topic Plan'!$B$5:$B$115,0)),""))</f>
        <v/>
      </c>
      <c r="G774" s="23" t="n"/>
      <c r="H774" s="27" t="n"/>
      <c r="I774" s="27" t="n"/>
      <c r="J774" s="27" t="n"/>
      <c r="K774" s="27" t="n"/>
      <c r="L774" s="27" t="n"/>
      <c r="M774" s="27" t="n"/>
      <c r="N774" s="23" t="n"/>
      <c r="O774" s="29" t="n"/>
      <c r="P774" s="29" t="n"/>
      <c r="Q774" s="29" t="n"/>
      <c r="R774" s="29" t="n"/>
      <c r="S774" s="29" t="n"/>
      <c r="T774" s="29" t="n"/>
      <c r="U774" s="29" t="n"/>
      <c r="V774" s="30">
        <f>IF(OR($A774="",$U774=""),"",IF($S774&lt;&gt;"",MAX(0,$S774-$U774),MAX(0,TODAY()-$U774)))</f>
        <v/>
      </c>
      <c r="W774" s="30">
        <f>IF($A774="","",IF(OR($N774="Live",$N774="Retired"),"",TODAY()-MAX($O774,$P774,$Q774,$R774)))</f>
        <v/>
      </c>
      <c r="X774" s="23" t="n"/>
      <c r="Y774" s="30">
        <f>IF($A774="","",COUNTIFS('Issues Log'!$C$5:$C$504,$A774,'Issues Log'!$K$5:$K$504,"Open")+COUNTIFS('Issues Log'!$C$5:$C$504,$A774,'Issues Log'!$K$5:$K$504,"In progress"))</f>
        <v/>
      </c>
      <c r="Z774" s="27" t="n"/>
    </row>
    <row r="775">
      <c r="A775" s="27" t="n"/>
      <c r="B775" s="27" t="n"/>
      <c r="C775" s="27" t="n"/>
      <c r="D775" s="28">
        <f>IF($C775="","",IFERROR(INDEX('Topic Plan'!$C$5:$C$115,MATCH($C775,'Topic Plan'!$B$5:$B$115,0)),"UNKNOWN TOPIC ID"))</f>
        <v/>
      </c>
      <c r="E775" s="28">
        <f>IF($C775="","",IFERROR(INDEX('Topic Plan'!$D$5:$D$115,MATCH($C775,'Topic Plan'!$B$5:$B$115,0)),""))</f>
        <v/>
      </c>
      <c r="F775" s="28">
        <f>IF($C775="","",IFERROR(INDEX('Topic Plan'!$E$5:$E$115,MATCH($C775,'Topic Plan'!$B$5:$B$115,0)),""))</f>
        <v/>
      </c>
      <c r="G775" s="23" t="n"/>
      <c r="H775" s="27" t="n"/>
      <c r="I775" s="27" t="n"/>
      <c r="J775" s="27" t="n"/>
      <c r="K775" s="27" t="n"/>
      <c r="L775" s="27" t="n"/>
      <c r="M775" s="27" t="n"/>
      <c r="N775" s="23" t="n"/>
      <c r="O775" s="29" t="n"/>
      <c r="P775" s="29" t="n"/>
      <c r="Q775" s="29" t="n"/>
      <c r="R775" s="29" t="n"/>
      <c r="S775" s="29" t="n"/>
      <c r="T775" s="29" t="n"/>
      <c r="U775" s="29" t="n"/>
      <c r="V775" s="30">
        <f>IF(OR($A775="",$U775=""),"",IF($S775&lt;&gt;"",MAX(0,$S775-$U775),MAX(0,TODAY()-$U775)))</f>
        <v/>
      </c>
      <c r="W775" s="30">
        <f>IF($A775="","",IF(OR($N775="Live",$N775="Retired"),"",TODAY()-MAX($O775,$P775,$Q775,$R775)))</f>
        <v/>
      </c>
      <c r="X775" s="23" t="n"/>
      <c r="Y775" s="30">
        <f>IF($A775="","",COUNTIFS('Issues Log'!$C$5:$C$504,$A775,'Issues Log'!$K$5:$K$504,"Open")+COUNTIFS('Issues Log'!$C$5:$C$504,$A775,'Issues Log'!$K$5:$K$504,"In progress"))</f>
        <v/>
      </c>
      <c r="Z775" s="27" t="n"/>
    </row>
    <row r="776">
      <c r="A776" s="27" t="n"/>
      <c r="B776" s="27" t="n"/>
      <c r="C776" s="27" t="n"/>
      <c r="D776" s="28">
        <f>IF($C776="","",IFERROR(INDEX('Topic Plan'!$C$5:$C$115,MATCH($C776,'Topic Plan'!$B$5:$B$115,0)),"UNKNOWN TOPIC ID"))</f>
        <v/>
      </c>
      <c r="E776" s="28">
        <f>IF($C776="","",IFERROR(INDEX('Topic Plan'!$D$5:$D$115,MATCH($C776,'Topic Plan'!$B$5:$B$115,0)),""))</f>
        <v/>
      </c>
      <c r="F776" s="28">
        <f>IF($C776="","",IFERROR(INDEX('Topic Plan'!$E$5:$E$115,MATCH($C776,'Topic Plan'!$B$5:$B$115,0)),""))</f>
        <v/>
      </c>
      <c r="G776" s="23" t="n"/>
      <c r="H776" s="27" t="n"/>
      <c r="I776" s="27" t="n"/>
      <c r="J776" s="27" t="n"/>
      <c r="K776" s="27" t="n"/>
      <c r="L776" s="27" t="n"/>
      <c r="M776" s="27" t="n"/>
      <c r="N776" s="23" t="n"/>
      <c r="O776" s="29" t="n"/>
      <c r="P776" s="29" t="n"/>
      <c r="Q776" s="29" t="n"/>
      <c r="R776" s="29" t="n"/>
      <c r="S776" s="29" t="n"/>
      <c r="T776" s="29" t="n"/>
      <c r="U776" s="29" t="n"/>
      <c r="V776" s="30">
        <f>IF(OR($A776="",$U776=""),"",IF($S776&lt;&gt;"",MAX(0,$S776-$U776),MAX(0,TODAY()-$U776)))</f>
        <v/>
      </c>
      <c r="W776" s="30">
        <f>IF($A776="","",IF(OR($N776="Live",$N776="Retired"),"",TODAY()-MAX($O776,$P776,$Q776,$R776)))</f>
        <v/>
      </c>
      <c r="X776" s="23" t="n"/>
      <c r="Y776" s="30">
        <f>IF($A776="","",COUNTIFS('Issues Log'!$C$5:$C$504,$A776,'Issues Log'!$K$5:$K$504,"Open")+COUNTIFS('Issues Log'!$C$5:$C$504,$A776,'Issues Log'!$K$5:$K$504,"In progress"))</f>
        <v/>
      </c>
      <c r="Z776" s="27" t="n"/>
    </row>
    <row r="777">
      <c r="A777" s="27" t="n"/>
      <c r="B777" s="27" t="n"/>
      <c r="C777" s="27" t="n"/>
      <c r="D777" s="28">
        <f>IF($C777="","",IFERROR(INDEX('Topic Plan'!$C$5:$C$115,MATCH($C777,'Topic Plan'!$B$5:$B$115,0)),"UNKNOWN TOPIC ID"))</f>
        <v/>
      </c>
      <c r="E777" s="28">
        <f>IF($C777="","",IFERROR(INDEX('Topic Plan'!$D$5:$D$115,MATCH($C777,'Topic Plan'!$B$5:$B$115,0)),""))</f>
        <v/>
      </c>
      <c r="F777" s="28">
        <f>IF($C777="","",IFERROR(INDEX('Topic Plan'!$E$5:$E$115,MATCH($C777,'Topic Plan'!$B$5:$B$115,0)),""))</f>
        <v/>
      </c>
      <c r="G777" s="23" t="n"/>
      <c r="H777" s="27" t="n"/>
      <c r="I777" s="27" t="n"/>
      <c r="J777" s="27" t="n"/>
      <c r="K777" s="27" t="n"/>
      <c r="L777" s="27" t="n"/>
      <c r="M777" s="27" t="n"/>
      <c r="N777" s="23" t="n"/>
      <c r="O777" s="29" t="n"/>
      <c r="P777" s="29" t="n"/>
      <c r="Q777" s="29" t="n"/>
      <c r="R777" s="29" t="n"/>
      <c r="S777" s="29" t="n"/>
      <c r="T777" s="29" t="n"/>
      <c r="U777" s="29" t="n"/>
      <c r="V777" s="30">
        <f>IF(OR($A777="",$U777=""),"",IF($S777&lt;&gt;"",MAX(0,$S777-$U777),MAX(0,TODAY()-$U777)))</f>
        <v/>
      </c>
      <c r="W777" s="30">
        <f>IF($A777="","",IF(OR($N777="Live",$N777="Retired"),"",TODAY()-MAX($O777,$P777,$Q777,$R777)))</f>
        <v/>
      </c>
      <c r="X777" s="23" t="n"/>
      <c r="Y777" s="30">
        <f>IF($A777="","",COUNTIFS('Issues Log'!$C$5:$C$504,$A777,'Issues Log'!$K$5:$K$504,"Open")+COUNTIFS('Issues Log'!$C$5:$C$504,$A777,'Issues Log'!$K$5:$K$504,"In progress"))</f>
        <v/>
      </c>
      <c r="Z777" s="27" t="n"/>
    </row>
    <row r="778">
      <c r="A778" s="27" t="n"/>
      <c r="B778" s="27" t="n"/>
      <c r="C778" s="27" t="n"/>
      <c r="D778" s="28">
        <f>IF($C778="","",IFERROR(INDEX('Topic Plan'!$C$5:$C$115,MATCH($C778,'Topic Plan'!$B$5:$B$115,0)),"UNKNOWN TOPIC ID"))</f>
        <v/>
      </c>
      <c r="E778" s="28">
        <f>IF($C778="","",IFERROR(INDEX('Topic Plan'!$D$5:$D$115,MATCH($C778,'Topic Plan'!$B$5:$B$115,0)),""))</f>
        <v/>
      </c>
      <c r="F778" s="28">
        <f>IF($C778="","",IFERROR(INDEX('Topic Plan'!$E$5:$E$115,MATCH($C778,'Topic Plan'!$B$5:$B$115,0)),""))</f>
        <v/>
      </c>
      <c r="G778" s="23" t="n"/>
      <c r="H778" s="27" t="n"/>
      <c r="I778" s="27" t="n"/>
      <c r="J778" s="27" t="n"/>
      <c r="K778" s="27" t="n"/>
      <c r="L778" s="27" t="n"/>
      <c r="M778" s="27" t="n"/>
      <c r="N778" s="23" t="n"/>
      <c r="O778" s="29" t="n"/>
      <c r="P778" s="29" t="n"/>
      <c r="Q778" s="29" t="n"/>
      <c r="R778" s="29" t="n"/>
      <c r="S778" s="29" t="n"/>
      <c r="T778" s="29" t="n"/>
      <c r="U778" s="29" t="n"/>
      <c r="V778" s="30">
        <f>IF(OR($A778="",$U778=""),"",IF($S778&lt;&gt;"",MAX(0,$S778-$U778),MAX(0,TODAY()-$U778)))</f>
        <v/>
      </c>
      <c r="W778" s="30">
        <f>IF($A778="","",IF(OR($N778="Live",$N778="Retired"),"",TODAY()-MAX($O778,$P778,$Q778,$R778)))</f>
        <v/>
      </c>
      <c r="X778" s="23" t="n"/>
      <c r="Y778" s="30">
        <f>IF($A778="","",COUNTIFS('Issues Log'!$C$5:$C$504,$A778,'Issues Log'!$K$5:$K$504,"Open")+COUNTIFS('Issues Log'!$C$5:$C$504,$A778,'Issues Log'!$K$5:$K$504,"In progress"))</f>
        <v/>
      </c>
      <c r="Z778" s="27" t="n"/>
    </row>
    <row r="779">
      <c r="A779" s="27" t="n"/>
      <c r="B779" s="27" t="n"/>
      <c r="C779" s="27" t="n"/>
      <c r="D779" s="28">
        <f>IF($C779="","",IFERROR(INDEX('Topic Plan'!$C$5:$C$115,MATCH($C779,'Topic Plan'!$B$5:$B$115,0)),"UNKNOWN TOPIC ID"))</f>
        <v/>
      </c>
      <c r="E779" s="28">
        <f>IF($C779="","",IFERROR(INDEX('Topic Plan'!$D$5:$D$115,MATCH($C779,'Topic Plan'!$B$5:$B$115,0)),""))</f>
        <v/>
      </c>
      <c r="F779" s="28">
        <f>IF($C779="","",IFERROR(INDEX('Topic Plan'!$E$5:$E$115,MATCH($C779,'Topic Plan'!$B$5:$B$115,0)),""))</f>
        <v/>
      </c>
      <c r="G779" s="23" t="n"/>
      <c r="H779" s="27" t="n"/>
      <c r="I779" s="27" t="n"/>
      <c r="J779" s="27" t="n"/>
      <c r="K779" s="27" t="n"/>
      <c r="L779" s="27" t="n"/>
      <c r="M779" s="27" t="n"/>
      <c r="N779" s="23" t="n"/>
      <c r="O779" s="29" t="n"/>
      <c r="P779" s="29" t="n"/>
      <c r="Q779" s="29" t="n"/>
      <c r="R779" s="29" t="n"/>
      <c r="S779" s="29" t="n"/>
      <c r="T779" s="29" t="n"/>
      <c r="U779" s="29" t="n"/>
      <c r="V779" s="30">
        <f>IF(OR($A779="",$U779=""),"",IF($S779&lt;&gt;"",MAX(0,$S779-$U779),MAX(0,TODAY()-$U779)))</f>
        <v/>
      </c>
      <c r="W779" s="30">
        <f>IF($A779="","",IF(OR($N779="Live",$N779="Retired"),"",TODAY()-MAX($O779,$P779,$Q779,$R779)))</f>
        <v/>
      </c>
      <c r="X779" s="23" t="n"/>
      <c r="Y779" s="30">
        <f>IF($A779="","",COUNTIFS('Issues Log'!$C$5:$C$504,$A779,'Issues Log'!$K$5:$K$504,"Open")+COUNTIFS('Issues Log'!$C$5:$C$504,$A779,'Issues Log'!$K$5:$K$504,"In progress"))</f>
        <v/>
      </c>
      <c r="Z779" s="27" t="n"/>
    </row>
    <row r="780">
      <c r="A780" s="27" t="n"/>
      <c r="B780" s="27" t="n"/>
      <c r="C780" s="27" t="n"/>
      <c r="D780" s="28">
        <f>IF($C780="","",IFERROR(INDEX('Topic Plan'!$C$5:$C$115,MATCH($C780,'Topic Plan'!$B$5:$B$115,0)),"UNKNOWN TOPIC ID"))</f>
        <v/>
      </c>
      <c r="E780" s="28">
        <f>IF($C780="","",IFERROR(INDEX('Topic Plan'!$D$5:$D$115,MATCH($C780,'Topic Plan'!$B$5:$B$115,0)),""))</f>
        <v/>
      </c>
      <c r="F780" s="28">
        <f>IF($C780="","",IFERROR(INDEX('Topic Plan'!$E$5:$E$115,MATCH($C780,'Topic Plan'!$B$5:$B$115,0)),""))</f>
        <v/>
      </c>
      <c r="G780" s="23" t="n"/>
      <c r="H780" s="27" t="n"/>
      <c r="I780" s="27" t="n"/>
      <c r="J780" s="27" t="n"/>
      <c r="K780" s="27" t="n"/>
      <c r="L780" s="27" t="n"/>
      <c r="M780" s="27" t="n"/>
      <c r="N780" s="23" t="n"/>
      <c r="O780" s="29" t="n"/>
      <c r="P780" s="29" t="n"/>
      <c r="Q780" s="29" t="n"/>
      <c r="R780" s="29" t="n"/>
      <c r="S780" s="29" t="n"/>
      <c r="T780" s="29" t="n"/>
      <c r="U780" s="29" t="n"/>
      <c r="V780" s="30">
        <f>IF(OR($A780="",$U780=""),"",IF($S780&lt;&gt;"",MAX(0,$S780-$U780),MAX(0,TODAY()-$U780)))</f>
        <v/>
      </c>
      <c r="W780" s="30">
        <f>IF($A780="","",IF(OR($N780="Live",$N780="Retired"),"",TODAY()-MAX($O780,$P780,$Q780,$R780)))</f>
        <v/>
      </c>
      <c r="X780" s="23" t="n"/>
      <c r="Y780" s="30">
        <f>IF($A780="","",COUNTIFS('Issues Log'!$C$5:$C$504,$A780,'Issues Log'!$K$5:$K$504,"Open")+COUNTIFS('Issues Log'!$C$5:$C$504,$A780,'Issues Log'!$K$5:$K$504,"In progress"))</f>
        <v/>
      </c>
      <c r="Z780" s="27" t="n"/>
    </row>
    <row r="781">
      <c r="A781" s="27" t="n"/>
      <c r="B781" s="27" t="n"/>
      <c r="C781" s="27" t="n"/>
      <c r="D781" s="28">
        <f>IF($C781="","",IFERROR(INDEX('Topic Plan'!$C$5:$C$115,MATCH($C781,'Topic Plan'!$B$5:$B$115,0)),"UNKNOWN TOPIC ID"))</f>
        <v/>
      </c>
      <c r="E781" s="28">
        <f>IF($C781="","",IFERROR(INDEX('Topic Plan'!$D$5:$D$115,MATCH($C781,'Topic Plan'!$B$5:$B$115,0)),""))</f>
        <v/>
      </c>
      <c r="F781" s="28">
        <f>IF($C781="","",IFERROR(INDEX('Topic Plan'!$E$5:$E$115,MATCH($C781,'Topic Plan'!$B$5:$B$115,0)),""))</f>
        <v/>
      </c>
      <c r="G781" s="23" t="n"/>
      <c r="H781" s="27" t="n"/>
      <c r="I781" s="27" t="n"/>
      <c r="J781" s="27" t="n"/>
      <c r="K781" s="27" t="n"/>
      <c r="L781" s="27" t="n"/>
      <c r="M781" s="27" t="n"/>
      <c r="N781" s="23" t="n"/>
      <c r="O781" s="29" t="n"/>
      <c r="P781" s="29" t="n"/>
      <c r="Q781" s="29" t="n"/>
      <c r="R781" s="29" t="n"/>
      <c r="S781" s="29" t="n"/>
      <c r="T781" s="29" t="n"/>
      <c r="U781" s="29" t="n"/>
      <c r="V781" s="30">
        <f>IF(OR($A781="",$U781=""),"",IF($S781&lt;&gt;"",MAX(0,$S781-$U781),MAX(0,TODAY()-$U781)))</f>
        <v/>
      </c>
      <c r="W781" s="30">
        <f>IF($A781="","",IF(OR($N781="Live",$N781="Retired"),"",TODAY()-MAX($O781,$P781,$Q781,$R781)))</f>
        <v/>
      </c>
      <c r="X781" s="23" t="n"/>
      <c r="Y781" s="30">
        <f>IF($A781="","",COUNTIFS('Issues Log'!$C$5:$C$504,$A781,'Issues Log'!$K$5:$K$504,"Open")+COUNTIFS('Issues Log'!$C$5:$C$504,$A781,'Issues Log'!$K$5:$K$504,"In progress"))</f>
        <v/>
      </c>
      <c r="Z781" s="27" t="n"/>
    </row>
    <row r="782">
      <c r="A782" s="27" t="n"/>
      <c r="B782" s="27" t="n"/>
      <c r="C782" s="27" t="n"/>
      <c r="D782" s="28">
        <f>IF($C782="","",IFERROR(INDEX('Topic Plan'!$C$5:$C$115,MATCH($C782,'Topic Plan'!$B$5:$B$115,0)),"UNKNOWN TOPIC ID"))</f>
        <v/>
      </c>
      <c r="E782" s="28">
        <f>IF($C782="","",IFERROR(INDEX('Topic Plan'!$D$5:$D$115,MATCH($C782,'Topic Plan'!$B$5:$B$115,0)),""))</f>
        <v/>
      </c>
      <c r="F782" s="28">
        <f>IF($C782="","",IFERROR(INDEX('Topic Plan'!$E$5:$E$115,MATCH($C782,'Topic Plan'!$B$5:$B$115,0)),""))</f>
        <v/>
      </c>
      <c r="G782" s="23" t="n"/>
      <c r="H782" s="27" t="n"/>
      <c r="I782" s="27" t="n"/>
      <c r="J782" s="27" t="n"/>
      <c r="K782" s="27" t="n"/>
      <c r="L782" s="27" t="n"/>
      <c r="M782" s="27" t="n"/>
      <c r="N782" s="23" t="n"/>
      <c r="O782" s="29" t="n"/>
      <c r="P782" s="29" t="n"/>
      <c r="Q782" s="29" t="n"/>
      <c r="R782" s="29" t="n"/>
      <c r="S782" s="29" t="n"/>
      <c r="T782" s="29" t="n"/>
      <c r="U782" s="29" t="n"/>
      <c r="V782" s="30">
        <f>IF(OR($A782="",$U782=""),"",IF($S782&lt;&gt;"",MAX(0,$S782-$U782),MAX(0,TODAY()-$U782)))</f>
        <v/>
      </c>
      <c r="W782" s="30">
        <f>IF($A782="","",IF(OR($N782="Live",$N782="Retired"),"",TODAY()-MAX($O782,$P782,$Q782,$R782)))</f>
        <v/>
      </c>
      <c r="X782" s="23" t="n"/>
      <c r="Y782" s="30">
        <f>IF($A782="","",COUNTIFS('Issues Log'!$C$5:$C$504,$A782,'Issues Log'!$K$5:$K$504,"Open")+COUNTIFS('Issues Log'!$C$5:$C$504,$A782,'Issues Log'!$K$5:$K$504,"In progress"))</f>
        <v/>
      </c>
      <c r="Z782" s="27" t="n"/>
    </row>
    <row r="783">
      <c r="A783" s="27" t="n"/>
      <c r="B783" s="27" t="n"/>
      <c r="C783" s="27" t="n"/>
      <c r="D783" s="28">
        <f>IF($C783="","",IFERROR(INDEX('Topic Plan'!$C$5:$C$115,MATCH($C783,'Topic Plan'!$B$5:$B$115,0)),"UNKNOWN TOPIC ID"))</f>
        <v/>
      </c>
      <c r="E783" s="28">
        <f>IF($C783="","",IFERROR(INDEX('Topic Plan'!$D$5:$D$115,MATCH($C783,'Topic Plan'!$B$5:$B$115,0)),""))</f>
        <v/>
      </c>
      <c r="F783" s="28">
        <f>IF($C783="","",IFERROR(INDEX('Topic Plan'!$E$5:$E$115,MATCH($C783,'Topic Plan'!$B$5:$B$115,0)),""))</f>
        <v/>
      </c>
      <c r="G783" s="23" t="n"/>
      <c r="H783" s="27" t="n"/>
      <c r="I783" s="27" t="n"/>
      <c r="J783" s="27" t="n"/>
      <c r="K783" s="27" t="n"/>
      <c r="L783" s="27" t="n"/>
      <c r="M783" s="27" t="n"/>
      <c r="N783" s="23" t="n"/>
      <c r="O783" s="29" t="n"/>
      <c r="P783" s="29" t="n"/>
      <c r="Q783" s="29" t="n"/>
      <c r="R783" s="29" t="n"/>
      <c r="S783" s="29" t="n"/>
      <c r="T783" s="29" t="n"/>
      <c r="U783" s="29" t="n"/>
      <c r="V783" s="30">
        <f>IF(OR($A783="",$U783=""),"",IF($S783&lt;&gt;"",MAX(0,$S783-$U783),MAX(0,TODAY()-$U783)))</f>
        <v/>
      </c>
      <c r="W783" s="30">
        <f>IF($A783="","",IF(OR($N783="Live",$N783="Retired"),"",TODAY()-MAX($O783,$P783,$Q783,$R783)))</f>
        <v/>
      </c>
      <c r="X783" s="23" t="n"/>
      <c r="Y783" s="30">
        <f>IF($A783="","",COUNTIFS('Issues Log'!$C$5:$C$504,$A783,'Issues Log'!$K$5:$K$504,"Open")+COUNTIFS('Issues Log'!$C$5:$C$504,$A783,'Issues Log'!$K$5:$K$504,"In progress"))</f>
        <v/>
      </c>
      <c r="Z783" s="27" t="n"/>
    </row>
    <row r="784">
      <c r="A784" s="27" t="n"/>
      <c r="B784" s="27" t="n"/>
      <c r="C784" s="27" t="n"/>
      <c r="D784" s="28">
        <f>IF($C784="","",IFERROR(INDEX('Topic Plan'!$C$5:$C$115,MATCH($C784,'Topic Plan'!$B$5:$B$115,0)),"UNKNOWN TOPIC ID"))</f>
        <v/>
      </c>
      <c r="E784" s="28">
        <f>IF($C784="","",IFERROR(INDEX('Topic Plan'!$D$5:$D$115,MATCH($C784,'Topic Plan'!$B$5:$B$115,0)),""))</f>
        <v/>
      </c>
      <c r="F784" s="28">
        <f>IF($C784="","",IFERROR(INDEX('Topic Plan'!$E$5:$E$115,MATCH($C784,'Topic Plan'!$B$5:$B$115,0)),""))</f>
        <v/>
      </c>
      <c r="G784" s="23" t="n"/>
      <c r="H784" s="27" t="n"/>
      <c r="I784" s="27" t="n"/>
      <c r="J784" s="27" t="n"/>
      <c r="K784" s="27" t="n"/>
      <c r="L784" s="27" t="n"/>
      <c r="M784" s="27" t="n"/>
      <c r="N784" s="23" t="n"/>
      <c r="O784" s="29" t="n"/>
      <c r="P784" s="29" t="n"/>
      <c r="Q784" s="29" t="n"/>
      <c r="R784" s="29" t="n"/>
      <c r="S784" s="29" t="n"/>
      <c r="T784" s="29" t="n"/>
      <c r="U784" s="29" t="n"/>
      <c r="V784" s="30">
        <f>IF(OR($A784="",$U784=""),"",IF($S784&lt;&gt;"",MAX(0,$S784-$U784),MAX(0,TODAY()-$U784)))</f>
        <v/>
      </c>
      <c r="W784" s="30">
        <f>IF($A784="","",IF(OR($N784="Live",$N784="Retired"),"",TODAY()-MAX($O784,$P784,$Q784,$R784)))</f>
        <v/>
      </c>
      <c r="X784" s="23" t="n"/>
      <c r="Y784" s="30">
        <f>IF($A784="","",COUNTIFS('Issues Log'!$C$5:$C$504,$A784,'Issues Log'!$K$5:$K$504,"Open")+COUNTIFS('Issues Log'!$C$5:$C$504,$A784,'Issues Log'!$K$5:$K$504,"In progress"))</f>
        <v/>
      </c>
      <c r="Z784" s="27" t="n"/>
    </row>
    <row r="785">
      <c r="A785" s="27" t="n"/>
      <c r="B785" s="27" t="n"/>
      <c r="C785" s="27" t="n"/>
      <c r="D785" s="28">
        <f>IF($C785="","",IFERROR(INDEX('Topic Plan'!$C$5:$C$115,MATCH($C785,'Topic Plan'!$B$5:$B$115,0)),"UNKNOWN TOPIC ID"))</f>
        <v/>
      </c>
      <c r="E785" s="28">
        <f>IF($C785="","",IFERROR(INDEX('Topic Plan'!$D$5:$D$115,MATCH($C785,'Topic Plan'!$B$5:$B$115,0)),""))</f>
        <v/>
      </c>
      <c r="F785" s="28">
        <f>IF($C785="","",IFERROR(INDEX('Topic Plan'!$E$5:$E$115,MATCH($C785,'Topic Plan'!$B$5:$B$115,0)),""))</f>
        <v/>
      </c>
      <c r="G785" s="23" t="n"/>
      <c r="H785" s="27" t="n"/>
      <c r="I785" s="27" t="n"/>
      <c r="J785" s="27" t="n"/>
      <c r="K785" s="27" t="n"/>
      <c r="L785" s="27" t="n"/>
      <c r="M785" s="27" t="n"/>
      <c r="N785" s="23" t="n"/>
      <c r="O785" s="29" t="n"/>
      <c r="P785" s="29" t="n"/>
      <c r="Q785" s="29" t="n"/>
      <c r="R785" s="29" t="n"/>
      <c r="S785" s="29" t="n"/>
      <c r="T785" s="29" t="n"/>
      <c r="U785" s="29" t="n"/>
      <c r="V785" s="30">
        <f>IF(OR($A785="",$U785=""),"",IF($S785&lt;&gt;"",MAX(0,$S785-$U785),MAX(0,TODAY()-$U785)))</f>
        <v/>
      </c>
      <c r="W785" s="30">
        <f>IF($A785="","",IF(OR($N785="Live",$N785="Retired"),"",TODAY()-MAX($O785,$P785,$Q785,$R785)))</f>
        <v/>
      </c>
      <c r="X785" s="23" t="n"/>
      <c r="Y785" s="30">
        <f>IF($A785="","",COUNTIFS('Issues Log'!$C$5:$C$504,$A785,'Issues Log'!$K$5:$K$504,"Open")+COUNTIFS('Issues Log'!$C$5:$C$504,$A785,'Issues Log'!$K$5:$K$504,"In progress"))</f>
        <v/>
      </c>
      <c r="Z785" s="27" t="n"/>
    </row>
    <row r="786">
      <c r="A786" s="27" t="n"/>
      <c r="B786" s="27" t="n"/>
      <c r="C786" s="27" t="n"/>
      <c r="D786" s="28">
        <f>IF($C786="","",IFERROR(INDEX('Topic Plan'!$C$5:$C$115,MATCH($C786,'Topic Plan'!$B$5:$B$115,0)),"UNKNOWN TOPIC ID"))</f>
        <v/>
      </c>
      <c r="E786" s="28">
        <f>IF($C786="","",IFERROR(INDEX('Topic Plan'!$D$5:$D$115,MATCH($C786,'Topic Plan'!$B$5:$B$115,0)),""))</f>
        <v/>
      </c>
      <c r="F786" s="28">
        <f>IF($C786="","",IFERROR(INDEX('Topic Plan'!$E$5:$E$115,MATCH($C786,'Topic Plan'!$B$5:$B$115,0)),""))</f>
        <v/>
      </c>
      <c r="G786" s="23" t="n"/>
      <c r="H786" s="27" t="n"/>
      <c r="I786" s="27" t="n"/>
      <c r="J786" s="27" t="n"/>
      <c r="K786" s="27" t="n"/>
      <c r="L786" s="27" t="n"/>
      <c r="M786" s="27" t="n"/>
      <c r="N786" s="23" t="n"/>
      <c r="O786" s="29" t="n"/>
      <c r="P786" s="29" t="n"/>
      <c r="Q786" s="29" t="n"/>
      <c r="R786" s="29" t="n"/>
      <c r="S786" s="29" t="n"/>
      <c r="T786" s="29" t="n"/>
      <c r="U786" s="29" t="n"/>
      <c r="V786" s="30">
        <f>IF(OR($A786="",$U786=""),"",IF($S786&lt;&gt;"",MAX(0,$S786-$U786),MAX(0,TODAY()-$U786)))</f>
        <v/>
      </c>
      <c r="W786" s="30">
        <f>IF($A786="","",IF(OR($N786="Live",$N786="Retired"),"",TODAY()-MAX($O786,$P786,$Q786,$R786)))</f>
        <v/>
      </c>
      <c r="X786" s="23" t="n"/>
      <c r="Y786" s="30">
        <f>IF($A786="","",COUNTIFS('Issues Log'!$C$5:$C$504,$A786,'Issues Log'!$K$5:$K$504,"Open")+COUNTIFS('Issues Log'!$C$5:$C$504,$A786,'Issues Log'!$K$5:$K$504,"In progress"))</f>
        <v/>
      </c>
      <c r="Z786" s="27" t="n"/>
    </row>
    <row r="787">
      <c r="A787" s="27" t="n"/>
      <c r="B787" s="27" t="n"/>
      <c r="C787" s="27" t="n"/>
      <c r="D787" s="28">
        <f>IF($C787="","",IFERROR(INDEX('Topic Plan'!$C$5:$C$115,MATCH($C787,'Topic Plan'!$B$5:$B$115,0)),"UNKNOWN TOPIC ID"))</f>
        <v/>
      </c>
      <c r="E787" s="28">
        <f>IF($C787="","",IFERROR(INDEX('Topic Plan'!$D$5:$D$115,MATCH($C787,'Topic Plan'!$B$5:$B$115,0)),""))</f>
        <v/>
      </c>
      <c r="F787" s="28">
        <f>IF($C787="","",IFERROR(INDEX('Topic Plan'!$E$5:$E$115,MATCH($C787,'Topic Plan'!$B$5:$B$115,0)),""))</f>
        <v/>
      </c>
      <c r="G787" s="23" t="n"/>
      <c r="H787" s="27" t="n"/>
      <c r="I787" s="27" t="n"/>
      <c r="J787" s="27" t="n"/>
      <c r="K787" s="27" t="n"/>
      <c r="L787" s="27" t="n"/>
      <c r="M787" s="27" t="n"/>
      <c r="N787" s="23" t="n"/>
      <c r="O787" s="29" t="n"/>
      <c r="P787" s="29" t="n"/>
      <c r="Q787" s="29" t="n"/>
      <c r="R787" s="29" t="n"/>
      <c r="S787" s="29" t="n"/>
      <c r="T787" s="29" t="n"/>
      <c r="U787" s="29" t="n"/>
      <c r="V787" s="30">
        <f>IF(OR($A787="",$U787=""),"",IF($S787&lt;&gt;"",MAX(0,$S787-$U787),MAX(0,TODAY()-$U787)))</f>
        <v/>
      </c>
      <c r="W787" s="30">
        <f>IF($A787="","",IF(OR($N787="Live",$N787="Retired"),"",TODAY()-MAX($O787,$P787,$Q787,$R787)))</f>
        <v/>
      </c>
      <c r="X787" s="23" t="n"/>
      <c r="Y787" s="30">
        <f>IF($A787="","",COUNTIFS('Issues Log'!$C$5:$C$504,$A787,'Issues Log'!$K$5:$K$504,"Open")+COUNTIFS('Issues Log'!$C$5:$C$504,$A787,'Issues Log'!$K$5:$K$504,"In progress"))</f>
        <v/>
      </c>
      <c r="Z787" s="27" t="n"/>
    </row>
    <row r="788">
      <c r="A788" s="27" t="n"/>
      <c r="B788" s="27" t="n"/>
      <c r="C788" s="27" t="n"/>
      <c r="D788" s="28">
        <f>IF($C788="","",IFERROR(INDEX('Topic Plan'!$C$5:$C$115,MATCH($C788,'Topic Plan'!$B$5:$B$115,0)),"UNKNOWN TOPIC ID"))</f>
        <v/>
      </c>
      <c r="E788" s="28">
        <f>IF($C788="","",IFERROR(INDEX('Topic Plan'!$D$5:$D$115,MATCH($C788,'Topic Plan'!$B$5:$B$115,0)),""))</f>
        <v/>
      </c>
      <c r="F788" s="28">
        <f>IF($C788="","",IFERROR(INDEX('Topic Plan'!$E$5:$E$115,MATCH($C788,'Topic Plan'!$B$5:$B$115,0)),""))</f>
        <v/>
      </c>
      <c r="G788" s="23" t="n"/>
      <c r="H788" s="27" t="n"/>
      <c r="I788" s="27" t="n"/>
      <c r="J788" s="27" t="n"/>
      <c r="K788" s="27" t="n"/>
      <c r="L788" s="27" t="n"/>
      <c r="M788" s="27" t="n"/>
      <c r="N788" s="23" t="n"/>
      <c r="O788" s="29" t="n"/>
      <c r="P788" s="29" t="n"/>
      <c r="Q788" s="29" t="n"/>
      <c r="R788" s="29" t="n"/>
      <c r="S788" s="29" t="n"/>
      <c r="T788" s="29" t="n"/>
      <c r="U788" s="29" t="n"/>
      <c r="V788" s="30">
        <f>IF(OR($A788="",$U788=""),"",IF($S788&lt;&gt;"",MAX(0,$S788-$U788),MAX(0,TODAY()-$U788)))</f>
        <v/>
      </c>
      <c r="W788" s="30">
        <f>IF($A788="","",IF(OR($N788="Live",$N788="Retired"),"",TODAY()-MAX($O788,$P788,$Q788,$R788)))</f>
        <v/>
      </c>
      <c r="X788" s="23" t="n"/>
      <c r="Y788" s="30">
        <f>IF($A788="","",COUNTIFS('Issues Log'!$C$5:$C$504,$A788,'Issues Log'!$K$5:$K$504,"Open")+COUNTIFS('Issues Log'!$C$5:$C$504,$A788,'Issues Log'!$K$5:$K$504,"In progress"))</f>
        <v/>
      </c>
      <c r="Z788" s="27" t="n"/>
    </row>
    <row r="789">
      <c r="A789" s="27" t="n"/>
      <c r="B789" s="27" t="n"/>
      <c r="C789" s="27" t="n"/>
      <c r="D789" s="28">
        <f>IF($C789="","",IFERROR(INDEX('Topic Plan'!$C$5:$C$115,MATCH($C789,'Topic Plan'!$B$5:$B$115,0)),"UNKNOWN TOPIC ID"))</f>
        <v/>
      </c>
      <c r="E789" s="28">
        <f>IF($C789="","",IFERROR(INDEX('Topic Plan'!$D$5:$D$115,MATCH($C789,'Topic Plan'!$B$5:$B$115,0)),""))</f>
        <v/>
      </c>
      <c r="F789" s="28">
        <f>IF($C789="","",IFERROR(INDEX('Topic Plan'!$E$5:$E$115,MATCH($C789,'Topic Plan'!$B$5:$B$115,0)),""))</f>
        <v/>
      </c>
      <c r="G789" s="23" t="n"/>
      <c r="H789" s="27" t="n"/>
      <c r="I789" s="27" t="n"/>
      <c r="J789" s="27" t="n"/>
      <c r="K789" s="27" t="n"/>
      <c r="L789" s="27" t="n"/>
      <c r="M789" s="27" t="n"/>
      <c r="N789" s="23" t="n"/>
      <c r="O789" s="29" t="n"/>
      <c r="P789" s="29" t="n"/>
      <c r="Q789" s="29" t="n"/>
      <c r="R789" s="29" t="n"/>
      <c r="S789" s="29" t="n"/>
      <c r="T789" s="29" t="n"/>
      <c r="U789" s="29" t="n"/>
      <c r="V789" s="30">
        <f>IF(OR($A789="",$U789=""),"",IF($S789&lt;&gt;"",MAX(0,$S789-$U789),MAX(0,TODAY()-$U789)))</f>
        <v/>
      </c>
      <c r="W789" s="30">
        <f>IF($A789="","",IF(OR($N789="Live",$N789="Retired"),"",TODAY()-MAX($O789,$P789,$Q789,$R789)))</f>
        <v/>
      </c>
      <c r="X789" s="23" t="n"/>
      <c r="Y789" s="30">
        <f>IF($A789="","",COUNTIFS('Issues Log'!$C$5:$C$504,$A789,'Issues Log'!$K$5:$K$504,"Open")+COUNTIFS('Issues Log'!$C$5:$C$504,$A789,'Issues Log'!$K$5:$K$504,"In progress"))</f>
        <v/>
      </c>
      <c r="Z789" s="27" t="n"/>
    </row>
    <row r="790">
      <c r="A790" s="27" t="n"/>
      <c r="B790" s="27" t="n"/>
      <c r="C790" s="27" t="n"/>
      <c r="D790" s="28">
        <f>IF($C790="","",IFERROR(INDEX('Topic Plan'!$C$5:$C$115,MATCH($C790,'Topic Plan'!$B$5:$B$115,0)),"UNKNOWN TOPIC ID"))</f>
        <v/>
      </c>
      <c r="E790" s="28">
        <f>IF($C790="","",IFERROR(INDEX('Topic Plan'!$D$5:$D$115,MATCH($C790,'Topic Plan'!$B$5:$B$115,0)),""))</f>
        <v/>
      </c>
      <c r="F790" s="28">
        <f>IF($C790="","",IFERROR(INDEX('Topic Plan'!$E$5:$E$115,MATCH($C790,'Topic Plan'!$B$5:$B$115,0)),""))</f>
        <v/>
      </c>
      <c r="G790" s="23" t="n"/>
      <c r="H790" s="27" t="n"/>
      <c r="I790" s="27" t="n"/>
      <c r="J790" s="27" t="n"/>
      <c r="K790" s="27" t="n"/>
      <c r="L790" s="27" t="n"/>
      <c r="M790" s="27" t="n"/>
      <c r="N790" s="23" t="n"/>
      <c r="O790" s="29" t="n"/>
      <c r="P790" s="29" t="n"/>
      <c r="Q790" s="29" t="n"/>
      <c r="R790" s="29" t="n"/>
      <c r="S790" s="29" t="n"/>
      <c r="T790" s="29" t="n"/>
      <c r="U790" s="29" t="n"/>
      <c r="V790" s="30">
        <f>IF(OR($A790="",$U790=""),"",IF($S790&lt;&gt;"",MAX(0,$S790-$U790),MAX(0,TODAY()-$U790)))</f>
        <v/>
      </c>
      <c r="W790" s="30">
        <f>IF($A790="","",IF(OR($N790="Live",$N790="Retired"),"",TODAY()-MAX($O790,$P790,$Q790,$R790)))</f>
        <v/>
      </c>
      <c r="X790" s="23" t="n"/>
      <c r="Y790" s="30">
        <f>IF($A790="","",COUNTIFS('Issues Log'!$C$5:$C$504,$A790,'Issues Log'!$K$5:$K$504,"Open")+COUNTIFS('Issues Log'!$C$5:$C$504,$A790,'Issues Log'!$K$5:$K$504,"In progress"))</f>
        <v/>
      </c>
      <c r="Z790" s="27" t="n"/>
    </row>
    <row r="791">
      <c r="A791" s="27" t="n"/>
      <c r="B791" s="27" t="n"/>
      <c r="C791" s="27" t="n"/>
      <c r="D791" s="28">
        <f>IF($C791="","",IFERROR(INDEX('Topic Plan'!$C$5:$C$115,MATCH($C791,'Topic Plan'!$B$5:$B$115,0)),"UNKNOWN TOPIC ID"))</f>
        <v/>
      </c>
      <c r="E791" s="28">
        <f>IF($C791="","",IFERROR(INDEX('Topic Plan'!$D$5:$D$115,MATCH($C791,'Topic Plan'!$B$5:$B$115,0)),""))</f>
        <v/>
      </c>
      <c r="F791" s="28">
        <f>IF($C791="","",IFERROR(INDEX('Topic Plan'!$E$5:$E$115,MATCH($C791,'Topic Plan'!$B$5:$B$115,0)),""))</f>
        <v/>
      </c>
      <c r="G791" s="23" t="n"/>
      <c r="H791" s="27" t="n"/>
      <c r="I791" s="27" t="n"/>
      <c r="J791" s="27" t="n"/>
      <c r="K791" s="27" t="n"/>
      <c r="L791" s="27" t="n"/>
      <c r="M791" s="27" t="n"/>
      <c r="N791" s="23" t="n"/>
      <c r="O791" s="29" t="n"/>
      <c r="P791" s="29" t="n"/>
      <c r="Q791" s="29" t="n"/>
      <c r="R791" s="29" t="n"/>
      <c r="S791" s="29" t="n"/>
      <c r="T791" s="29" t="n"/>
      <c r="U791" s="29" t="n"/>
      <c r="V791" s="30">
        <f>IF(OR($A791="",$U791=""),"",IF($S791&lt;&gt;"",MAX(0,$S791-$U791),MAX(0,TODAY()-$U791)))</f>
        <v/>
      </c>
      <c r="W791" s="30">
        <f>IF($A791="","",IF(OR($N791="Live",$N791="Retired"),"",TODAY()-MAX($O791,$P791,$Q791,$R791)))</f>
        <v/>
      </c>
      <c r="X791" s="23" t="n"/>
      <c r="Y791" s="30">
        <f>IF($A791="","",COUNTIFS('Issues Log'!$C$5:$C$504,$A791,'Issues Log'!$K$5:$K$504,"Open")+COUNTIFS('Issues Log'!$C$5:$C$504,$A791,'Issues Log'!$K$5:$K$504,"In progress"))</f>
        <v/>
      </c>
      <c r="Z791" s="27" t="n"/>
    </row>
    <row r="792">
      <c r="A792" s="27" t="n"/>
      <c r="B792" s="27" t="n"/>
      <c r="C792" s="27" t="n"/>
      <c r="D792" s="28">
        <f>IF($C792="","",IFERROR(INDEX('Topic Plan'!$C$5:$C$115,MATCH($C792,'Topic Plan'!$B$5:$B$115,0)),"UNKNOWN TOPIC ID"))</f>
        <v/>
      </c>
      <c r="E792" s="28">
        <f>IF($C792="","",IFERROR(INDEX('Topic Plan'!$D$5:$D$115,MATCH($C792,'Topic Plan'!$B$5:$B$115,0)),""))</f>
        <v/>
      </c>
      <c r="F792" s="28">
        <f>IF($C792="","",IFERROR(INDEX('Topic Plan'!$E$5:$E$115,MATCH($C792,'Topic Plan'!$B$5:$B$115,0)),""))</f>
        <v/>
      </c>
      <c r="G792" s="23" t="n"/>
      <c r="H792" s="27" t="n"/>
      <c r="I792" s="27" t="n"/>
      <c r="J792" s="27" t="n"/>
      <c r="K792" s="27" t="n"/>
      <c r="L792" s="27" t="n"/>
      <c r="M792" s="27" t="n"/>
      <c r="N792" s="23" t="n"/>
      <c r="O792" s="29" t="n"/>
      <c r="P792" s="29" t="n"/>
      <c r="Q792" s="29" t="n"/>
      <c r="R792" s="29" t="n"/>
      <c r="S792" s="29" t="n"/>
      <c r="T792" s="29" t="n"/>
      <c r="U792" s="29" t="n"/>
      <c r="V792" s="30">
        <f>IF(OR($A792="",$U792=""),"",IF($S792&lt;&gt;"",MAX(0,$S792-$U792),MAX(0,TODAY()-$U792)))</f>
        <v/>
      </c>
      <c r="W792" s="30">
        <f>IF($A792="","",IF(OR($N792="Live",$N792="Retired"),"",TODAY()-MAX($O792,$P792,$Q792,$R792)))</f>
        <v/>
      </c>
      <c r="X792" s="23" t="n"/>
      <c r="Y792" s="30">
        <f>IF($A792="","",COUNTIFS('Issues Log'!$C$5:$C$504,$A792,'Issues Log'!$K$5:$K$504,"Open")+COUNTIFS('Issues Log'!$C$5:$C$504,$A792,'Issues Log'!$K$5:$K$504,"In progress"))</f>
        <v/>
      </c>
      <c r="Z792" s="27" t="n"/>
    </row>
    <row r="793">
      <c r="A793" s="27" t="n"/>
      <c r="B793" s="27" t="n"/>
      <c r="C793" s="27" t="n"/>
      <c r="D793" s="28">
        <f>IF($C793="","",IFERROR(INDEX('Topic Plan'!$C$5:$C$115,MATCH($C793,'Topic Plan'!$B$5:$B$115,0)),"UNKNOWN TOPIC ID"))</f>
        <v/>
      </c>
      <c r="E793" s="28">
        <f>IF($C793="","",IFERROR(INDEX('Topic Plan'!$D$5:$D$115,MATCH($C793,'Topic Plan'!$B$5:$B$115,0)),""))</f>
        <v/>
      </c>
      <c r="F793" s="28">
        <f>IF($C793="","",IFERROR(INDEX('Topic Plan'!$E$5:$E$115,MATCH($C793,'Topic Plan'!$B$5:$B$115,0)),""))</f>
        <v/>
      </c>
      <c r="G793" s="23" t="n"/>
      <c r="H793" s="27" t="n"/>
      <c r="I793" s="27" t="n"/>
      <c r="J793" s="27" t="n"/>
      <c r="K793" s="27" t="n"/>
      <c r="L793" s="27" t="n"/>
      <c r="M793" s="27" t="n"/>
      <c r="N793" s="23" t="n"/>
      <c r="O793" s="29" t="n"/>
      <c r="P793" s="29" t="n"/>
      <c r="Q793" s="29" t="n"/>
      <c r="R793" s="29" t="n"/>
      <c r="S793" s="29" t="n"/>
      <c r="T793" s="29" t="n"/>
      <c r="U793" s="29" t="n"/>
      <c r="V793" s="30">
        <f>IF(OR($A793="",$U793=""),"",IF($S793&lt;&gt;"",MAX(0,$S793-$U793),MAX(0,TODAY()-$U793)))</f>
        <v/>
      </c>
      <c r="W793" s="30">
        <f>IF($A793="","",IF(OR($N793="Live",$N793="Retired"),"",TODAY()-MAX($O793,$P793,$Q793,$R793)))</f>
        <v/>
      </c>
      <c r="X793" s="23" t="n"/>
      <c r="Y793" s="30">
        <f>IF($A793="","",COUNTIFS('Issues Log'!$C$5:$C$504,$A793,'Issues Log'!$K$5:$K$504,"Open")+COUNTIFS('Issues Log'!$C$5:$C$504,$A793,'Issues Log'!$K$5:$K$504,"In progress"))</f>
        <v/>
      </c>
      <c r="Z793" s="27" t="n"/>
    </row>
    <row r="794">
      <c r="A794" s="27" t="n"/>
      <c r="B794" s="27" t="n"/>
      <c r="C794" s="27" t="n"/>
      <c r="D794" s="28">
        <f>IF($C794="","",IFERROR(INDEX('Topic Plan'!$C$5:$C$115,MATCH($C794,'Topic Plan'!$B$5:$B$115,0)),"UNKNOWN TOPIC ID"))</f>
        <v/>
      </c>
      <c r="E794" s="28">
        <f>IF($C794="","",IFERROR(INDEX('Topic Plan'!$D$5:$D$115,MATCH($C794,'Topic Plan'!$B$5:$B$115,0)),""))</f>
        <v/>
      </c>
      <c r="F794" s="28">
        <f>IF($C794="","",IFERROR(INDEX('Topic Plan'!$E$5:$E$115,MATCH($C794,'Topic Plan'!$B$5:$B$115,0)),""))</f>
        <v/>
      </c>
      <c r="G794" s="23" t="n"/>
      <c r="H794" s="27" t="n"/>
      <c r="I794" s="27" t="n"/>
      <c r="J794" s="27" t="n"/>
      <c r="K794" s="27" t="n"/>
      <c r="L794" s="27" t="n"/>
      <c r="M794" s="27" t="n"/>
      <c r="N794" s="23" t="n"/>
      <c r="O794" s="29" t="n"/>
      <c r="P794" s="29" t="n"/>
      <c r="Q794" s="29" t="n"/>
      <c r="R794" s="29" t="n"/>
      <c r="S794" s="29" t="n"/>
      <c r="T794" s="29" t="n"/>
      <c r="U794" s="29" t="n"/>
      <c r="V794" s="30">
        <f>IF(OR($A794="",$U794=""),"",IF($S794&lt;&gt;"",MAX(0,$S794-$U794),MAX(0,TODAY()-$U794)))</f>
        <v/>
      </c>
      <c r="W794" s="30">
        <f>IF($A794="","",IF(OR($N794="Live",$N794="Retired"),"",TODAY()-MAX($O794,$P794,$Q794,$R794)))</f>
        <v/>
      </c>
      <c r="X794" s="23" t="n"/>
      <c r="Y794" s="30">
        <f>IF($A794="","",COUNTIFS('Issues Log'!$C$5:$C$504,$A794,'Issues Log'!$K$5:$K$504,"Open")+COUNTIFS('Issues Log'!$C$5:$C$504,$A794,'Issues Log'!$K$5:$K$504,"In progress"))</f>
        <v/>
      </c>
      <c r="Z794" s="27" t="n"/>
    </row>
    <row r="795">
      <c r="A795" s="27" t="n"/>
      <c r="B795" s="27" t="n"/>
      <c r="C795" s="27" t="n"/>
      <c r="D795" s="28">
        <f>IF($C795="","",IFERROR(INDEX('Topic Plan'!$C$5:$C$115,MATCH($C795,'Topic Plan'!$B$5:$B$115,0)),"UNKNOWN TOPIC ID"))</f>
        <v/>
      </c>
      <c r="E795" s="28">
        <f>IF($C795="","",IFERROR(INDEX('Topic Plan'!$D$5:$D$115,MATCH($C795,'Topic Plan'!$B$5:$B$115,0)),""))</f>
        <v/>
      </c>
      <c r="F795" s="28">
        <f>IF($C795="","",IFERROR(INDEX('Topic Plan'!$E$5:$E$115,MATCH($C795,'Topic Plan'!$B$5:$B$115,0)),""))</f>
        <v/>
      </c>
      <c r="G795" s="23" t="n"/>
      <c r="H795" s="27" t="n"/>
      <c r="I795" s="27" t="n"/>
      <c r="J795" s="27" t="n"/>
      <c r="K795" s="27" t="n"/>
      <c r="L795" s="27" t="n"/>
      <c r="M795" s="27" t="n"/>
      <c r="N795" s="23" t="n"/>
      <c r="O795" s="29" t="n"/>
      <c r="P795" s="29" t="n"/>
      <c r="Q795" s="29" t="n"/>
      <c r="R795" s="29" t="n"/>
      <c r="S795" s="29" t="n"/>
      <c r="T795" s="29" t="n"/>
      <c r="U795" s="29" t="n"/>
      <c r="V795" s="30">
        <f>IF(OR($A795="",$U795=""),"",IF($S795&lt;&gt;"",MAX(0,$S795-$U795),MAX(0,TODAY()-$U795)))</f>
        <v/>
      </c>
      <c r="W795" s="30">
        <f>IF($A795="","",IF(OR($N795="Live",$N795="Retired"),"",TODAY()-MAX($O795,$P795,$Q795,$R795)))</f>
        <v/>
      </c>
      <c r="X795" s="23" t="n"/>
      <c r="Y795" s="30">
        <f>IF($A795="","",COUNTIFS('Issues Log'!$C$5:$C$504,$A795,'Issues Log'!$K$5:$K$504,"Open")+COUNTIFS('Issues Log'!$C$5:$C$504,$A795,'Issues Log'!$K$5:$K$504,"In progress"))</f>
        <v/>
      </c>
      <c r="Z795" s="27" t="n"/>
    </row>
    <row r="796">
      <c r="A796" s="27" t="n"/>
      <c r="B796" s="27" t="n"/>
      <c r="C796" s="27" t="n"/>
      <c r="D796" s="28">
        <f>IF($C796="","",IFERROR(INDEX('Topic Plan'!$C$5:$C$115,MATCH($C796,'Topic Plan'!$B$5:$B$115,0)),"UNKNOWN TOPIC ID"))</f>
        <v/>
      </c>
      <c r="E796" s="28">
        <f>IF($C796="","",IFERROR(INDEX('Topic Plan'!$D$5:$D$115,MATCH($C796,'Topic Plan'!$B$5:$B$115,0)),""))</f>
        <v/>
      </c>
      <c r="F796" s="28">
        <f>IF($C796="","",IFERROR(INDEX('Topic Plan'!$E$5:$E$115,MATCH($C796,'Topic Plan'!$B$5:$B$115,0)),""))</f>
        <v/>
      </c>
      <c r="G796" s="23" t="n"/>
      <c r="H796" s="27" t="n"/>
      <c r="I796" s="27" t="n"/>
      <c r="J796" s="27" t="n"/>
      <c r="K796" s="27" t="n"/>
      <c r="L796" s="27" t="n"/>
      <c r="M796" s="27" t="n"/>
      <c r="N796" s="23" t="n"/>
      <c r="O796" s="29" t="n"/>
      <c r="P796" s="29" t="n"/>
      <c r="Q796" s="29" t="n"/>
      <c r="R796" s="29" t="n"/>
      <c r="S796" s="29" t="n"/>
      <c r="T796" s="29" t="n"/>
      <c r="U796" s="29" t="n"/>
      <c r="V796" s="30">
        <f>IF(OR($A796="",$U796=""),"",IF($S796&lt;&gt;"",MAX(0,$S796-$U796),MAX(0,TODAY()-$U796)))</f>
        <v/>
      </c>
      <c r="W796" s="30">
        <f>IF($A796="","",IF(OR($N796="Live",$N796="Retired"),"",TODAY()-MAX($O796,$P796,$Q796,$R796)))</f>
        <v/>
      </c>
      <c r="X796" s="23" t="n"/>
      <c r="Y796" s="30">
        <f>IF($A796="","",COUNTIFS('Issues Log'!$C$5:$C$504,$A796,'Issues Log'!$K$5:$K$504,"Open")+COUNTIFS('Issues Log'!$C$5:$C$504,$A796,'Issues Log'!$K$5:$K$504,"In progress"))</f>
        <v/>
      </c>
      <c r="Z796" s="27" t="n"/>
    </row>
    <row r="797">
      <c r="A797" s="27" t="n"/>
      <c r="B797" s="27" t="n"/>
      <c r="C797" s="27" t="n"/>
      <c r="D797" s="28">
        <f>IF($C797="","",IFERROR(INDEX('Topic Plan'!$C$5:$C$115,MATCH($C797,'Topic Plan'!$B$5:$B$115,0)),"UNKNOWN TOPIC ID"))</f>
        <v/>
      </c>
      <c r="E797" s="28">
        <f>IF($C797="","",IFERROR(INDEX('Topic Plan'!$D$5:$D$115,MATCH($C797,'Topic Plan'!$B$5:$B$115,0)),""))</f>
        <v/>
      </c>
      <c r="F797" s="28">
        <f>IF($C797="","",IFERROR(INDEX('Topic Plan'!$E$5:$E$115,MATCH($C797,'Topic Plan'!$B$5:$B$115,0)),""))</f>
        <v/>
      </c>
      <c r="G797" s="23" t="n"/>
      <c r="H797" s="27" t="n"/>
      <c r="I797" s="27" t="n"/>
      <c r="J797" s="27" t="n"/>
      <c r="K797" s="27" t="n"/>
      <c r="L797" s="27" t="n"/>
      <c r="M797" s="27" t="n"/>
      <c r="N797" s="23" t="n"/>
      <c r="O797" s="29" t="n"/>
      <c r="P797" s="29" t="n"/>
      <c r="Q797" s="29" t="n"/>
      <c r="R797" s="29" t="n"/>
      <c r="S797" s="29" t="n"/>
      <c r="T797" s="29" t="n"/>
      <c r="U797" s="29" t="n"/>
      <c r="V797" s="30">
        <f>IF(OR($A797="",$U797=""),"",IF($S797&lt;&gt;"",MAX(0,$S797-$U797),MAX(0,TODAY()-$U797)))</f>
        <v/>
      </c>
      <c r="W797" s="30">
        <f>IF($A797="","",IF(OR($N797="Live",$N797="Retired"),"",TODAY()-MAX($O797,$P797,$Q797,$R797)))</f>
        <v/>
      </c>
      <c r="X797" s="23" t="n"/>
      <c r="Y797" s="30">
        <f>IF($A797="","",COUNTIFS('Issues Log'!$C$5:$C$504,$A797,'Issues Log'!$K$5:$K$504,"Open")+COUNTIFS('Issues Log'!$C$5:$C$504,$A797,'Issues Log'!$K$5:$K$504,"In progress"))</f>
        <v/>
      </c>
      <c r="Z797" s="27" t="n"/>
    </row>
    <row r="798">
      <c r="A798" s="27" t="n"/>
      <c r="B798" s="27" t="n"/>
      <c r="C798" s="27" t="n"/>
      <c r="D798" s="28">
        <f>IF($C798="","",IFERROR(INDEX('Topic Plan'!$C$5:$C$115,MATCH($C798,'Topic Plan'!$B$5:$B$115,0)),"UNKNOWN TOPIC ID"))</f>
        <v/>
      </c>
      <c r="E798" s="28">
        <f>IF($C798="","",IFERROR(INDEX('Topic Plan'!$D$5:$D$115,MATCH($C798,'Topic Plan'!$B$5:$B$115,0)),""))</f>
        <v/>
      </c>
      <c r="F798" s="28">
        <f>IF($C798="","",IFERROR(INDEX('Topic Plan'!$E$5:$E$115,MATCH($C798,'Topic Plan'!$B$5:$B$115,0)),""))</f>
        <v/>
      </c>
      <c r="G798" s="23" t="n"/>
      <c r="H798" s="27" t="n"/>
      <c r="I798" s="27" t="n"/>
      <c r="J798" s="27" t="n"/>
      <c r="K798" s="27" t="n"/>
      <c r="L798" s="27" t="n"/>
      <c r="M798" s="27" t="n"/>
      <c r="N798" s="23" t="n"/>
      <c r="O798" s="29" t="n"/>
      <c r="P798" s="29" t="n"/>
      <c r="Q798" s="29" t="n"/>
      <c r="R798" s="29" t="n"/>
      <c r="S798" s="29" t="n"/>
      <c r="T798" s="29" t="n"/>
      <c r="U798" s="29" t="n"/>
      <c r="V798" s="30">
        <f>IF(OR($A798="",$U798=""),"",IF($S798&lt;&gt;"",MAX(0,$S798-$U798),MAX(0,TODAY()-$U798)))</f>
        <v/>
      </c>
      <c r="W798" s="30">
        <f>IF($A798="","",IF(OR($N798="Live",$N798="Retired"),"",TODAY()-MAX($O798,$P798,$Q798,$R798)))</f>
        <v/>
      </c>
      <c r="X798" s="23" t="n"/>
      <c r="Y798" s="30">
        <f>IF($A798="","",COUNTIFS('Issues Log'!$C$5:$C$504,$A798,'Issues Log'!$K$5:$K$504,"Open")+COUNTIFS('Issues Log'!$C$5:$C$504,$A798,'Issues Log'!$K$5:$K$504,"In progress"))</f>
        <v/>
      </c>
      <c r="Z798" s="27" t="n"/>
    </row>
    <row r="799">
      <c r="A799" s="27" t="n"/>
      <c r="B799" s="27" t="n"/>
      <c r="C799" s="27" t="n"/>
      <c r="D799" s="28">
        <f>IF($C799="","",IFERROR(INDEX('Topic Plan'!$C$5:$C$115,MATCH($C799,'Topic Plan'!$B$5:$B$115,0)),"UNKNOWN TOPIC ID"))</f>
        <v/>
      </c>
      <c r="E799" s="28">
        <f>IF($C799="","",IFERROR(INDEX('Topic Plan'!$D$5:$D$115,MATCH($C799,'Topic Plan'!$B$5:$B$115,0)),""))</f>
        <v/>
      </c>
      <c r="F799" s="28">
        <f>IF($C799="","",IFERROR(INDEX('Topic Plan'!$E$5:$E$115,MATCH($C799,'Topic Plan'!$B$5:$B$115,0)),""))</f>
        <v/>
      </c>
      <c r="G799" s="23" t="n"/>
      <c r="H799" s="27" t="n"/>
      <c r="I799" s="27" t="n"/>
      <c r="J799" s="27" t="n"/>
      <c r="K799" s="27" t="n"/>
      <c r="L799" s="27" t="n"/>
      <c r="M799" s="27" t="n"/>
      <c r="N799" s="23" t="n"/>
      <c r="O799" s="29" t="n"/>
      <c r="P799" s="29" t="n"/>
      <c r="Q799" s="29" t="n"/>
      <c r="R799" s="29" t="n"/>
      <c r="S799" s="29" t="n"/>
      <c r="T799" s="29" t="n"/>
      <c r="U799" s="29" t="n"/>
      <c r="V799" s="30">
        <f>IF(OR($A799="",$U799=""),"",IF($S799&lt;&gt;"",MAX(0,$S799-$U799),MAX(0,TODAY()-$U799)))</f>
        <v/>
      </c>
      <c r="W799" s="30">
        <f>IF($A799="","",IF(OR($N799="Live",$N799="Retired"),"",TODAY()-MAX($O799,$P799,$Q799,$R799)))</f>
        <v/>
      </c>
      <c r="X799" s="23" t="n"/>
      <c r="Y799" s="30">
        <f>IF($A799="","",COUNTIFS('Issues Log'!$C$5:$C$504,$A799,'Issues Log'!$K$5:$K$504,"Open")+COUNTIFS('Issues Log'!$C$5:$C$504,$A799,'Issues Log'!$K$5:$K$504,"In progress"))</f>
        <v/>
      </c>
      <c r="Z799" s="27" t="n"/>
    </row>
    <row r="800">
      <c r="A800" s="27" t="n"/>
      <c r="B800" s="27" t="n"/>
      <c r="C800" s="27" t="n"/>
      <c r="D800" s="28">
        <f>IF($C800="","",IFERROR(INDEX('Topic Plan'!$C$5:$C$115,MATCH($C800,'Topic Plan'!$B$5:$B$115,0)),"UNKNOWN TOPIC ID"))</f>
        <v/>
      </c>
      <c r="E800" s="28">
        <f>IF($C800="","",IFERROR(INDEX('Topic Plan'!$D$5:$D$115,MATCH($C800,'Topic Plan'!$B$5:$B$115,0)),""))</f>
        <v/>
      </c>
      <c r="F800" s="28">
        <f>IF($C800="","",IFERROR(INDEX('Topic Plan'!$E$5:$E$115,MATCH($C800,'Topic Plan'!$B$5:$B$115,0)),""))</f>
        <v/>
      </c>
      <c r="G800" s="23" t="n"/>
      <c r="H800" s="27" t="n"/>
      <c r="I800" s="27" t="n"/>
      <c r="J800" s="27" t="n"/>
      <c r="K800" s="27" t="n"/>
      <c r="L800" s="27" t="n"/>
      <c r="M800" s="27" t="n"/>
      <c r="N800" s="23" t="n"/>
      <c r="O800" s="29" t="n"/>
      <c r="P800" s="29" t="n"/>
      <c r="Q800" s="29" t="n"/>
      <c r="R800" s="29" t="n"/>
      <c r="S800" s="29" t="n"/>
      <c r="T800" s="29" t="n"/>
      <c r="U800" s="29" t="n"/>
      <c r="V800" s="30">
        <f>IF(OR($A800="",$U800=""),"",IF($S800&lt;&gt;"",MAX(0,$S800-$U800),MAX(0,TODAY()-$U800)))</f>
        <v/>
      </c>
      <c r="W800" s="30">
        <f>IF($A800="","",IF(OR($N800="Live",$N800="Retired"),"",TODAY()-MAX($O800,$P800,$Q800,$R800)))</f>
        <v/>
      </c>
      <c r="X800" s="23" t="n"/>
      <c r="Y800" s="30">
        <f>IF($A800="","",COUNTIFS('Issues Log'!$C$5:$C$504,$A800,'Issues Log'!$K$5:$K$504,"Open")+COUNTIFS('Issues Log'!$C$5:$C$504,$A800,'Issues Log'!$K$5:$K$504,"In progress"))</f>
        <v/>
      </c>
      <c r="Z800" s="27" t="n"/>
    </row>
    <row r="801">
      <c r="A801" s="27" t="n"/>
      <c r="B801" s="27" t="n"/>
      <c r="C801" s="27" t="n"/>
      <c r="D801" s="28">
        <f>IF($C801="","",IFERROR(INDEX('Topic Plan'!$C$5:$C$115,MATCH($C801,'Topic Plan'!$B$5:$B$115,0)),"UNKNOWN TOPIC ID"))</f>
        <v/>
      </c>
      <c r="E801" s="28">
        <f>IF($C801="","",IFERROR(INDEX('Topic Plan'!$D$5:$D$115,MATCH($C801,'Topic Plan'!$B$5:$B$115,0)),""))</f>
        <v/>
      </c>
      <c r="F801" s="28">
        <f>IF($C801="","",IFERROR(INDEX('Topic Plan'!$E$5:$E$115,MATCH($C801,'Topic Plan'!$B$5:$B$115,0)),""))</f>
        <v/>
      </c>
      <c r="G801" s="23" t="n"/>
      <c r="H801" s="27" t="n"/>
      <c r="I801" s="27" t="n"/>
      <c r="J801" s="27" t="n"/>
      <c r="K801" s="27" t="n"/>
      <c r="L801" s="27" t="n"/>
      <c r="M801" s="27" t="n"/>
      <c r="N801" s="23" t="n"/>
      <c r="O801" s="29" t="n"/>
      <c r="P801" s="29" t="n"/>
      <c r="Q801" s="29" t="n"/>
      <c r="R801" s="29" t="n"/>
      <c r="S801" s="29" t="n"/>
      <c r="T801" s="29" t="n"/>
      <c r="U801" s="29" t="n"/>
      <c r="V801" s="30">
        <f>IF(OR($A801="",$U801=""),"",IF($S801&lt;&gt;"",MAX(0,$S801-$U801),MAX(0,TODAY()-$U801)))</f>
        <v/>
      </c>
      <c r="W801" s="30">
        <f>IF($A801="","",IF(OR($N801="Live",$N801="Retired"),"",TODAY()-MAX($O801,$P801,$Q801,$R801)))</f>
        <v/>
      </c>
      <c r="X801" s="23" t="n"/>
      <c r="Y801" s="30">
        <f>IF($A801="","",COUNTIFS('Issues Log'!$C$5:$C$504,$A801,'Issues Log'!$K$5:$K$504,"Open")+COUNTIFS('Issues Log'!$C$5:$C$504,$A801,'Issues Log'!$K$5:$K$504,"In progress"))</f>
        <v/>
      </c>
      <c r="Z801" s="27" t="n"/>
    </row>
    <row r="802">
      <c r="A802" s="27" t="n"/>
      <c r="B802" s="27" t="n"/>
      <c r="C802" s="27" t="n"/>
      <c r="D802" s="28">
        <f>IF($C802="","",IFERROR(INDEX('Topic Plan'!$C$5:$C$115,MATCH($C802,'Topic Plan'!$B$5:$B$115,0)),"UNKNOWN TOPIC ID"))</f>
        <v/>
      </c>
      <c r="E802" s="28">
        <f>IF($C802="","",IFERROR(INDEX('Topic Plan'!$D$5:$D$115,MATCH($C802,'Topic Plan'!$B$5:$B$115,0)),""))</f>
        <v/>
      </c>
      <c r="F802" s="28">
        <f>IF($C802="","",IFERROR(INDEX('Topic Plan'!$E$5:$E$115,MATCH($C802,'Topic Plan'!$B$5:$B$115,0)),""))</f>
        <v/>
      </c>
      <c r="G802" s="23" t="n"/>
      <c r="H802" s="27" t="n"/>
      <c r="I802" s="27" t="n"/>
      <c r="J802" s="27" t="n"/>
      <c r="K802" s="27" t="n"/>
      <c r="L802" s="27" t="n"/>
      <c r="M802" s="27" t="n"/>
      <c r="N802" s="23" t="n"/>
      <c r="O802" s="29" t="n"/>
      <c r="P802" s="29" t="n"/>
      <c r="Q802" s="29" t="n"/>
      <c r="R802" s="29" t="n"/>
      <c r="S802" s="29" t="n"/>
      <c r="T802" s="29" t="n"/>
      <c r="U802" s="29" t="n"/>
      <c r="V802" s="30">
        <f>IF(OR($A802="",$U802=""),"",IF($S802&lt;&gt;"",MAX(0,$S802-$U802),MAX(0,TODAY()-$U802)))</f>
        <v/>
      </c>
      <c r="W802" s="30">
        <f>IF($A802="","",IF(OR($N802="Live",$N802="Retired"),"",TODAY()-MAX($O802,$P802,$Q802,$R802)))</f>
        <v/>
      </c>
      <c r="X802" s="23" t="n"/>
      <c r="Y802" s="30">
        <f>IF($A802="","",COUNTIFS('Issues Log'!$C$5:$C$504,$A802,'Issues Log'!$K$5:$K$504,"Open")+COUNTIFS('Issues Log'!$C$5:$C$504,$A802,'Issues Log'!$K$5:$K$504,"In progress"))</f>
        <v/>
      </c>
      <c r="Z802" s="27" t="n"/>
    </row>
    <row r="803">
      <c r="A803" s="27" t="n"/>
      <c r="B803" s="27" t="n"/>
      <c r="C803" s="27" t="n"/>
      <c r="D803" s="28">
        <f>IF($C803="","",IFERROR(INDEX('Topic Plan'!$C$5:$C$115,MATCH($C803,'Topic Plan'!$B$5:$B$115,0)),"UNKNOWN TOPIC ID"))</f>
        <v/>
      </c>
      <c r="E803" s="28">
        <f>IF($C803="","",IFERROR(INDEX('Topic Plan'!$D$5:$D$115,MATCH($C803,'Topic Plan'!$B$5:$B$115,0)),""))</f>
        <v/>
      </c>
      <c r="F803" s="28">
        <f>IF($C803="","",IFERROR(INDEX('Topic Plan'!$E$5:$E$115,MATCH($C803,'Topic Plan'!$B$5:$B$115,0)),""))</f>
        <v/>
      </c>
      <c r="G803" s="23" t="n"/>
      <c r="H803" s="27" t="n"/>
      <c r="I803" s="27" t="n"/>
      <c r="J803" s="27" t="n"/>
      <c r="K803" s="27" t="n"/>
      <c r="L803" s="27" t="n"/>
      <c r="M803" s="27" t="n"/>
      <c r="N803" s="23" t="n"/>
      <c r="O803" s="29" t="n"/>
      <c r="P803" s="29" t="n"/>
      <c r="Q803" s="29" t="n"/>
      <c r="R803" s="29" t="n"/>
      <c r="S803" s="29" t="n"/>
      <c r="T803" s="29" t="n"/>
      <c r="U803" s="29" t="n"/>
      <c r="V803" s="30">
        <f>IF(OR($A803="",$U803=""),"",IF($S803&lt;&gt;"",MAX(0,$S803-$U803),MAX(0,TODAY()-$U803)))</f>
        <v/>
      </c>
      <c r="W803" s="30">
        <f>IF($A803="","",IF(OR($N803="Live",$N803="Retired"),"",TODAY()-MAX($O803,$P803,$Q803,$R803)))</f>
        <v/>
      </c>
      <c r="X803" s="23" t="n"/>
      <c r="Y803" s="30">
        <f>IF($A803="","",COUNTIFS('Issues Log'!$C$5:$C$504,$A803,'Issues Log'!$K$5:$K$504,"Open")+COUNTIFS('Issues Log'!$C$5:$C$504,$A803,'Issues Log'!$K$5:$K$504,"In progress"))</f>
        <v/>
      </c>
      <c r="Z803" s="27" t="n"/>
    </row>
    <row r="804">
      <c r="A804" s="27" t="n"/>
      <c r="B804" s="27" t="n"/>
      <c r="C804" s="27" t="n"/>
      <c r="D804" s="28">
        <f>IF($C804="","",IFERROR(INDEX('Topic Plan'!$C$5:$C$115,MATCH($C804,'Topic Plan'!$B$5:$B$115,0)),"UNKNOWN TOPIC ID"))</f>
        <v/>
      </c>
      <c r="E804" s="28">
        <f>IF($C804="","",IFERROR(INDEX('Topic Plan'!$D$5:$D$115,MATCH($C804,'Topic Plan'!$B$5:$B$115,0)),""))</f>
        <v/>
      </c>
      <c r="F804" s="28">
        <f>IF($C804="","",IFERROR(INDEX('Topic Plan'!$E$5:$E$115,MATCH($C804,'Topic Plan'!$B$5:$B$115,0)),""))</f>
        <v/>
      </c>
      <c r="G804" s="23" t="n"/>
      <c r="H804" s="27" t="n"/>
      <c r="I804" s="27" t="n"/>
      <c r="J804" s="27" t="n"/>
      <c r="K804" s="27" t="n"/>
      <c r="L804" s="27" t="n"/>
      <c r="M804" s="27" t="n"/>
      <c r="N804" s="23" t="n"/>
      <c r="O804" s="29" t="n"/>
      <c r="P804" s="29" t="n"/>
      <c r="Q804" s="29" t="n"/>
      <c r="R804" s="29" t="n"/>
      <c r="S804" s="29" t="n"/>
      <c r="T804" s="29" t="n"/>
      <c r="U804" s="29" t="n"/>
      <c r="V804" s="30">
        <f>IF(OR($A804="",$U804=""),"",IF($S804&lt;&gt;"",MAX(0,$S804-$U804),MAX(0,TODAY()-$U804)))</f>
        <v/>
      </c>
      <c r="W804" s="30">
        <f>IF($A804="","",IF(OR($N804="Live",$N804="Retired"),"",TODAY()-MAX($O804,$P804,$Q804,$R804)))</f>
        <v/>
      </c>
      <c r="X804" s="23" t="n"/>
      <c r="Y804" s="30">
        <f>IF($A804="","",COUNTIFS('Issues Log'!$C$5:$C$504,$A804,'Issues Log'!$K$5:$K$504,"Open")+COUNTIFS('Issues Log'!$C$5:$C$504,$A804,'Issues Log'!$K$5:$K$504,"In progress"))</f>
        <v/>
      </c>
      <c r="Z804" s="27" t="n"/>
    </row>
    <row r="805">
      <c r="A805" s="27" t="n"/>
      <c r="B805" s="27" t="n"/>
      <c r="C805" s="27" t="n"/>
      <c r="D805" s="28">
        <f>IF($C805="","",IFERROR(INDEX('Topic Plan'!$C$5:$C$115,MATCH($C805,'Topic Plan'!$B$5:$B$115,0)),"UNKNOWN TOPIC ID"))</f>
        <v/>
      </c>
      <c r="E805" s="28">
        <f>IF($C805="","",IFERROR(INDEX('Topic Plan'!$D$5:$D$115,MATCH($C805,'Topic Plan'!$B$5:$B$115,0)),""))</f>
        <v/>
      </c>
      <c r="F805" s="28">
        <f>IF($C805="","",IFERROR(INDEX('Topic Plan'!$E$5:$E$115,MATCH($C805,'Topic Plan'!$B$5:$B$115,0)),""))</f>
        <v/>
      </c>
      <c r="G805" s="23" t="n"/>
      <c r="H805" s="27" t="n"/>
      <c r="I805" s="27" t="n"/>
      <c r="J805" s="27" t="n"/>
      <c r="K805" s="27" t="n"/>
      <c r="L805" s="27" t="n"/>
      <c r="M805" s="27" t="n"/>
      <c r="N805" s="23" t="n"/>
      <c r="O805" s="29" t="n"/>
      <c r="P805" s="29" t="n"/>
      <c r="Q805" s="29" t="n"/>
      <c r="R805" s="29" t="n"/>
      <c r="S805" s="29" t="n"/>
      <c r="T805" s="29" t="n"/>
      <c r="U805" s="29" t="n"/>
      <c r="V805" s="30">
        <f>IF(OR($A805="",$U805=""),"",IF($S805&lt;&gt;"",MAX(0,$S805-$U805),MAX(0,TODAY()-$U805)))</f>
        <v/>
      </c>
      <c r="W805" s="30">
        <f>IF($A805="","",IF(OR($N805="Live",$N805="Retired"),"",TODAY()-MAX($O805,$P805,$Q805,$R805)))</f>
        <v/>
      </c>
      <c r="X805" s="23" t="n"/>
      <c r="Y805" s="30">
        <f>IF($A805="","",COUNTIFS('Issues Log'!$C$5:$C$504,$A805,'Issues Log'!$K$5:$K$504,"Open")+COUNTIFS('Issues Log'!$C$5:$C$504,$A805,'Issues Log'!$K$5:$K$504,"In progress"))</f>
        <v/>
      </c>
      <c r="Z805" s="27" t="n"/>
    </row>
    <row r="806">
      <c r="A806" s="27" t="n"/>
      <c r="B806" s="27" t="n"/>
      <c r="C806" s="27" t="n"/>
      <c r="D806" s="28">
        <f>IF($C806="","",IFERROR(INDEX('Topic Plan'!$C$5:$C$115,MATCH($C806,'Topic Plan'!$B$5:$B$115,0)),"UNKNOWN TOPIC ID"))</f>
        <v/>
      </c>
      <c r="E806" s="28">
        <f>IF($C806="","",IFERROR(INDEX('Topic Plan'!$D$5:$D$115,MATCH($C806,'Topic Plan'!$B$5:$B$115,0)),""))</f>
        <v/>
      </c>
      <c r="F806" s="28">
        <f>IF($C806="","",IFERROR(INDEX('Topic Plan'!$E$5:$E$115,MATCH($C806,'Topic Plan'!$B$5:$B$115,0)),""))</f>
        <v/>
      </c>
      <c r="G806" s="23" t="n"/>
      <c r="H806" s="27" t="n"/>
      <c r="I806" s="27" t="n"/>
      <c r="J806" s="27" t="n"/>
      <c r="K806" s="27" t="n"/>
      <c r="L806" s="27" t="n"/>
      <c r="M806" s="27" t="n"/>
      <c r="N806" s="23" t="n"/>
      <c r="O806" s="29" t="n"/>
      <c r="P806" s="29" t="n"/>
      <c r="Q806" s="29" t="n"/>
      <c r="R806" s="29" t="n"/>
      <c r="S806" s="29" t="n"/>
      <c r="T806" s="29" t="n"/>
      <c r="U806" s="29" t="n"/>
      <c r="V806" s="30">
        <f>IF(OR($A806="",$U806=""),"",IF($S806&lt;&gt;"",MAX(0,$S806-$U806),MAX(0,TODAY()-$U806)))</f>
        <v/>
      </c>
      <c r="W806" s="30">
        <f>IF($A806="","",IF(OR($N806="Live",$N806="Retired"),"",TODAY()-MAX($O806,$P806,$Q806,$R806)))</f>
        <v/>
      </c>
      <c r="X806" s="23" t="n"/>
      <c r="Y806" s="30">
        <f>IF($A806="","",COUNTIFS('Issues Log'!$C$5:$C$504,$A806,'Issues Log'!$K$5:$K$504,"Open")+COUNTIFS('Issues Log'!$C$5:$C$504,$A806,'Issues Log'!$K$5:$K$504,"In progress"))</f>
        <v/>
      </c>
      <c r="Z806" s="27" t="n"/>
    </row>
    <row r="807">
      <c r="A807" s="27" t="n"/>
      <c r="B807" s="27" t="n"/>
      <c r="C807" s="27" t="n"/>
      <c r="D807" s="28">
        <f>IF($C807="","",IFERROR(INDEX('Topic Plan'!$C$5:$C$115,MATCH($C807,'Topic Plan'!$B$5:$B$115,0)),"UNKNOWN TOPIC ID"))</f>
        <v/>
      </c>
      <c r="E807" s="28">
        <f>IF($C807="","",IFERROR(INDEX('Topic Plan'!$D$5:$D$115,MATCH($C807,'Topic Plan'!$B$5:$B$115,0)),""))</f>
        <v/>
      </c>
      <c r="F807" s="28">
        <f>IF($C807="","",IFERROR(INDEX('Topic Plan'!$E$5:$E$115,MATCH($C807,'Topic Plan'!$B$5:$B$115,0)),""))</f>
        <v/>
      </c>
      <c r="G807" s="23" t="n"/>
      <c r="H807" s="27" t="n"/>
      <c r="I807" s="27" t="n"/>
      <c r="J807" s="27" t="n"/>
      <c r="K807" s="27" t="n"/>
      <c r="L807" s="27" t="n"/>
      <c r="M807" s="27" t="n"/>
      <c r="N807" s="23" t="n"/>
      <c r="O807" s="29" t="n"/>
      <c r="P807" s="29" t="n"/>
      <c r="Q807" s="29" t="n"/>
      <c r="R807" s="29" t="n"/>
      <c r="S807" s="29" t="n"/>
      <c r="T807" s="29" t="n"/>
      <c r="U807" s="29" t="n"/>
      <c r="V807" s="30">
        <f>IF(OR($A807="",$U807=""),"",IF($S807&lt;&gt;"",MAX(0,$S807-$U807),MAX(0,TODAY()-$U807)))</f>
        <v/>
      </c>
      <c r="W807" s="30">
        <f>IF($A807="","",IF(OR($N807="Live",$N807="Retired"),"",TODAY()-MAX($O807,$P807,$Q807,$R807)))</f>
        <v/>
      </c>
      <c r="X807" s="23" t="n"/>
      <c r="Y807" s="30">
        <f>IF($A807="","",COUNTIFS('Issues Log'!$C$5:$C$504,$A807,'Issues Log'!$K$5:$K$504,"Open")+COUNTIFS('Issues Log'!$C$5:$C$504,$A807,'Issues Log'!$K$5:$K$504,"In progress"))</f>
        <v/>
      </c>
      <c r="Z807" s="27" t="n"/>
    </row>
    <row r="808">
      <c r="A808" s="27" t="n"/>
      <c r="B808" s="27" t="n"/>
      <c r="C808" s="27" t="n"/>
      <c r="D808" s="28">
        <f>IF($C808="","",IFERROR(INDEX('Topic Plan'!$C$5:$C$115,MATCH($C808,'Topic Plan'!$B$5:$B$115,0)),"UNKNOWN TOPIC ID"))</f>
        <v/>
      </c>
      <c r="E808" s="28">
        <f>IF($C808="","",IFERROR(INDEX('Topic Plan'!$D$5:$D$115,MATCH($C808,'Topic Plan'!$B$5:$B$115,0)),""))</f>
        <v/>
      </c>
      <c r="F808" s="28">
        <f>IF($C808="","",IFERROR(INDEX('Topic Plan'!$E$5:$E$115,MATCH($C808,'Topic Plan'!$B$5:$B$115,0)),""))</f>
        <v/>
      </c>
      <c r="G808" s="23" t="n"/>
      <c r="H808" s="27" t="n"/>
      <c r="I808" s="27" t="n"/>
      <c r="J808" s="27" t="n"/>
      <c r="K808" s="27" t="n"/>
      <c r="L808" s="27" t="n"/>
      <c r="M808" s="27" t="n"/>
      <c r="N808" s="23" t="n"/>
      <c r="O808" s="29" t="n"/>
      <c r="P808" s="29" t="n"/>
      <c r="Q808" s="29" t="n"/>
      <c r="R808" s="29" t="n"/>
      <c r="S808" s="29" t="n"/>
      <c r="T808" s="29" t="n"/>
      <c r="U808" s="29" t="n"/>
      <c r="V808" s="30">
        <f>IF(OR($A808="",$U808=""),"",IF($S808&lt;&gt;"",MAX(0,$S808-$U808),MAX(0,TODAY()-$U808)))</f>
        <v/>
      </c>
      <c r="W808" s="30">
        <f>IF($A808="","",IF(OR($N808="Live",$N808="Retired"),"",TODAY()-MAX($O808,$P808,$Q808,$R808)))</f>
        <v/>
      </c>
      <c r="X808" s="23" t="n"/>
      <c r="Y808" s="30">
        <f>IF($A808="","",COUNTIFS('Issues Log'!$C$5:$C$504,$A808,'Issues Log'!$K$5:$K$504,"Open")+COUNTIFS('Issues Log'!$C$5:$C$504,$A808,'Issues Log'!$K$5:$K$504,"In progress"))</f>
        <v/>
      </c>
      <c r="Z808" s="27" t="n"/>
    </row>
    <row r="809">
      <c r="A809" s="27" t="n"/>
      <c r="B809" s="27" t="n"/>
      <c r="C809" s="27" t="n"/>
      <c r="D809" s="28">
        <f>IF($C809="","",IFERROR(INDEX('Topic Plan'!$C$5:$C$115,MATCH($C809,'Topic Plan'!$B$5:$B$115,0)),"UNKNOWN TOPIC ID"))</f>
        <v/>
      </c>
      <c r="E809" s="28">
        <f>IF($C809="","",IFERROR(INDEX('Topic Plan'!$D$5:$D$115,MATCH($C809,'Topic Plan'!$B$5:$B$115,0)),""))</f>
        <v/>
      </c>
      <c r="F809" s="28">
        <f>IF($C809="","",IFERROR(INDEX('Topic Plan'!$E$5:$E$115,MATCH($C809,'Topic Plan'!$B$5:$B$115,0)),""))</f>
        <v/>
      </c>
      <c r="G809" s="23" t="n"/>
      <c r="H809" s="27" t="n"/>
      <c r="I809" s="27" t="n"/>
      <c r="J809" s="27" t="n"/>
      <c r="K809" s="27" t="n"/>
      <c r="L809" s="27" t="n"/>
      <c r="M809" s="27" t="n"/>
      <c r="N809" s="23" t="n"/>
      <c r="O809" s="29" t="n"/>
      <c r="P809" s="29" t="n"/>
      <c r="Q809" s="29" t="n"/>
      <c r="R809" s="29" t="n"/>
      <c r="S809" s="29" t="n"/>
      <c r="T809" s="29" t="n"/>
      <c r="U809" s="29" t="n"/>
      <c r="V809" s="30">
        <f>IF(OR($A809="",$U809=""),"",IF($S809&lt;&gt;"",MAX(0,$S809-$U809),MAX(0,TODAY()-$U809)))</f>
        <v/>
      </c>
      <c r="W809" s="30">
        <f>IF($A809="","",IF(OR($N809="Live",$N809="Retired"),"",TODAY()-MAX($O809,$P809,$Q809,$R809)))</f>
        <v/>
      </c>
      <c r="X809" s="23" t="n"/>
      <c r="Y809" s="30">
        <f>IF($A809="","",COUNTIFS('Issues Log'!$C$5:$C$504,$A809,'Issues Log'!$K$5:$K$504,"Open")+COUNTIFS('Issues Log'!$C$5:$C$504,$A809,'Issues Log'!$K$5:$K$504,"In progress"))</f>
        <v/>
      </c>
      <c r="Z809" s="27" t="n"/>
    </row>
    <row r="810">
      <c r="A810" s="27" t="n"/>
      <c r="B810" s="27" t="n"/>
      <c r="C810" s="27" t="n"/>
      <c r="D810" s="28">
        <f>IF($C810="","",IFERROR(INDEX('Topic Plan'!$C$5:$C$115,MATCH($C810,'Topic Plan'!$B$5:$B$115,0)),"UNKNOWN TOPIC ID"))</f>
        <v/>
      </c>
      <c r="E810" s="28">
        <f>IF($C810="","",IFERROR(INDEX('Topic Plan'!$D$5:$D$115,MATCH($C810,'Topic Plan'!$B$5:$B$115,0)),""))</f>
        <v/>
      </c>
      <c r="F810" s="28">
        <f>IF($C810="","",IFERROR(INDEX('Topic Plan'!$E$5:$E$115,MATCH($C810,'Topic Plan'!$B$5:$B$115,0)),""))</f>
        <v/>
      </c>
      <c r="G810" s="23" t="n"/>
      <c r="H810" s="27" t="n"/>
      <c r="I810" s="27" t="n"/>
      <c r="J810" s="27" t="n"/>
      <c r="K810" s="27" t="n"/>
      <c r="L810" s="27" t="n"/>
      <c r="M810" s="27" t="n"/>
      <c r="N810" s="23" t="n"/>
      <c r="O810" s="29" t="n"/>
      <c r="P810" s="29" t="n"/>
      <c r="Q810" s="29" t="n"/>
      <c r="R810" s="29" t="n"/>
      <c r="S810" s="29" t="n"/>
      <c r="T810" s="29" t="n"/>
      <c r="U810" s="29" t="n"/>
      <c r="V810" s="30">
        <f>IF(OR($A810="",$U810=""),"",IF($S810&lt;&gt;"",MAX(0,$S810-$U810),MAX(0,TODAY()-$U810)))</f>
        <v/>
      </c>
      <c r="W810" s="30">
        <f>IF($A810="","",IF(OR($N810="Live",$N810="Retired"),"",TODAY()-MAX($O810,$P810,$Q810,$R810)))</f>
        <v/>
      </c>
      <c r="X810" s="23" t="n"/>
      <c r="Y810" s="30">
        <f>IF($A810="","",COUNTIFS('Issues Log'!$C$5:$C$504,$A810,'Issues Log'!$K$5:$K$504,"Open")+COUNTIFS('Issues Log'!$C$5:$C$504,$A810,'Issues Log'!$K$5:$K$504,"In progress"))</f>
        <v/>
      </c>
      <c r="Z810" s="27" t="n"/>
    </row>
    <row r="811">
      <c r="A811" s="27" t="n"/>
      <c r="B811" s="27" t="n"/>
      <c r="C811" s="27" t="n"/>
      <c r="D811" s="28">
        <f>IF($C811="","",IFERROR(INDEX('Topic Plan'!$C$5:$C$115,MATCH($C811,'Topic Plan'!$B$5:$B$115,0)),"UNKNOWN TOPIC ID"))</f>
        <v/>
      </c>
      <c r="E811" s="28">
        <f>IF($C811="","",IFERROR(INDEX('Topic Plan'!$D$5:$D$115,MATCH($C811,'Topic Plan'!$B$5:$B$115,0)),""))</f>
        <v/>
      </c>
      <c r="F811" s="28">
        <f>IF($C811="","",IFERROR(INDEX('Topic Plan'!$E$5:$E$115,MATCH($C811,'Topic Plan'!$B$5:$B$115,0)),""))</f>
        <v/>
      </c>
      <c r="G811" s="23" t="n"/>
      <c r="H811" s="27" t="n"/>
      <c r="I811" s="27" t="n"/>
      <c r="J811" s="27" t="n"/>
      <c r="K811" s="27" t="n"/>
      <c r="L811" s="27" t="n"/>
      <c r="M811" s="27" t="n"/>
      <c r="N811" s="23" t="n"/>
      <c r="O811" s="29" t="n"/>
      <c r="P811" s="29" t="n"/>
      <c r="Q811" s="29" t="n"/>
      <c r="R811" s="29" t="n"/>
      <c r="S811" s="29" t="n"/>
      <c r="T811" s="29" t="n"/>
      <c r="U811" s="29" t="n"/>
      <c r="V811" s="30">
        <f>IF(OR($A811="",$U811=""),"",IF($S811&lt;&gt;"",MAX(0,$S811-$U811),MAX(0,TODAY()-$U811)))</f>
        <v/>
      </c>
      <c r="W811" s="30">
        <f>IF($A811="","",IF(OR($N811="Live",$N811="Retired"),"",TODAY()-MAX($O811,$P811,$Q811,$R811)))</f>
        <v/>
      </c>
      <c r="X811" s="23" t="n"/>
      <c r="Y811" s="30">
        <f>IF($A811="","",COUNTIFS('Issues Log'!$C$5:$C$504,$A811,'Issues Log'!$K$5:$K$504,"Open")+COUNTIFS('Issues Log'!$C$5:$C$504,$A811,'Issues Log'!$K$5:$K$504,"In progress"))</f>
        <v/>
      </c>
      <c r="Z811" s="27" t="n"/>
    </row>
    <row r="812">
      <c r="A812" s="27" t="n"/>
      <c r="B812" s="27" t="n"/>
      <c r="C812" s="27" t="n"/>
      <c r="D812" s="28">
        <f>IF($C812="","",IFERROR(INDEX('Topic Plan'!$C$5:$C$115,MATCH($C812,'Topic Plan'!$B$5:$B$115,0)),"UNKNOWN TOPIC ID"))</f>
        <v/>
      </c>
      <c r="E812" s="28">
        <f>IF($C812="","",IFERROR(INDEX('Topic Plan'!$D$5:$D$115,MATCH($C812,'Topic Plan'!$B$5:$B$115,0)),""))</f>
        <v/>
      </c>
      <c r="F812" s="28">
        <f>IF($C812="","",IFERROR(INDEX('Topic Plan'!$E$5:$E$115,MATCH($C812,'Topic Plan'!$B$5:$B$115,0)),""))</f>
        <v/>
      </c>
      <c r="G812" s="23" t="n"/>
      <c r="H812" s="27" t="n"/>
      <c r="I812" s="27" t="n"/>
      <c r="J812" s="27" t="n"/>
      <c r="K812" s="27" t="n"/>
      <c r="L812" s="27" t="n"/>
      <c r="M812" s="27" t="n"/>
      <c r="N812" s="23" t="n"/>
      <c r="O812" s="29" t="n"/>
      <c r="P812" s="29" t="n"/>
      <c r="Q812" s="29" t="n"/>
      <c r="R812" s="29" t="n"/>
      <c r="S812" s="29" t="n"/>
      <c r="T812" s="29" t="n"/>
      <c r="U812" s="29" t="n"/>
      <c r="V812" s="30">
        <f>IF(OR($A812="",$U812=""),"",IF($S812&lt;&gt;"",MAX(0,$S812-$U812),MAX(0,TODAY()-$U812)))</f>
        <v/>
      </c>
      <c r="W812" s="30">
        <f>IF($A812="","",IF(OR($N812="Live",$N812="Retired"),"",TODAY()-MAX($O812,$P812,$Q812,$R812)))</f>
        <v/>
      </c>
      <c r="X812" s="23" t="n"/>
      <c r="Y812" s="30">
        <f>IF($A812="","",COUNTIFS('Issues Log'!$C$5:$C$504,$A812,'Issues Log'!$K$5:$K$504,"Open")+COUNTIFS('Issues Log'!$C$5:$C$504,$A812,'Issues Log'!$K$5:$K$504,"In progress"))</f>
        <v/>
      </c>
      <c r="Z812" s="27" t="n"/>
    </row>
    <row r="813">
      <c r="A813" s="27" t="n"/>
      <c r="B813" s="27" t="n"/>
      <c r="C813" s="27" t="n"/>
      <c r="D813" s="28">
        <f>IF($C813="","",IFERROR(INDEX('Topic Plan'!$C$5:$C$115,MATCH($C813,'Topic Plan'!$B$5:$B$115,0)),"UNKNOWN TOPIC ID"))</f>
        <v/>
      </c>
      <c r="E813" s="28">
        <f>IF($C813="","",IFERROR(INDEX('Topic Plan'!$D$5:$D$115,MATCH($C813,'Topic Plan'!$B$5:$B$115,0)),""))</f>
        <v/>
      </c>
      <c r="F813" s="28">
        <f>IF($C813="","",IFERROR(INDEX('Topic Plan'!$E$5:$E$115,MATCH($C813,'Topic Plan'!$B$5:$B$115,0)),""))</f>
        <v/>
      </c>
      <c r="G813" s="23" t="n"/>
      <c r="H813" s="27" t="n"/>
      <c r="I813" s="27" t="n"/>
      <c r="J813" s="27" t="n"/>
      <c r="K813" s="27" t="n"/>
      <c r="L813" s="27" t="n"/>
      <c r="M813" s="27" t="n"/>
      <c r="N813" s="23" t="n"/>
      <c r="O813" s="29" t="n"/>
      <c r="P813" s="29" t="n"/>
      <c r="Q813" s="29" t="n"/>
      <c r="R813" s="29" t="n"/>
      <c r="S813" s="29" t="n"/>
      <c r="T813" s="29" t="n"/>
      <c r="U813" s="29" t="n"/>
      <c r="V813" s="30">
        <f>IF(OR($A813="",$U813=""),"",IF($S813&lt;&gt;"",MAX(0,$S813-$U813),MAX(0,TODAY()-$U813)))</f>
        <v/>
      </c>
      <c r="W813" s="30">
        <f>IF($A813="","",IF(OR($N813="Live",$N813="Retired"),"",TODAY()-MAX($O813,$P813,$Q813,$R813)))</f>
        <v/>
      </c>
      <c r="X813" s="23" t="n"/>
      <c r="Y813" s="30">
        <f>IF($A813="","",COUNTIFS('Issues Log'!$C$5:$C$504,$A813,'Issues Log'!$K$5:$K$504,"Open")+COUNTIFS('Issues Log'!$C$5:$C$504,$A813,'Issues Log'!$K$5:$K$504,"In progress"))</f>
        <v/>
      </c>
      <c r="Z813" s="27" t="n"/>
    </row>
    <row r="814">
      <c r="A814" s="27" t="n"/>
      <c r="B814" s="27" t="n"/>
      <c r="C814" s="27" t="n"/>
      <c r="D814" s="28">
        <f>IF($C814="","",IFERROR(INDEX('Topic Plan'!$C$5:$C$115,MATCH($C814,'Topic Plan'!$B$5:$B$115,0)),"UNKNOWN TOPIC ID"))</f>
        <v/>
      </c>
      <c r="E814" s="28">
        <f>IF($C814="","",IFERROR(INDEX('Topic Plan'!$D$5:$D$115,MATCH($C814,'Topic Plan'!$B$5:$B$115,0)),""))</f>
        <v/>
      </c>
      <c r="F814" s="28">
        <f>IF($C814="","",IFERROR(INDEX('Topic Plan'!$E$5:$E$115,MATCH($C814,'Topic Plan'!$B$5:$B$115,0)),""))</f>
        <v/>
      </c>
      <c r="G814" s="23" t="n"/>
      <c r="H814" s="27" t="n"/>
      <c r="I814" s="27" t="n"/>
      <c r="J814" s="27" t="n"/>
      <c r="K814" s="27" t="n"/>
      <c r="L814" s="27" t="n"/>
      <c r="M814" s="27" t="n"/>
      <c r="N814" s="23" t="n"/>
      <c r="O814" s="29" t="n"/>
      <c r="P814" s="29" t="n"/>
      <c r="Q814" s="29" t="n"/>
      <c r="R814" s="29" t="n"/>
      <c r="S814" s="29" t="n"/>
      <c r="T814" s="29" t="n"/>
      <c r="U814" s="29" t="n"/>
      <c r="V814" s="30">
        <f>IF(OR($A814="",$U814=""),"",IF($S814&lt;&gt;"",MAX(0,$S814-$U814),MAX(0,TODAY()-$U814)))</f>
        <v/>
      </c>
      <c r="W814" s="30">
        <f>IF($A814="","",IF(OR($N814="Live",$N814="Retired"),"",TODAY()-MAX($O814,$P814,$Q814,$R814)))</f>
        <v/>
      </c>
      <c r="X814" s="23" t="n"/>
      <c r="Y814" s="30">
        <f>IF($A814="","",COUNTIFS('Issues Log'!$C$5:$C$504,$A814,'Issues Log'!$K$5:$K$504,"Open")+COUNTIFS('Issues Log'!$C$5:$C$504,$A814,'Issues Log'!$K$5:$K$504,"In progress"))</f>
        <v/>
      </c>
      <c r="Z814" s="27" t="n"/>
    </row>
    <row r="815">
      <c r="A815" s="27" t="n"/>
      <c r="B815" s="27" t="n"/>
      <c r="C815" s="27" t="n"/>
      <c r="D815" s="28">
        <f>IF($C815="","",IFERROR(INDEX('Topic Plan'!$C$5:$C$115,MATCH($C815,'Topic Plan'!$B$5:$B$115,0)),"UNKNOWN TOPIC ID"))</f>
        <v/>
      </c>
      <c r="E815" s="28">
        <f>IF($C815="","",IFERROR(INDEX('Topic Plan'!$D$5:$D$115,MATCH($C815,'Topic Plan'!$B$5:$B$115,0)),""))</f>
        <v/>
      </c>
      <c r="F815" s="28">
        <f>IF($C815="","",IFERROR(INDEX('Topic Plan'!$E$5:$E$115,MATCH($C815,'Topic Plan'!$B$5:$B$115,0)),""))</f>
        <v/>
      </c>
      <c r="G815" s="23" t="n"/>
      <c r="H815" s="27" t="n"/>
      <c r="I815" s="27" t="n"/>
      <c r="J815" s="27" t="n"/>
      <c r="K815" s="27" t="n"/>
      <c r="L815" s="27" t="n"/>
      <c r="M815" s="27" t="n"/>
      <c r="N815" s="23" t="n"/>
      <c r="O815" s="29" t="n"/>
      <c r="P815" s="29" t="n"/>
      <c r="Q815" s="29" t="n"/>
      <c r="R815" s="29" t="n"/>
      <c r="S815" s="29" t="n"/>
      <c r="T815" s="29" t="n"/>
      <c r="U815" s="29" t="n"/>
      <c r="V815" s="30">
        <f>IF(OR($A815="",$U815=""),"",IF($S815&lt;&gt;"",MAX(0,$S815-$U815),MAX(0,TODAY()-$U815)))</f>
        <v/>
      </c>
      <c r="W815" s="30">
        <f>IF($A815="","",IF(OR($N815="Live",$N815="Retired"),"",TODAY()-MAX($O815,$P815,$Q815,$R815)))</f>
        <v/>
      </c>
      <c r="X815" s="23" t="n"/>
      <c r="Y815" s="30">
        <f>IF($A815="","",COUNTIFS('Issues Log'!$C$5:$C$504,$A815,'Issues Log'!$K$5:$K$504,"Open")+COUNTIFS('Issues Log'!$C$5:$C$504,$A815,'Issues Log'!$K$5:$K$504,"In progress"))</f>
        <v/>
      </c>
      <c r="Z815" s="27" t="n"/>
    </row>
    <row r="816">
      <c r="A816" s="27" t="n"/>
      <c r="B816" s="27" t="n"/>
      <c r="C816" s="27" t="n"/>
      <c r="D816" s="28">
        <f>IF($C816="","",IFERROR(INDEX('Topic Plan'!$C$5:$C$115,MATCH($C816,'Topic Plan'!$B$5:$B$115,0)),"UNKNOWN TOPIC ID"))</f>
        <v/>
      </c>
      <c r="E816" s="28">
        <f>IF($C816="","",IFERROR(INDEX('Topic Plan'!$D$5:$D$115,MATCH($C816,'Topic Plan'!$B$5:$B$115,0)),""))</f>
        <v/>
      </c>
      <c r="F816" s="28">
        <f>IF($C816="","",IFERROR(INDEX('Topic Plan'!$E$5:$E$115,MATCH($C816,'Topic Plan'!$B$5:$B$115,0)),""))</f>
        <v/>
      </c>
      <c r="G816" s="23" t="n"/>
      <c r="H816" s="27" t="n"/>
      <c r="I816" s="27" t="n"/>
      <c r="J816" s="27" t="n"/>
      <c r="K816" s="27" t="n"/>
      <c r="L816" s="27" t="n"/>
      <c r="M816" s="27" t="n"/>
      <c r="N816" s="23" t="n"/>
      <c r="O816" s="29" t="n"/>
      <c r="P816" s="29" t="n"/>
      <c r="Q816" s="29" t="n"/>
      <c r="R816" s="29" t="n"/>
      <c r="S816" s="29" t="n"/>
      <c r="T816" s="29" t="n"/>
      <c r="U816" s="29" t="n"/>
      <c r="V816" s="30">
        <f>IF(OR($A816="",$U816=""),"",IF($S816&lt;&gt;"",MAX(0,$S816-$U816),MAX(0,TODAY()-$U816)))</f>
        <v/>
      </c>
      <c r="W816" s="30">
        <f>IF($A816="","",IF(OR($N816="Live",$N816="Retired"),"",TODAY()-MAX($O816,$P816,$Q816,$R816)))</f>
        <v/>
      </c>
      <c r="X816" s="23" t="n"/>
      <c r="Y816" s="30">
        <f>IF($A816="","",COUNTIFS('Issues Log'!$C$5:$C$504,$A816,'Issues Log'!$K$5:$K$504,"Open")+COUNTIFS('Issues Log'!$C$5:$C$504,$A816,'Issues Log'!$K$5:$K$504,"In progress"))</f>
        <v/>
      </c>
      <c r="Z816" s="27" t="n"/>
    </row>
    <row r="817">
      <c r="A817" s="27" t="n"/>
      <c r="B817" s="27" t="n"/>
      <c r="C817" s="27" t="n"/>
      <c r="D817" s="28">
        <f>IF($C817="","",IFERROR(INDEX('Topic Plan'!$C$5:$C$115,MATCH($C817,'Topic Plan'!$B$5:$B$115,0)),"UNKNOWN TOPIC ID"))</f>
        <v/>
      </c>
      <c r="E817" s="28">
        <f>IF($C817="","",IFERROR(INDEX('Topic Plan'!$D$5:$D$115,MATCH($C817,'Topic Plan'!$B$5:$B$115,0)),""))</f>
        <v/>
      </c>
      <c r="F817" s="28">
        <f>IF($C817="","",IFERROR(INDEX('Topic Plan'!$E$5:$E$115,MATCH($C817,'Topic Plan'!$B$5:$B$115,0)),""))</f>
        <v/>
      </c>
      <c r="G817" s="23" t="n"/>
      <c r="H817" s="27" t="n"/>
      <c r="I817" s="27" t="n"/>
      <c r="J817" s="27" t="n"/>
      <c r="K817" s="27" t="n"/>
      <c r="L817" s="27" t="n"/>
      <c r="M817" s="27" t="n"/>
      <c r="N817" s="23" t="n"/>
      <c r="O817" s="29" t="n"/>
      <c r="P817" s="29" t="n"/>
      <c r="Q817" s="29" t="n"/>
      <c r="R817" s="29" t="n"/>
      <c r="S817" s="29" t="n"/>
      <c r="T817" s="29" t="n"/>
      <c r="U817" s="29" t="n"/>
      <c r="V817" s="30">
        <f>IF(OR($A817="",$U817=""),"",IF($S817&lt;&gt;"",MAX(0,$S817-$U817),MAX(0,TODAY()-$U817)))</f>
        <v/>
      </c>
      <c r="W817" s="30">
        <f>IF($A817="","",IF(OR($N817="Live",$N817="Retired"),"",TODAY()-MAX($O817,$P817,$Q817,$R817)))</f>
        <v/>
      </c>
      <c r="X817" s="23" t="n"/>
      <c r="Y817" s="30">
        <f>IF($A817="","",COUNTIFS('Issues Log'!$C$5:$C$504,$A817,'Issues Log'!$K$5:$K$504,"Open")+COUNTIFS('Issues Log'!$C$5:$C$504,$A817,'Issues Log'!$K$5:$K$504,"In progress"))</f>
        <v/>
      </c>
      <c r="Z817" s="27" t="n"/>
    </row>
    <row r="818">
      <c r="A818" s="27" t="n"/>
      <c r="B818" s="27" t="n"/>
      <c r="C818" s="27" t="n"/>
      <c r="D818" s="28">
        <f>IF($C818="","",IFERROR(INDEX('Topic Plan'!$C$5:$C$115,MATCH($C818,'Topic Plan'!$B$5:$B$115,0)),"UNKNOWN TOPIC ID"))</f>
        <v/>
      </c>
      <c r="E818" s="28">
        <f>IF($C818="","",IFERROR(INDEX('Topic Plan'!$D$5:$D$115,MATCH($C818,'Topic Plan'!$B$5:$B$115,0)),""))</f>
        <v/>
      </c>
      <c r="F818" s="28">
        <f>IF($C818="","",IFERROR(INDEX('Topic Plan'!$E$5:$E$115,MATCH($C818,'Topic Plan'!$B$5:$B$115,0)),""))</f>
        <v/>
      </c>
      <c r="G818" s="23" t="n"/>
      <c r="H818" s="27" t="n"/>
      <c r="I818" s="27" t="n"/>
      <c r="J818" s="27" t="n"/>
      <c r="K818" s="27" t="n"/>
      <c r="L818" s="27" t="n"/>
      <c r="M818" s="27" t="n"/>
      <c r="N818" s="23" t="n"/>
      <c r="O818" s="29" t="n"/>
      <c r="P818" s="29" t="n"/>
      <c r="Q818" s="29" t="n"/>
      <c r="R818" s="29" t="n"/>
      <c r="S818" s="29" t="n"/>
      <c r="T818" s="29" t="n"/>
      <c r="U818" s="29" t="n"/>
      <c r="V818" s="30">
        <f>IF(OR($A818="",$U818=""),"",IF($S818&lt;&gt;"",MAX(0,$S818-$U818),MAX(0,TODAY()-$U818)))</f>
        <v/>
      </c>
      <c r="W818" s="30">
        <f>IF($A818="","",IF(OR($N818="Live",$N818="Retired"),"",TODAY()-MAX($O818,$P818,$Q818,$R818)))</f>
        <v/>
      </c>
      <c r="X818" s="23" t="n"/>
      <c r="Y818" s="30">
        <f>IF($A818="","",COUNTIFS('Issues Log'!$C$5:$C$504,$A818,'Issues Log'!$K$5:$K$504,"Open")+COUNTIFS('Issues Log'!$C$5:$C$504,$A818,'Issues Log'!$K$5:$K$504,"In progress"))</f>
        <v/>
      </c>
      <c r="Z818" s="27" t="n"/>
    </row>
    <row r="819">
      <c r="A819" s="27" t="n"/>
      <c r="B819" s="27" t="n"/>
      <c r="C819" s="27" t="n"/>
      <c r="D819" s="28">
        <f>IF($C819="","",IFERROR(INDEX('Topic Plan'!$C$5:$C$115,MATCH($C819,'Topic Plan'!$B$5:$B$115,0)),"UNKNOWN TOPIC ID"))</f>
        <v/>
      </c>
      <c r="E819" s="28">
        <f>IF($C819="","",IFERROR(INDEX('Topic Plan'!$D$5:$D$115,MATCH($C819,'Topic Plan'!$B$5:$B$115,0)),""))</f>
        <v/>
      </c>
      <c r="F819" s="28">
        <f>IF($C819="","",IFERROR(INDEX('Topic Plan'!$E$5:$E$115,MATCH($C819,'Topic Plan'!$B$5:$B$115,0)),""))</f>
        <v/>
      </c>
      <c r="G819" s="23" t="n"/>
      <c r="H819" s="27" t="n"/>
      <c r="I819" s="27" t="n"/>
      <c r="J819" s="27" t="n"/>
      <c r="K819" s="27" t="n"/>
      <c r="L819" s="27" t="n"/>
      <c r="M819" s="27" t="n"/>
      <c r="N819" s="23" t="n"/>
      <c r="O819" s="29" t="n"/>
      <c r="P819" s="29" t="n"/>
      <c r="Q819" s="29" t="n"/>
      <c r="R819" s="29" t="n"/>
      <c r="S819" s="29" t="n"/>
      <c r="T819" s="29" t="n"/>
      <c r="U819" s="29" t="n"/>
      <c r="V819" s="30">
        <f>IF(OR($A819="",$U819=""),"",IF($S819&lt;&gt;"",MAX(0,$S819-$U819),MAX(0,TODAY()-$U819)))</f>
        <v/>
      </c>
      <c r="W819" s="30">
        <f>IF($A819="","",IF(OR($N819="Live",$N819="Retired"),"",TODAY()-MAX($O819,$P819,$Q819,$R819)))</f>
        <v/>
      </c>
      <c r="X819" s="23" t="n"/>
      <c r="Y819" s="30">
        <f>IF($A819="","",COUNTIFS('Issues Log'!$C$5:$C$504,$A819,'Issues Log'!$K$5:$K$504,"Open")+COUNTIFS('Issues Log'!$C$5:$C$504,$A819,'Issues Log'!$K$5:$K$504,"In progress"))</f>
        <v/>
      </c>
      <c r="Z819" s="27" t="n"/>
    </row>
    <row r="820">
      <c r="A820" s="27" t="n"/>
      <c r="B820" s="27" t="n"/>
      <c r="C820" s="27" t="n"/>
      <c r="D820" s="28">
        <f>IF($C820="","",IFERROR(INDEX('Topic Plan'!$C$5:$C$115,MATCH($C820,'Topic Plan'!$B$5:$B$115,0)),"UNKNOWN TOPIC ID"))</f>
        <v/>
      </c>
      <c r="E820" s="28">
        <f>IF($C820="","",IFERROR(INDEX('Topic Plan'!$D$5:$D$115,MATCH($C820,'Topic Plan'!$B$5:$B$115,0)),""))</f>
        <v/>
      </c>
      <c r="F820" s="28">
        <f>IF($C820="","",IFERROR(INDEX('Topic Plan'!$E$5:$E$115,MATCH($C820,'Topic Plan'!$B$5:$B$115,0)),""))</f>
        <v/>
      </c>
      <c r="G820" s="23" t="n"/>
      <c r="H820" s="27" t="n"/>
      <c r="I820" s="27" t="n"/>
      <c r="J820" s="27" t="n"/>
      <c r="K820" s="27" t="n"/>
      <c r="L820" s="27" t="n"/>
      <c r="M820" s="27" t="n"/>
      <c r="N820" s="23" t="n"/>
      <c r="O820" s="29" t="n"/>
      <c r="P820" s="29" t="n"/>
      <c r="Q820" s="29" t="n"/>
      <c r="R820" s="29" t="n"/>
      <c r="S820" s="29" t="n"/>
      <c r="T820" s="29" t="n"/>
      <c r="U820" s="29" t="n"/>
      <c r="V820" s="30">
        <f>IF(OR($A820="",$U820=""),"",IF($S820&lt;&gt;"",MAX(0,$S820-$U820),MAX(0,TODAY()-$U820)))</f>
        <v/>
      </c>
      <c r="W820" s="30">
        <f>IF($A820="","",IF(OR($N820="Live",$N820="Retired"),"",TODAY()-MAX($O820,$P820,$Q820,$R820)))</f>
        <v/>
      </c>
      <c r="X820" s="23" t="n"/>
      <c r="Y820" s="30">
        <f>IF($A820="","",COUNTIFS('Issues Log'!$C$5:$C$504,$A820,'Issues Log'!$K$5:$K$504,"Open")+COUNTIFS('Issues Log'!$C$5:$C$504,$A820,'Issues Log'!$K$5:$K$504,"In progress"))</f>
        <v/>
      </c>
      <c r="Z820" s="27" t="n"/>
    </row>
    <row r="821">
      <c r="A821" s="27" t="n"/>
      <c r="B821" s="27" t="n"/>
      <c r="C821" s="27" t="n"/>
      <c r="D821" s="28">
        <f>IF($C821="","",IFERROR(INDEX('Topic Plan'!$C$5:$C$115,MATCH($C821,'Topic Plan'!$B$5:$B$115,0)),"UNKNOWN TOPIC ID"))</f>
        <v/>
      </c>
      <c r="E821" s="28">
        <f>IF($C821="","",IFERROR(INDEX('Topic Plan'!$D$5:$D$115,MATCH($C821,'Topic Plan'!$B$5:$B$115,0)),""))</f>
        <v/>
      </c>
      <c r="F821" s="28">
        <f>IF($C821="","",IFERROR(INDEX('Topic Plan'!$E$5:$E$115,MATCH($C821,'Topic Plan'!$B$5:$B$115,0)),""))</f>
        <v/>
      </c>
      <c r="G821" s="23" t="n"/>
      <c r="H821" s="27" t="n"/>
      <c r="I821" s="27" t="n"/>
      <c r="J821" s="27" t="n"/>
      <c r="K821" s="27" t="n"/>
      <c r="L821" s="27" t="n"/>
      <c r="M821" s="27" t="n"/>
      <c r="N821" s="23" t="n"/>
      <c r="O821" s="29" t="n"/>
      <c r="P821" s="29" t="n"/>
      <c r="Q821" s="29" t="n"/>
      <c r="R821" s="29" t="n"/>
      <c r="S821" s="29" t="n"/>
      <c r="T821" s="29" t="n"/>
      <c r="U821" s="29" t="n"/>
      <c r="V821" s="30">
        <f>IF(OR($A821="",$U821=""),"",IF($S821&lt;&gt;"",MAX(0,$S821-$U821),MAX(0,TODAY()-$U821)))</f>
        <v/>
      </c>
      <c r="W821" s="30">
        <f>IF($A821="","",IF(OR($N821="Live",$N821="Retired"),"",TODAY()-MAX($O821,$P821,$Q821,$R821)))</f>
        <v/>
      </c>
      <c r="X821" s="23" t="n"/>
      <c r="Y821" s="30">
        <f>IF($A821="","",COUNTIFS('Issues Log'!$C$5:$C$504,$A821,'Issues Log'!$K$5:$K$504,"Open")+COUNTIFS('Issues Log'!$C$5:$C$504,$A821,'Issues Log'!$K$5:$K$504,"In progress"))</f>
        <v/>
      </c>
      <c r="Z821" s="27" t="n"/>
    </row>
    <row r="822">
      <c r="A822" s="27" t="n"/>
      <c r="B822" s="27" t="n"/>
      <c r="C822" s="27" t="n"/>
      <c r="D822" s="28">
        <f>IF($C822="","",IFERROR(INDEX('Topic Plan'!$C$5:$C$115,MATCH($C822,'Topic Plan'!$B$5:$B$115,0)),"UNKNOWN TOPIC ID"))</f>
        <v/>
      </c>
      <c r="E822" s="28">
        <f>IF($C822="","",IFERROR(INDEX('Topic Plan'!$D$5:$D$115,MATCH($C822,'Topic Plan'!$B$5:$B$115,0)),""))</f>
        <v/>
      </c>
      <c r="F822" s="28">
        <f>IF($C822="","",IFERROR(INDEX('Topic Plan'!$E$5:$E$115,MATCH($C822,'Topic Plan'!$B$5:$B$115,0)),""))</f>
        <v/>
      </c>
      <c r="G822" s="23" t="n"/>
      <c r="H822" s="27" t="n"/>
      <c r="I822" s="27" t="n"/>
      <c r="J822" s="27" t="n"/>
      <c r="K822" s="27" t="n"/>
      <c r="L822" s="27" t="n"/>
      <c r="M822" s="27" t="n"/>
      <c r="N822" s="23" t="n"/>
      <c r="O822" s="29" t="n"/>
      <c r="P822" s="29" t="n"/>
      <c r="Q822" s="29" t="n"/>
      <c r="R822" s="29" t="n"/>
      <c r="S822" s="29" t="n"/>
      <c r="T822" s="29" t="n"/>
      <c r="U822" s="29" t="n"/>
      <c r="V822" s="30">
        <f>IF(OR($A822="",$U822=""),"",IF($S822&lt;&gt;"",MAX(0,$S822-$U822),MAX(0,TODAY()-$U822)))</f>
        <v/>
      </c>
      <c r="W822" s="30">
        <f>IF($A822="","",IF(OR($N822="Live",$N822="Retired"),"",TODAY()-MAX($O822,$P822,$Q822,$R822)))</f>
        <v/>
      </c>
      <c r="X822" s="23" t="n"/>
      <c r="Y822" s="30">
        <f>IF($A822="","",COUNTIFS('Issues Log'!$C$5:$C$504,$A822,'Issues Log'!$K$5:$K$504,"Open")+COUNTIFS('Issues Log'!$C$5:$C$504,$A822,'Issues Log'!$K$5:$K$504,"In progress"))</f>
        <v/>
      </c>
      <c r="Z822" s="27" t="n"/>
    </row>
    <row r="823">
      <c r="A823" s="27" t="n"/>
      <c r="B823" s="27" t="n"/>
      <c r="C823" s="27" t="n"/>
      <c r="D823" s="28">
        <f>IF($C823="","",IFERROR(INDEX('Topic Plan'!$C$5:$C$115,MATCH($C823,'Topic Plan'!$B$5:$B$115,0)),"UNKNOWN TOPIC ID"))</f>
        <v/>
      </c>
      <c r="E823" s="28">
        <f>IF($C823="","",IFERROR(INDEX('Topic Plan'!$D$5:$D$115,MATCH($C823,'Topic Plan'!$B$5:$B$115,0)),""))</f>
        <v/>
      </c>
      <c r="F823" s="28">
        <f>IF($C823="","",IFERROR(INDEX('Topic Plan'!$E$5:$E$115,MATCH($C823,'Topic Plan'!$B$5:$B$115,0)),""))</f>
        <v/>
      </c>
      <c r="G823" s="23" t="n"/>
      <c r="H823" s="27" t="n"/>
      <c r="I823" s="27" t="n"/>
      <c r="J823" s="27" t="n"/>
      <c r="K823" s="27" t="n"/>
      <c r="L823" s="27" t="n"/>
      <c r="M823" s="27" t="n"/>
      <c r="N823" s="23" t="n"/>
      <c r="O823" s="29" t="n"/>
      <c r="P823" s="29" t="n"/>
      <c r="Q823" s="29" t="n"/>
      <c r="R823" s="29" t="n"/>
      <c r="S823" s="29" t="n"/>
      <c r="T823" s="29" t="n"/>
      <c r="U823" s="29" t="n"/>
      <c r="V823" s="30">
        <f>IF(OR($A823="",$U823=""),"",IF($S823&lt;&gt;"",MAX(0,$S823-$U823),MAX(0,TODAY()-$U823)))</f>
        <v/>
      </c>
      <c r="W823" s="30">
        <f>IF($A823="","",IF(OR($N823="Live",$N823="Retired"),"",TODAY()-MAX($O823,$P823,$Q823,$R823)))</f>
        <v/>
      </c>
      <c r="X823" s="23" t="n"/>
      <c r="Y823" s="30">
        <f>IF($A823="","",COUNTIFS('Issues Log'!$C$5:$C$504,$A823,'Issues Log'!$K$5:$K$504,"Open")+COUNTIFS('Issues Log'!$C$5:$C$504,$A823,'Issues Log'!$K$5:$K$504,"In progress"))</f>
        <v/>
      </c>
      <c r="Z823" s="27" t="n"/>
    </row>
    <row r="824">
      <c r="A824" s="27" t="n"/>
      <c r="B824" s="27" t="n"/>
      <c r="C824" s="27" t="n"/>
      <c r="D824" s="28">
        <f>IF($C824="","",IFERROR(INDEX('Topic Plan'!$C$5:$C$115,MATCH($C824,'Topic Plan'!$B$5:$B$115,0)),"UNKNOWN TOPIC ID"))</f>
        <v/>
      </c>
      <c r="E824" s="28">
        <f>IF($C824="","",IFERROR(INDEX('Topic Plan'!$D$5:$D$115,MATCH($C824,'Topic Plan'!$B$5:$B$115,0)),""))</f>
        <v/>
      </c>
      <c r="F824" s="28">
        <f>IF($C824="","",IFERROR(INDEX('Topic Plan'!$E$5:$E$115,MATCH($C824,'Topic Plan'!$B$5:$B$115,0)),""))</f>
        <v/>
      </c>
      <c r="G824" s="23" t="n"/>
      <c r="H824" s="27" t="n"/>
      <c r="I824" s="27" t="n"/>
      <c r="J824" s="27" t="n"/>
      <c r="K824" s="27" t="n"/>
      <c r="L824" s="27" t="n"/>
      <c r="M824" s="27" t="n"/>
      <c r="N824" s="23" t="n"/>
      <c r="O824" s="29" t="n"/>
      <c r="P824" s="29" t="n"/>
      <c r="Q824" s="29" t="n"/>
      <c r="R824" s="29" t="n"/>
      <c r="S824" s="29" t="n"/>
      <c r="T824" s="29" t="n"/>
      <c r="U824" s="29" t="n"/>
      <c r="V824" s="30">
        <f>IF(OR($A824="",$U824=""),"",IF($S824&lt;&gt;"",MAX(0,$S824-$U824),MAX(0,TODAY()-$U824)))</f>
        <v/>
      </c>
      <c r="W824" s="30">
        <f>IF($A824="","",IF(OR($N824="Live",$N824="Retired"),"",TODAY()-MAX($O824,$P824,$Q824,$R824)))</f>
        <v/>
      </c>
      <c r="X824" s="23" t="n"/>
      <c r="Y824" s="30">
        <f>IF($A824="","",COUNTIFS('Issues Log'!$C$5:$C$504,$A824,'Issues Log'!$K$5:$K$504,"Open")+COUNTIFS('Issues Log'!$C$5:$C$504,$A824,'Issues Log'!$K$5:$K$504,"In progress"))</f>
        <v/>
      </c>
      <c r="Z824" s="27" t="n"/>
    </row>
    <row r="825">
      <c r="A825" s="27" t="n"/>
      <c r="B825" s="27" t="n"/>
      <c r="C825" s="27" t="n"/>
      <c r="D825" s="28">
        <f>IF($C825="","",IFERROR(INDEX('Topic Plan'!$C$5:$C$115,MATCH($C825,'Topic Plan'!$B$5:$B$115,0)),"UNKNOWN TOPIC ID"))</f>
        <v/>
      </c>
      <c r="E825" s="28">
        <f>IF($C825="","",IFERROR(INDEX('Topic Plan'!$D$5:$D$115,MATCH($C825,'Topic Plan'!$B$5:$B$115,0)),""))</f>
        <v/>
      </c>
      <c r="F825" s="28">
        <f>IF($C825="","",IFERROR(INDEX('Topic Plan'!$E$5:$E$115,MATCH($C825,'Topic Plan'!$B$5:$B$115,0)),""))</f>
        <v/>
      </c>
      <c r="G825" s="23" t="n"/>
      <c r="H825" s="27" t="n"/>
      <c r="I825" s="27" t="n"/>
      <c r="J825" s="27" t="n"/>
      <c r="K825" s="27" t="n"/>
      <c r="L825" s="27" t="n"/>
      <c r="M825" s="27" t="n"/>
      <c r="N825" s="23" t="n"/>
      <c r="O825" s="29" t="n"/>
      <c r="P825" s="29" t="n"/>
      <c r="Q825" s="29" t="n"/>
      <c r="R825" s="29" t="n"/>
      <c r="S825" s="29" t="n"/>
      <c r="T825" s="29" t="n"/>
      <c r="U825" s="29" t="n"/>
      <c r="V825" s="30">
        <f>IF(OR($A825="",$U825=""),"",IF($S825&lt;&gt;"",MAX(0,$S825-$U825),MAX(0,TODAY()-$U825)))</f>
        <v/>
      </c>
      <c r="W825" s="30">
        <f>IF($A825="","",IF(OR($N825="Live",$N825="Retired"),"",TODAY()-MAX($O825,$P825,$Q825,$R825)))</f>
        <v/>
      </c>
      <c r="X825" s="23" t="n"/>
      <c r="Y825" s="30">
        <f>IF($A825="","",COUNTIFS('Issues Log'!$C$5:$C$504,$A825,'Issues Log'!$K$5:$K$504,"Open")+COUNTIFS('Issues Log'!$C$5:$C$504,$A825,'Issues Log'!$K$5:$K$504,"In progress"))</f>
        <v/>
      </c>
      <c r="Z825" s="27" t="n"/>
    </row>
    <row r="826">
      <c r="A826" s="27" t="n"/>
      <c r="B826" s="27" t="n"/>
      <c r="C826" s="27" t="n"/>
      <c r="D826" s="28">
        <f>IF($C826="","",IFERROR(INDEX('Topic Plan'!$C$5:$C$115,MATCH($C826,'Topic Plan'!$B$5:$B$115,0)),"UNKNOWN TOPIC ID"))</f>
        <v/>
      </c>
      <c r="E826" s="28">
        <f>IF($C826="","",IFERROR(INDEX('Topic Plan'!$D$5:$D$115,MATCH($C826,'Topic Plan'!$B$5:$B$115,0)),""))</f>
        <v/>
      </c>
      <c r="F826" s="28">
        <f>IF($C826="","",IFERROR(INDEX('Topic Plan'!$E$5:$E$115,MATCH($C826,'Topic Plan'!$B$5:$B$115,0)),""))</f>
        <v/>
      </c>
      <c r="G826" s="23" t="n"/>
      <c r="H826" s="27" t="n"/>
      <c r="I826" s="27" t="n"/>
      <c r="J826" s="27" t="n"/>
      <c r="K826" s="27" t="n"/>
      <c r="L826" s="27" t="n"/>
      <c r="M826" s="27" t="n"/>
      <c r="N826" s="23" t="n"/>
      <c r="O826" s="29" t="n"/>
      <c r="P826" s="29" t="n"/>
      <c r="Q826" s="29" t="n"/>
      <c r="R826" s="29" t="n"/>
      <c r="S826" s="29" t="n"/>
      <c r="T826" s="29" t="n"/>
      <c r="U826" s="29" t="n"/>
      <c r="V826" s="30">
        <f>IF(OR($A826="",$U826=""),"",IF($S826&lt;&gt;"",MAX(0,$S826-$U826),MAX(0,TODAY()-$U826)))</f>
        <v/>
      </c>
      <c r="W826" s="30">
        <f>IF($A826="","",IF(OR($N826="Live",$N826="Retired"),"",TODAY()-MAX($O826,$P826,$Q826,$R826)))</f>
        <v/>
      </c>
      <c r="X826" s="23" t="n"/>
      <c r="Y826" s="30">
        <f>IF($A826="","",COUNTIFS('Issues Log'!$C$5:$C$504,$A826,'Issues Log'!$K$5:$K$504,"Open")+COUNTIFS('Issues Log'!$C$5:$C$504,$A826,'Issues Log'!$K$5:$K$504,"In progress"))</f>
        <v/>
      </c>
      <c r="Z826" s="27" t="n"/>
    </row>
    <row r="827">
      <c r="A827" s="27" t="n"/>
      <c r="B827" s="27" t="n"/>
      <c r="C827" s="27" t="n"/>
      <c r="D827" s="28">
        <f>IF($C827="","",IFERROR(INDEX('Topic Plan'!$C$5:$C$115,MATCH($C827,'Topic Plan'!$B$5:$B$115,0)),"UNKNOWN TOPIC ID"))</f>
        <v/>
      </c>
      <c r="E827" s="28">
        <f>IF($C827="","",IFERROR(INDEX('Topic Plan'!$D$5:$D$115,MATCH($C827,'Topic Plan'!$B$5:$B$115,0)),""))</f>
        <v/>
      </c>
      <c r="F827" s="28">
        <f>IF($C827="","",IFERROR(INDEX('Topic Plan'!$E$5:$E$115,MATCH($C827,'Topic Plan'!$B$5:$B$115,0)),""))</f>
        <v/>
      </c>
      <c r="G827" s="23" t="n"/>
      <c r="H827" s="27" t="n"/>
      <c r="I827" s="27" t="n"/>
      <c r="J827" s="27" t="n"/>
      <c r="K827" s="27" t="n"/>
      <c r="L827" s="27" t="n"/>
      <c r="M827" s="27" t="n"/>
      <c r="N827" s="23" t="n"/>
      <c r="O827" s="29" t="n"/>
      <c r="P827" s="29" t="n"/>
      <c r="Q827" s="29" t="n"/>
      <c r="R827" s="29" t="n"/>
      <c r="S827" s="29" t="n"/>
      <c r="T827" s="29" t="n"/>
      <c r="U827" s="29" t="n"/>
      <c r="V827" s="30">
        <f>IF(OR($A827="",$U827=""),"",IF($S827&lt;&gt;"",MAX(0,$S827-$U827),MAX(0,TODAY()-$U827)))</f>
        <v/>
      </c>
      <c r="W827" s="30">
        <f>IF($A827="","",IF(OR($N827="Live",$N827="Retired"),"",TODAY()-MAX($O827,$P827,$Q827,$R827)))</f>
        <v/>
      </c>
      <c r="X827" s="23" t="n"/>
      <c r="Y827" s="30">
        <f>IF($A827="","",COUNTIFS('Issues Log'!$C$5:$C$504,$A827,'Issues Log'!$K$5:$K$504,"Open")+COUNTIFS('Issues Log'!$C$5:$C$504,$A827,'Issues Log'!$K$5:$K$504,"In progress"))</f>
        <v/>
      </c>
      <c r="Z827" s="27" t="n"/>
    </row>
    <row r="828">
      <c r="A828" s="27" t="n"/>
      <c r="B828" s="27" t="n"/>
      <c r="C828" s="27" t="n"/>
      <c r="D828" s="28">
        <f>IF($C828="","",IFERROR(INDEX('Topic Plan'!$C$5:$C$115,MATCH($C828,'Topic Plan'!$B$5:$B$115,0)),"UNKNOWN TOPIC ID"))</f>
        <v/>
      </c>
      <c r="E828" s="28">
        <f>IF($C828="","",IFERROR(INDEX('Topic Plan'!$D$5:$D$115,MATCH($C828,'Topic Plan'!$B$5:$B$115,0)),""))</f>
        <v/>
      </c>
      <c r="F828" s="28">
        <f>IF($C828="","",IFERROR(INDEX('Topic Plan'!$E$5:$E$115,MATCH($C828,'Topic Plan'!$B$5:$B$115,0)),""))</f>
        <v/>
      </c>
      <c r="G828" s="23" t="n"/>
      <c r="H828" s="27" t="n"/>
      <c r="I828" s="27" t="n"/>
      <c r="J828" s="27" t="n"/>
      <c r="K828" s="27" t="n"/>
      <c r="L828" s="27" t="n"/>
      <c r="M828" s="27" t="n"/>
      <c r="N828" s="23" t="n"/>
      <c r="O828" s="29" t="n"/>
      <c r="P828" s="29" t="n"/>
      <c r="Q828" s="29" t="n"/>
      <c r="R828" s="29" t="n"/>
      <c r="S828" s="29" t="n"/>
      <c r="T828" s="29" t="n"/>
      <c r="U828" s="29" t="n"/>
      <c r="V828" s="30">
        <f>IF(OR($A828="",$U828=""),"",IF($S828&lt;&gt;"",MAX(0,$S828-$U828),MAX(0,TODAY()-$U828)))</f>
        <v/>
      </c>
      <c r="W828" s="30">
        <f>IF($A828="","",IF(OR($N828="Live",$N828="Retired"),"",TODAY()-MAX($O828,$P828,$Q828,$R828)))</f>
        <v/>
      </c>
      <c r="X828" s="23" t="n"/>
      <c r="Y828" s="30">
        <f>IF($A828="","",COUNTIFS('Issues Log'!$C$5:$C$504,$A828,'Issues Log'!$K$5:$K$504,"Open")+COUNTIFS('Issues Log'!$C$5:$C$504,$A828,'Issues Log'!$K$5:$K$504,"In progress"))</f>
        <v/>
      </c>
      <c r="Z828" s="27" t="n"/>
    </row>
    <row r="829">
      <c r="A829" s="27" t="n"/>
      <c r="B829" s="27" t="n"/>
      <c r="C829" s="27" t="n"/>
      <c r="D829" s="28">
        <f>IF($C829="","",IFERROR(INDEX('Topic Plan'!$C$5:$C$115,MATCH($C829,'Topic Plan'!$B$5:$B$115,0)),"UNKNOWN TOPIC ID"))</f>
        <v/>
      </c>
      <c r="E829" s="28">
        <f>IF($C829="","",IFERROR(INDEX('Topic Plan'!$D$5:$D$115,MATCH($C829,'Topic Plan'!$B$5:$B$115,0)),""))</f>
        <v/>
      </c>
      <c r="F829" s="28">
        <f>IF($C829="","",IFERROR(INDEX('Topic Plan'!$E$5:$E$115,MATCH($C829,'Topic Plan'!$B$5:$B$115,0)),""))</f>
        <v/>
      </c>
      <c r="G829" s="23" t="n"/>
      <c r="H829" s="27" t="n"/>
      <c r="I829" s="27" t="n"/>
      <c r="J829" s="27" t="n"/>
      <c r="K829" s="27" t="n"/>
      <c r="L829" s="27" t="n"/>
      <c r="M829" s="27" t="n"/>
      <c r="N829" s="23" t="n"/>
      <c r="O829" s="29" t="n"/>
      <c r="P829" s="29" t="n"/>
      <c r="Q829" s="29" t="n"/>
      <c r="R829" s="29" t="n"/>
      <c r="S829" s="29" t="n"/>
      <c r="T829" s="29" t="n"/>
      <c r="U829" s="29" t="n"/>
      <c r="V829" s="30">
        <f>IF(OR($A829="",$U829=""),"",IF($S829&lt;&gt;"",MAX(0,$S829-$U829),MAX(0,TODAY()-$U829)))</f>
        <v/>
      </c>
      <c r="W829" s="30">
        <f>IF($A829="","",IF(OR($N829="Live",$N829="Retired"),"",TODAY()-MAX($O829,$P829,$Q829,$R829)))</f>
        <v/>
      </c>
      <c r="X829" s="23" t="n"/>
      <c r="Y829" s="30">
        <f>IF($A829="","",COUNTIFS('Issues Log'!$C$5:$C$504,$A829,'Issues Log'!$K$5:$K$504,"Open")+COUNTIFS('Issues Log'!$C$5:$C$504,$A829,'Issues Log'!$K$5:$K$504,"In progress"))</f>
        <v/>
      </c>
      <c r="Z829" s="27" t="n"/>
    </row>
    <row r="830">
      <c r="A830" s="27" t="n"/>
      <c r="B830" s="27" t="n"/>
      <c r="C830" s="27" t="n"/>
      <c r="D830" s="28">
        <f>IF($C830="","",IFERROR(INDEX('Topic Plan'!$C$5:$C$115,MATCH($C830,'Topic Plan'!$B$5:$B$115,0)),"UNKNOWN TOPIC ID"))</f>
        <v/>
      </c>
      <c r="E830" s="28">
        <f>IF($C830="","",IFERROR(INDEX('Topic Plan'!$D$5:$D$115,MATCH($C830,'Topic Plan'!$B$5:$B$115,0)),""))</f>
        <v/>
      </c>
      <c r="F830" s="28">
        <f>IF($C830="","",IFERROR(INDEX('Topic Plan'!$E$5:$E$115,MATCH($C830,'Topic Plan'!$B$5:$B$115,0)),""))</f>
        <v/>
      </c>
      <c r="G830" s="23" t="n"/>
      <c r="H830" s="27" t="n"/>
      <c r="I830" s="27" t="n"/>
      <c r="J830" s="27" t="n"/>
      <c r="K830" s="27" t="n"/>
      <c r="L830" s="27" t="n"/>
      <c r="M830" s="27" t="n"/>
      <c r="N830" s="23" t="n"/>
      <c r="O830" s="29" t="n"/>
      <c r="P830" s="29" t="n"/>
      <c r="Q830" s="29" t="n"/>
      <c r="R830" s="29" t="n"/>
      <c r="S830" s="29" t="n"/>
      <c r="T830" s="29" t="n"/>
      <c r="U830" s="29" t="n"/>
      <c r="V830" s="30">
        <f>IF(OR($A830="",$U830=""),"",IF($S830&lt;&gt;"",MAX(0,$S830-$U830),MAX(0,TODAY()-$U830)))</f>
        <v/>
      </c>
      <c r="W830" s="30">
        <f>IF($A830="","",IF(OR($N830="Live",$N830="Retired"),"",TODAY()-MAX($O830,$P830,$Q830,$R830)))</f>
        <v/>
      </c>
      <c r="X830" s="23" t="n"/>
      <c r="Y830" s="30">
        <f>IF($A830="","",COUNTIFS('Issues Log'!$C$5:$C$504,$A830,'Issues Log'!$K$5:$K$504,"Open")+COUNTIFS('Issues Log'!$C$5:$C$504,$A830,'Issues Log'!$K$5:$K$504,"In progress"))</f>
        <v/>
      </c>
      <c r="Z830" s="27" t="n"/>
    </row>
    <row r="831">
      <c r="A831" s="27" t="n"/>
      <c r="B831" s="27" t="n"/>
      <c r="C831" s="27" t="n"/>
      <c r="D831" s="28">
        <f>IF($C831="","",IFERROR(INDEX('Topic Plan'!$C$5:$C$115,MATCH($C831,'Topic Plan'!$B$5:$B$115,0)),"UNKNOWN TOPIC ID"))</f>
        <v/>
      </c>
      <c r="E831" s="28">
        <f>IF($C831="","",IFERROR(INDEX('Topic Plan'!$D$5:$D$115,MATCH($C831,'Topic Plan'!$B$5:$B$115,0)),""))</f>
        <v/>
      </c>
      <c r="F831" s="28">
        <f>IF($C831="","",IFERROR(INDEX('Topic Plan'!$E$5:$E$115,MATCH($C831,'Topic Plan'!$B$5:$B$115,0)),""))</f>
        <v/>
      </c>
      <c r="G831" s="23" t="n"/>
      <c r="H831" s="27" t="n"/>
      <c r="I831" s="27" t="n"/>
      <c r="J831" s="27" t="n"/>
      <c r="K831" s="27" t="n"/>
      <c r="L831" s="27" t="n"/>
      <c r="M831" s="27" t="n"/>
      <c r="N831" s="23" t="n"/>
      <c r="O831" s="29" t="n"/>
      <c r="P831" s="29" t="n"/>
      <c r="Q831" s="29" t="n"/>
      <c r="R831" s="29" t="n"/>
      <c r="S831" s="29" t="n"/>
      <c r="T831" s="29" t="n"/>
      <c r="U831" s="29" t="n"/>
      <c r="V831" s="30">
        <f>IF(OR($A831="",$U831=""),"",IF($S831&lt;&gt;"",MAX(0,$S831-$U831),MAX(0,TODAY()-$U831)))</f>
        <v/>
      </c>
      <c r="W831" s="30">
        <f>IF($A831="","",IF(OR($N831="Live",$N831="Retired"),"",TODAY()-MAX($O831,$P831,$Q831,$R831)))</f>
        <v/>
      </c>
      <c r="X831" s="23" t="n"/>
      <c r="Y831" s="30">
        <f>IF($A831="","",COUNTIFS('Issues Log'!$C$5:$C$504,$A831,'Issues Log'!$K$5:$K$504,"Open")+COUNTIFS('Issues Log'!$C$5:$C$504,$A831,'Issues Log'!$K$5:$K$504,"In progress"))</f>
        <v/>
      </c>
      <c r="Z831" s="27" t="n"/>
    </row>
    <row r="832">
      <c r="A832" s="27" t="n"/>
      <c r="B832" s="27" t="n"/>
      <c r="C832" s="27" t="n"/>
      <c r="D832" s="28">
        <f>IF($C832="","",IFERROR(INDEX('Topic Plan'!$C$5:$C$115,MATCH($C832,'Topic Plan'!$B$5:$B$115,0)),"UNKNOWN TOPIC ID"))</f>
        <v/>
      </c>
      <c r="E832" s="28">
        <f>IF($C832="","",IFERROR(INDEX('Topic Plan'!$D$5:$D$115,MATCH($C832,'Topic Plan'!$B$5:$B$115,0)),""))</f>
        <v/>
      </c>
      <c r="F832" s="28">
        <f>IF($C832="","",IFERROR(INDEX('Topic Plan'!$E$5:$E$115,MATCH($C832,'Topic Plan'!$B$5:$B$115,0)),""))</f>
        <v/>
      </c>
      <c r="G832" s="23" t="n"/>
      <c r="H832" s="27" t="n"/>
      <c r="I832" s="27" t="n"/>
      <c r="J832" s="27" t="n"/>
      <c r="K832" s="27" t="n"/>
      <c r="L832" s="27" t="n"/>
      <c r="M832" s="27" t="n"/>
      <c r="N832" s="23" t="n"/>
      <c r="O832" s="29" t="n"/>
      <c r="P832" s="29" t="n"/>
      <c r="Q832" s="29" t="n"/>
      <c r="R832" s="29" t="n"/>
      <c r="S832" s="29" t="n"/>
      <c r="T832" s="29" t="n"/>
      <c r="U832" s="29" t="n"/>
      <c r="V832" s="30">
        <f>IF(OR($A832="",$U832=""),"",IF($S832&lt;&gt;"",MAX(0,$S832-$U832),MAX(0,TODAY()-$U832)))</f>
        <v/>
      </c>
      <c r="W832" s="30">
        <f>IF($A832="","",IF(OR($N832="Live",$N832="Retired"),"",TODAY()-MAX($O832,$P832,$Q832,$R832)))</f>
        <v/>
      </c>
      <c r="X832" s="23" t="n"/>
      <c r="Y832" s="30">
        <f>IF($A832="","",COUNTIFS('Issues Log'!$C$5:$C$504,$A832,'Issues Log'!$K$5:$K$504,"Open")+COUNTIFS('Issues Log'!$C$5:$C$504,$A832,'Issues Log'!$K$5:$K$504,"In progress"))</f>
        <v/>
      </c>
      <c r="Z832" s="27" t="n"/>
    </row>
    <row r="833">
      <c r="A833" s="27" t="n"/>
      <c r="B833" s="27" t="n"/>
      <c r="C833" s="27" t="n"/>
      <c r="D833" s="28">
        <f>IF($C833="","",IFERROR(INDEX('Topic Plan'!$C$5:$C$115,MATCH($C833,'Topic Plan'!$B$5:$B$115,0)),"UNKNOWN TOPIC ID"))</f>
        <v/>
      </c>
      <c r="E833" s="28">
        <f>IF($C833="","",IFERROR(INDEX('Topic Plan'!$D$5:$D$115,MATCH($C833,'Topic Plan'!$B$5:$B$115,0)),""))</f>
        <v/>
      </c>
      <c r="F833" s="28">
        <f>IF($C833="","",IFERROR(INDEX('Topic Plan'!$E$5:$E$115,MATCH($C833,'Topic Plan'!$B$5:$B$115,0)),""))</f>
        <v/>
      </c>
      <c r="G833" s="23" t="n"/>
      <c r="H833" s="27" t="n"/>
      <c r="I833" s="27" t="n"/>
      <c r="J833" s="27" t="n"/>
      <c r="K833" s="27" t="n"/>
      <c r="L833" s="27" t="n"/>
      <c r="M833" s="27" t="n"/>
      <c r="N833" s="23" t="n"/>
      <c r="O833" s="29" t="n"/>
      <c r="P833" s="29" t="n"/>
      <c r="Q833" s="29" t="n"/>
      <c r="R833" s="29" t="n"/>
      <c r="S833" s="29" t="n"/>
      <c r="T833" s="29" t="n"/>
      <c r="U833" s="29" t="n"/>
      <c r="V833" s="30">
        <f>IF(OR($A833="",$U833=""),"",IF($S833&lt;&gt;"",MAX(0,$S833-$U833),MAX(0,TODAY()-$U833)))</f>
        <v/>
      </c>
      <c r="W833" s="30">
        <f>IF($A833="","",IF(OR($N833="Live",$N833="Retired"),"",TODAY()-MAX($O833,$P833,$Q833,$R833)))</f>
        <v/>
      </c>
      <c r="X833" s="23" t="n"/>
      <c r="Y833" s="30">
        <f>IF($A833="","",COUNTIFS('Issues Log'!$C$5:$C$504,$A833,'Issues Log'!$K$5:$K$504,"Open")+COUNTIFS('Issues Log'!$C$5:$C$504,$A833,'Issues Log'!$K$5:$K$504,"In progress"))</f>
        <v/>
      </c>
      <c r="Z833" s="27" t="n"/>
    </row>
    <row r="834">
      <c r="A834" s="27" t="n"/>
      <c r="B834" s="27" t="n"/>
      <c r="C834" s="27" t="n"/>
      <c r="D834" s="28">
        <f>IF($C834="","",IFERROR(INDEX('Topic Plan'!$C$5:$C$115,MATCH($C834,'Topic Plan'!$B$5:$B$115,0)),"UNKNOWN TOPIC ID"))</f>
        <v/>
      </c>
      <c r="E834" s="28">
        <f>IF($C834="","",IFERROR(INDEX('Topic Plan'!$D$5:$D$115,MATCH($C834,'Topic Plan'!$B$5:$B$115,0)),""))</f>
        <v/>
      </c>
      <c r="F834" s="28">
        <f>IF($C834="","",IFERROR(INDEX('Topic Plan'!$E$5:$E$115,MATCH($C834,'Topic Plan'!$B$5:$B$115,0)),""))</f>
        <v/>
      </c>
      <c r="G834" s="23" t="n"/>
      <c r="H834" s="27" t="n"/>
      <c r="I834" s="27" t="n"/>
      <c r="J834" s="27" t="n"/>
      <c r="K834" s="27" t="n"/>
      <c r="L834" s="27" t="n"/>
      <c r="M834" s="27" t="n"/>
      <c r="N834" s="23" t="n"/>
      <c r="O834" s="29" t="n"/>
      <c r="P834" s="29" t="n"/>
      <c r="Q834" s="29" t="n"/>
      <c r="R834" s="29" t="n"/>
      <c r="S834" s="29" t="n"/>
      <c r="T834" s="29" t="n"/>
      <c r="U834" s="29" t="n"/>
      <c r="V834" s="30">
        <f>IF(OR($A834="",$U834=""),"",IF($S834&lt;&gt;"",MAX(0,$S834-$U834),MAX(0,TODAY()-$U834)))</f>
        <v/>
      </c>
      <c r="W834" s="30">
        <f>IF($A834="","",IF(OR($N834="Live",$N834="Retired"),"",TODAY()-MAX($O834,$P834,$Q834,$R834)))</f>
        <v/>
      </c>
      <c r="X834" s="23" t="n"/>
      <c r="Y834" s="30">
        <f>IF($A834="","",COUNTIFS('Issues Log'!$C$5:$C$504,$A834,'Issues Log'!$K$5:$K$504,"Open")+COUNTIFS('Issues Log'!$C$5:$C$504,$A834,'Issues Log'!$K$5:$K$504,"In progress"))</f>
        <v/>
      </c>
      <c r="Z834" s="27" t="n"/>
    </row>
    <row r="835">
      <c r="A835" s="27" t="n"/>
      <c r="B835" s="27" t="n"/>
      <c r="C835" s="27" t="n"/>
      <c r="D835" s="28">
        <f>IF($C835="","",IFERROR(INDEX('Topic Plan'!$C$5:$C$115,MATCH($C835,'Topic Plan'!$B$5:$B$115,0)),"UNKNOWN TOPIC ID"))</f>
        <v/>
      </c>
      <c r="E835" s="28">
        <f>IF($C835="","",IFERROR(INDEX('Topic Plan'!$D$5:$D$115,MATCH($C835,'Topic Plan'!$B$5:$B$115,0)),""))</f>
        <v/>
      </c>
      <c r="F835" s="28">
        <f>IF($C835="","",IFERROR(INDEX('Topic Plan'!$E$5:$E$115,MATCH($C835,'Topic Plan'!$B$5:$B$115,0)),""))</f>
        <v/>
      </c>
      <c r="G835" s="23" t="n"/>
      <c r="H835" s="27" t="n"/>
      <c r="I835" s="27" t="n"/>
      <c r="J835" s="27" t="n"/>
      <c r="K835" s="27" t="n"/>
      <c r="L835" s="27" t="n"/>
      <c r="M835" s="27" t="n"/>
      <c r="N835" s="23" t="n"/>
      <c r="O835" s="29" t="n"/>
      <c r="P835" s="29" t="n"/>
      <c r="Q835" s="29" t="n"/>
      <c r="R835" s="29" t="n"/>
      <c r="S835" s="29" t="n"/>
      <c r="T835" s="29" t="n"/>
      <c r="U835" s="29" t="n"/>
      <c r="V835" s="30">
        <f>IF(OR($A835="",$U835=""),"",IF($S835&lt;&gt;"",MAX(0,$S835-$U835),MAX(0,TODAY()-$U835)))</f>
        <v/>
      </c>
      <c r="W835" s="30">
        <f>IF($A835="","",IF(OR($N835="Live",$N835="Retired"),"",TODAY()-MAX($O835,$P835,$Q835,$R835)))</f>
        <v/>
      </c>
      <c r="X835" s="23" t="n"/>
      <c r="Y835" s="30">
        <f>IF($A835="","",COUNTIFS('Issues Log'!$C$5:$C$504,$A835,'Issues Log'!$K$5:$K$504,"Open")+COUNTIFS('Issues Log'!$C$5:$C$504,$A835,'Issues Log'!$K$5:$K$504,"In progress"))</f>
        <v/>
      </c>
      <c r="Z835" s="27" t="n"/>
    </row>
    <row r="836">
      <c r="A836" s="27" t="n"/>
      <c r="B836" s="27" t="n"/>
      <c r="C836" s="27" t="n"/>
      <c r="D836" s="28">
        <f>IF($C836="","",IFERROR(INDEX('Topic Plan'!$C$5:$C$115,MATCH($C836,'Topic Plan'!$B$5:$B$115,0)),"UNKNOWN TOPIC ID"))</f>
        <v/>
      </c>
      <c r="E836" s="28">
        <f>IF($C836="","",IFERROR(INDEX('Topic Plan'!$D$5:$D$115,MATCH($C836,'Topic Plan'!$B$5:$B$115,0)),""))</f>
        <v/>
      </c>
      <c r="F836" s="28">
        <f>IF($C836="","",IFERROR(INDEX('Topic Plan'!$E$5:$E$115,MATCH($C836,'Topic Plan'!$B$5:$B$115,0)),""))</f>
        <v/>
      </c>
      <c r="G836" s="23" t="n"/>
      <c r="H836" s="27" t="n"/>
      <c r="I836" s="27" t="n"/>
      <c r="J836" s="27" t="n"/>
      <c r="K836" s="27" t="n"/>
      <c r="L836" s="27" t="n"/>
      <c r="M836" s="27" t="n"/>
      <c r="N836" s="23" t="n"/>
      <c r="O836" s="29" t="n"/>
      <c r="P836" s="29" t="n"/>
      <c r="Q836" s="29" t="n"/>
      <c r="R836" s="29" t="n"/>
      <c r="S836" s="29" t="n"/>
      <c r="T836" s="29" t="n"/>
      <c r="U836" s="29" t="n"/>
      <c r="V836" s="30">
        <f>IF(OR($A836="",$U836=""),"",IF($S836&lt;&gt;"",MAX(0,$S836-$U836),MAX(0,TODAY()-$U836)))</f>
        <v/>
      </c>
      <c r="W836" s="30">
        <f>IF($A836="","",IF(OR($N836="Live",$N836="Retired"),"",TODAY()-MAX($O836,$P836,$Q836,$R836)))</f>
        <v/>
      </c>
      <c r="X836" s="23" t="n"/>
      <c r="Y836" s="30">
        <f>IF($A836="","",COUNTIFS('Issues Log'!$C$5:$C$504,$A836,'Issues Log'!$K$5:$K$504,"Open")+COUNTIFS('Issues Log'!$C$5:$C$504,$A836,'Issues Log'!$K$5:$K$504,"In progress"))</f>
        <v/>
      </c>
      <c r="Z836" s="27" t="n"/>
    </row>
    <row r="837">
      <c r="A837" s="27" t="n"/>
      <c r="B837" s="27" t="n"/>
      <c r="C837" s="27" t="n"/>
      <c r="D837" s="28">
        <f>IF($C837="","",IFERROR(INDEX('Topic Plan'!$C$5:$C$115,MATCH($C837,'Topic Plan'!$B$5:$B$115,0)),"UNKNOWN TOPIC ID"))</f>
        <v/>
      </c>
      <c r="E837" s="28">
        <f>IF($C837="","",IFERROR(INDEX('Topic Plan'!$D$5:$D$115,MATCH($C837,'Topic Plan'!$B$5:$B$115,0)),""))</f>
        <v/>
      </c>
      <c r="F837" s="28">
        <f>IF($C837="","",IFERROR(INDEX('Topic Plan'!$E$5:$E$115,MATCH($C837,'Topic Plan'!$B$5:$B$115,0)),""))</f>
        <v/>
      </c>
      <c r="G837" s="23" t="n"/>
      <c r="H837" s="27" t="n"/>
      <c r="I837" s="27" t="n"/>
      <c r="J837" s="27" t="n"/>
      <c r="K837" s="27" t="n"/>
      <c r="L837" s="27" t="n"/>
      <c r="M837" s="27" t="n"/>
      <c r="N837" s="23" t="n"/>
      <c r="O837" s="29" t="n"/>
      <c r="P837" s="29" t="n"/>
      <c r="Q837" s="29" t="n"/>
      <c r="R837" s="29" t="n"/>
      <c r="S837" s="29" t="n"/>
      <c r="T837" s="29" t="n"/>
      <c r="U837" s="29" t="n"/>
      <c r="V837" s="30">
        <f>IF(OR($A837="",$U837=""),"",IF($S837&lt;&gt;"",MAX(0,$S837-$U837),MAX(0,TODAY()-$U837)))</f>
        <v/>
      </c>
      <c r="W837" s="30">
        <f>IF($A837="","",IF(OR($N837="Live",$N837="Retired"),"",TODAY()-MAX($O837,$P837,$Q837,$R837)))</f>
        <v/>
      </c>
      <c r="X837" s="23" t="n"/>
      <c r="Y837" s="30">
        <f>IF($A837="","",COUNTIFS('Issues Log'!$C$5:$C$504,$A837,'Issues Log'!$K$5:$K$504,"Open")+COUNTIFS('Issues Log'!$C$5:$C$504,$A837,'Issues Log'!$K$5:$K$504,"In progress"))</f>
        <v/>
      </c>
      <c r="Z837" s="27" t="n"/>
    </row>
    <row r="838">
      <c r="A838" s="27" t="n"/>
      <c r="B838" s="27" t="n"/>
      <c r="C838" s="27" t="n"/>
      <c r="D838" s="28">
        <f>IF($C838="","",IFERROR(INDEX('Topic Plan'!$C$5:$C$115,MATCH($C838,'Topic Plan'!$B$5:$B$115,0)),"UNKNOWN TOPIC ID"))</f>
        <v/>
      </c>
      <c r="E838" s="28">
        <f>IF($C838="","",IFERROR(INDEX('Topic Plan'!$D$5:$D$115,MATCH($C838,'Topic Plan'!$B$5:$B$115,0)),""))</f>
        <v/>
      </c>
      <c r="F838" s="28">
        <f>IF($C838="","",IFERROR(INDEX('Topic Plan'!$E$5:$E$115,MATCH($C838,'Topic Plan'!$B$5:$B$115,0)),""))</f>
        <v/>
      </c>
      <c r="G838" s="23" t="n"/>
      <c r="H838" s="27" t="n"/>
      <c r="I838" s="27" t="n"/>
      <c r="J838" s="27" t="n"/>
      <c r="K838" s="27" t="n"/>
      <c r="L838" s="27" t="n"/>
      <c r="M838" s="27" t="n"/>
      <c r="N838" s="23" t="n"/>
      <c r="O838" s="29" t="n"/>
      <c r="P838" s="29" t="n"/>
      <c r="Q838" s="29" t="n"/>
      <c r="R838" s="29" t="n"/>
      <c r="S838" s="29" t="n"/>
      <c r="T838" s="29" t="n"/>
      <c r="U838" s="29" t="n"/>
      <c r="V838" s="30">
        <f>IF(OR($A838="",$U838=""),"",IF($S838&lt;&gt;"",MAX(0,$S838-$U838),MAX(0,TODAY()-$U838)))</f>
        <v/>
      </c>
      <c r="W838" s="30">
        <f>IF($A838="","",IF(OR($N838="Live",$N838="Retired"),"",TODAY()-MAX($O838,$P838,$Q838,$R838)))</f>
        <v/>
      </c>
      <c r="X838" s="23" t="n"/>
      <c r="Y838" s="30">
        <f>IF($A838="","",COUNTIFS('Issues Log'!$C$5:$C$504,$A838,'Issues Log'!$K$5:$K$504,"Open")+COUNTIFS('Issues Log'!$C$5:$C$504,$A838,'Issues Log'!$K$5:$K$504,"In progress"))</f>
        <v/>
      </c>
      <c r="Z838" s="27" t="n"/>
    </row>
    <row r="839">
      <c r="A839" s="27" t="n"/>
      <c r="B839" s="27" t="n"/>
      <c r="C839" s="27" t="n"/>
      <c r="D839" s="28">
        <f>IF($C839="","",IFERROR(INDEX('Topic Plan'!$C$5:$C$115,MATCH($C839,'Topic Plan'!$B$5:$B$115,0)),"UNKNOWN TOPIC ID"))</f>
        <v/>
      </c>
      <c r="E839" s="28">
        <f>IF($C839="","",IFERROR(INDEX('Topic Plan'!$D$5:$D$115,MATCH($C839,'Topic Plan'!$B$5:$B$115,0)),""))</f>
        <v/>
      </c>
      <c r="F839" s="28">
        <f>IF($C839="","",IFERROR(INDEX('Topic Plan'!$E$5:$E$115,MATCH($C839,'Topic Plan'!$B$5:$B$115,0)),""))</f>
        <v/>
      </c>
      <c r="G839" s="23" t="n"/>
      <c r="H839" s="27" t="n"/>
      <c r="I839" s="27" t="n"/>
      <c r="J839" s="27" t="n"/>
      <c r="K839" s="27" t="n"/>
      <c r="L839" s="27" t="n"/>
      <c r="M839" s="27" t="n"/>
      <c r="N839" s="23" t="n"/>
      <c r="O839" s="29" t="n"/>
      <c r="P839" s="29" t="n"/>
      <c r="Q839" s="29" t="n"/>
      <c r="R839" s="29" t="n"/>
      <c r="S839" s="29" t="n"/>
      <c r="T839" s="29" t="n"/>
      <c r="U839" s="29" t="n"/>
      <c r="V839" s="30">
        <f>IF(OR($A839="",$U839=""),"",IF($S839&lt;&gt;"",MAX(0,$S839-$U839),MAX(0,TODAY()-$U839)))</f>
        <v/>
      </c>
      <c r="W839" s="30">
        <f>IF($A839="","",IF(OR($N839="Live",$N839="Retired"),"",TODAY()-MAX($O839,$P839,$Q839,$R839)))</f>
        <v/>
      </c>
      <c r="X839" s="23" t="n"/>
      <c r="Y839" s="30">
        <f>IF($A839="","",COUNTIFS('Issues Log'!$C$5:$C$504,$A839,'Issues Log'!$K$5:$K$504,"Open")+COUNTIFS('Issues Log'!$C$5:$C$504,$A839,'Issues Log'!$K$5:$K$504,"In progress"))</f>
        <v/>
      </c>
      <c r="Z839" s="27" t="n"/>
    </row>
    <row r="840">
      <c r="A840" s="27" t="n"/>
      <c r="B840" s="27" t="n"/>
      <c r="C840" s="27" t="n"/>
      <c r="D840" s="28">
        <f>IF($C840="","",IFERROR(INDEX('Topic Plan'!$C$5:$C$115,MATCH($C840,'Topic Plan'!$B$5:$B$115,0)),"UNKNOWN TOPIC ID"))</f>
        <v/>
      </c>
      <c r="E840" s="28">
        <f>IF($C840="","",IFERROR(INDEX('Topic Plan'!$D$5:$D$115,MATCH($C840,'Topic Plan'!$B$5:$B$115,0)),""))</f>
        <v/>
      </c>
      <c r="F840" s="28">
        <f>IF($C840="","",IFERROR(INDEX('Topic Plan'!$E$5:$E$115,MATCH($C840,'Topic Plan'!$B$5:$B$115,0)),""))</f>
        <v/>
      </c>
      <c r="G840" s="23" t="n"/>
      <c r="H840" s="27" t="n"/>
      <c r="I840" s="27" t="n"/>
      <c r="J840" s="27" t="n"/>
      <c r="K840" s="27" t="n"/>
      <c r="L840" s="27" t="n"/>
      <c r="M840" s="27" t="n"/>
      <c r="N840" s="23" t="n"/>
      <c r="O840" s="29" t="n"/>
      <c r="P840" s="29" t="n"/>
      <c r="Q840" s="29" t="n"/>
      <c r="R840" s="29" t="n"/>
      <c r="S840" s="29" t="n"/>
      <c r="T840" s="29" t="n"/>
      <c r="U840" s="29" t="n"/>
      <c r="V840" s="30">
        <f>IF(OR($A840="",$U840=""),"",IF($S840&lt;&gt;"",MAX(0,$S840-$U840),MAX(0,TODAY()-$U840)))</f>
        <v/>
      </c>
      <c r="W840" s="30">
        <f>IF($A840="","",IF(OR($N840="Live",$N840="Retired"),"",TODAY()-MAX($O840,$P840,$Q840,$R840)))</f>
        <v/>
      </c>
      <c r="X840" s="23" t="n"/>
      <c r="Y840" s="30">
        <f>IF($A840="","",COUNTIFS('Issues Log'!$C$5:$C$504,$A840,'Issues Log'!$K$5:$K$504,"Open")+COUNTIFS('Issues Log'!$C$5:$C$504,$A840,'Issues Log'!$K$5:$K$504,"In progress"))</f>
        <v/>
      </c>
      <c r="Z840" s="27" t="n"/>
    </row>
    <row r="841">
      <c r="A841" s="27" t="n"/>
      <c r="B841" s="27" t="n"/>
      <c r="C841" s="27" t="n"/>
      <c r="D841" s="28">
        <f>IF($C841="","",IFERROR(INDEX('Topic Plan'!$C$5:$C$115,MATCH($C841,'Topic Plan'!$B$5:$B$115,0)),"UNKNOWN TOPIC ID"))</f>
        <v/>
      </c>
      <c r="E841" s="28">
        <f>IF($C841="","",IFERROR(INDEX('Topic Plan'!$D$5:$D$115,MATCH($C841,'Topic Plan'!$B$5:$B$115,0)),""))</f>
        <v/>
      </c>
      <c r="F841" s="28">
        <f>IF($C841="","",IFERROR(INDEX('Topic Plan'!$E$5:$E$115,MATCH($C841,'Topic Plan'!$B$5:$B$115,0)),""))</f>
        <v/>
      </c>
      <c r="G841" s="23" t="n"/>
      <c r="H841" s="27" t="n"/>
      <c r="I841" s="27" t="n"/>
      <c r="J841" s="27" t="n"/>
      <c r="K841" s="27" t="n"/>
      <c r="L841" s="27" t="n"/>
      <c r="M841" s="27" t="n"/>
      <c r="N841" s="23" t="n"/>
      <c r="O841" s="29" t="n"/>
      <c r="P841" s="29" t="n"/>
      <c r="Q841" s="29" t="n"/>
      <c r="R841" s="29" t="n"/>
      <c r="S841" s="29" t="n"/>
      <c r="T841" s="29" t="n"/>
      <c r="U841" s="29" t="n"/>
      <c r="V841" s="30">
        <f>IF(OR($A841="",$U841=""),"",IF($S841&lt;&gt;"",MAX(0,$S841-$U841),MAX(0,TODAY()-$U841)))</f>
        <v/>
      </c>
      <c r="W841" s="30">
        <f>IF($A841="","",IF(OR($N841="Live",$N841="Retired"),"",TODAY()-MAX($O841,$P841,$Q841,$R841)))</f>
        <v/>
      </c>
      <c r="X841" s="23" t="n"/>
      <c r="Y841" s="30">
        <f>IF($A841="","",COUNTIFS('Issues Log'!$C$5:$C$504,$A841,'Issues Log'!$K$5:$K$504,"Open")+COUNTIFS('Issues Log'!$C$5:$C$504,$A841,'Issues Log'!$K$5:$K$504,"In progress"))</f>
        <v/>
      </c>
      <c r="Z841" s="27" t="n"/>
    </row>
    <row r="842">
      <c r="A842" s="27" t="n"/>
      <c r="B842" s="27" t="n"/>
      <c r="C842" s="27" t="n"/>
      <c r="D842" s="28">
        <f>IF($C842="","",IFERROR(INDEX('Topic Plan'!$C$5:$C$115,MATCH($C842,'Topic Plan'!$B$5:$B$115,0)),"UNKNOWN TOPIC ID"))</f>
        <v/>
      </c>
      <c r="E842" s="28">
        <f>IF($C842="","",IFERROR(INDEX('Topic Plan'!$D$5:$D$115,MATCH($C842,'Topic Plan'!$B$5:$B$115,0)),""))</f>
        <v/>
      </c>
      <c r="F842" s="28">
        <f>IF($C842="","",IFERROR(INDEX('Topic Plan'!$E$5:$E$115,MATCH($C842,'Topic Plan'!$B$5:$B$115,0)),""))</f>
        <v/>
      </c>
      <c r="G842" s="23" t="n"/>
      <c r="H842" s="27" t="n"/>
      <c r="I842" s="27" t="n"/>
      <c r="J842" s="27" t="n"/>
      <c r="K842" s="27" t="n"/>
      <c r="L842" s="27" t="n"/>
      <c r="M842" s="27" t="n"/>
      <c r="N842" s="23" t="n"/>
      <c r="O842" s="29" t="n"/>
      <c r="P842" s="29" t="n"/>
      <c r="Q842" s="29" t="n"/>
      <c r="R842" s="29" t="n"/>
      <c r="S842" s="29" t="n"/>
      <c r="T842" s="29" t="n"/>
      <c r="U842" s="29" t="n"/>
      <c r="V842" s="30">
        <f>IF(OR($A842="",$U842=""),"",IF($S842&lt;&gt;"",MAX(0,$S842-$U842),MAX(0,TODAY()-$U842)))</f>
        <v/>
      </c>
      <c r="W842" s="30">
        <f>IF($A842="","",IF(OR($N842="Live",$N842="Retired"),"",TODAY()-MAX($O842,$P842,$Q842,$R842)))</f>
        <v/>
      </c>
      <c r="X842" s="23" t="n"/>
      <c r="Y842" s="30">
        <f>IF($A842="","",COUNTIFS('Issues Log'!$C$5:$C$504,$A842,'Issues Log'!$K$5:$K$504,"Open")+COUNTIFS('Issues Log'!$C$5:$C$504,$A842,'Issues Log'!$K$5:$K$504,"In progress"))</f>
        <v/>
      </c>
      <c r="Z842" s="27" t="n"/>
    </row>
    <row r="843">
      <c r="A843" s="27" t="n"/>
      <c r="B843" s="27" t="n"/>
      <c r="C843" s="27" t="n"/>
      <c r="D843" s="28">
        <f>IF($C843="","",IFERROR(INDEX('Topic Plan'!$C$5:$C$115,MATCH($C843,'Topic Plan'!$B$5:$B$115,0)),"UNKNOWN TOPIC ID"))</f>
        <v/>
      </c>
      <c r="E843" s="28">
        <f>IF($C843="","",IFERROR(INDEX('Topic Plan'!$D$5:$D$115,MATCH($C843,'Topic Plan'!$B$5:$B$115,0)),""))</f>
        <v/>
      </c>
      <c r="F843" s="28">
        <f>IF($C843="","",IFERROR(INDEX('Topic Plan'!$E$5:$E$115,MATCH($C843,'Topic Plan'!$B$5:$B$115,0)),""))</f>
        <v/>
      </c>
      <c r="G843" s="23" t="n"/>
      <c r="H843" s="27" t="n"/>
      <c r="I843" s="27" t="n"/>
      <c r="J843" s="27" t="n"/>
      <c r="K843" s="27" t="n"/>
      <c r="L843" s="27" t="n"/>
      <c r="M843" s="27" t="n"/>
      <c r="N843" s="23" t="n"/>
      <c r="O843" s="29" t="n"/>
      <c r="P843" s="29" t="n"/>
      <c r="Q843" s="29" t="n"/>
      <c r="R843" s="29" t="n"/>
      <c r="S843" s="29" t="n"/>
      <c r="T843" s="29" t="n"/>
      <c r="U843" s="29" t="n"/>
      <c r="V843" s="30">
        <f>IF(OR($A843="",$U843=""),"",IF($S843&lt;&gt;"",MAX(0,$S843-$U843),MAX(0,TODAY()-$U843)))</f>
        <v/>
      </c>
      <c r="W843" s="30">
        <f>IF($A843="","",IF(OR($N843="Live",$N843="Retired"),"",TODAY()-MAX($O843,$P843,$Q843,$R843)))</f>
        <v/>
      </c>
      <c r="X843" s="23" t="n"/>
      <c r="Y843" s="30">
        <f>IF($A843="","",COUNTIFS('Issues Log'!$C$5:$C$504,$A843,'Issues Log'!$K$5:$K$504,"Open")+COUNTIFS('Issues Log'!$C$5:$C$504,$A843,'Issues Log'!$K$5:$K$504,"In progress"))</f>
        <v/>
      </c>
      <c r="Z843" s="27" t="n"/>
    </row>
    <row r="844">
      <c r="A844" s="27" t="n"/>
      <c r="B844" s="27" t="n"/>
      <c r="C844" s="27" t="n"/>
      <c r="D844" s="28">
        <f>IF($C844="","",IFERROR(INDEX('Topic Plan'!$C$5:$C$115,MATCH($C844,'Topic Plan'!$B$5:$B$115,0)),"UNKNOWN TOPIC ID"))</f>
        <v/>
      </c>
      <c r="E844" s="28">
        <f>IF($C844="","",IFERROR(INDEX('Topic Plan'!$D$5:$D$115,MATCH($C844,'Topic Plan'!$B$5:$B$115,0)),""))</f>
        <v/>
      </c>
      <c r="F844" s="28">
        <f>IF($C844="","",IFERROR(INDEX('Topic Plan'!$E$5:$E$115,MATCH($C844,'Topic Plan'!$B$5:$B$115,0)),""))</f>
        <v/>
      </c>
      <c r="G844" s="23" t="n"/>
      <c r="H844" s="27" t="n"/>
      <c r="I844" s="27" t="n"/>
      <c r="J844" s="27" t="n"/>
      <c r="K844" s="27" t="n"/>
      <c r="L844" s="27" t="n"/>
      <c r="M844" s="27" t="n"/>
      <c r="N844" s="23" t="n"/>
      <c r="O844" s="29" t="n"/>
      <c r="P844" s="29" t="n"/>
      <c r="Q844" s="29" t="n"/>
      <c r="R844" s="29" t="n"/>
      <c r="S844" s="29" t="n"/>
      <c r="T844" s="29" t="n"/>
      <c r="U844" s="29" t="n"/>
      <c r="V844" s="30">
        <f>IF(OR($A844="",$U844=""),"",IF($S844&lt;&gt;"",MAX(0,$S844-$U844),MAX(0,TODAY()-$U844)))</f>
        <v/>
      </c>
      <c r="W844" s="30">
        <f>IF($A844="","",IF(OR($N844="Live",$N844="Retired"),"",TODAY()-MAX($O844,$P844,$Q844,$R844)))</f>
        <v/>
      </c>
      <c r="X844" s="23" t="n"/>
      <c r="Y844" s="30">
        <f>IF($A844="","",COUNTIFS('Issues Log'!$C$5:$C$504,$A844,'Issues Log'!$K$5:$K$504,"Open")+COUNTIFS('Issues Log'!$C$5:$C$504,$A844,'Issues Log'!$K$5:$K$504,"In progress"))</f>
        <v/>
      </c>
      <c r="Z844" s="27" t="n"/>
    </row>
    <row r="845">
      <c r="A845" s="27" t="n"/>
      <c r="B845" s="27" t="n"/>
      <c r="C845" s="27" t="n"/>
      <c r="D845" s="28">
        <f>IF($C845="","",IFERROR(INDEX('Topic Plan'!$C$5:$C$115,MATCH($C845,'Topic Plan'!$B$5:$B$115,0)),"UNKNOWN TOPIC ID"))</f>
        <v/>
      </c>
      <c r="E845" s="28">
        <f>IF($C845="","",IFERROR(INDEX('Topic Plan'!$D$5:$D$115,MATCH($C845,'Topic Plan'!$B$5:$B$115,0)),""))</f>
        <v/>
      </c>
      <c r="F845" s="28">
        <f>IF($C845="","",IFERROR(INDEX('Topic Plan'!$E$5:$E$115,MATCH($C845,'Topic Plan'!$B$5:$B$115,0)),""))</f>
        <v/>
      </c>
      <c r="G845" s="23" t="n"/>
      <c r="H845" s="27" t="n"/>
      <c r="I845" s="27" t="n"/>
      <c r="J845" s="27" t="n"/>
      <c r="K845" s="27" t="n"/>
      <c r="L845" s="27" t="n"/>
      <c r="M845" s="27" t="n"/>
      <c r="N845" s="23" t="n"/>
      <c r="O845" s="29" t="n"/>
      <c r="P845" s="29" t="n"/>
      <c r="Q845" s="29" t="n"/>
      <c r="R845" s="29" t="n"/>
      <c r="S845" s="29" t="n"/>
      <c r="T845" s="29" t="n"/>
      <c r="U845" s="29" t="n"/>
      <c r="V845" s="30">
        <f>IF(OR($A845="",$U845=""),"",IF($S845&lt;&gt;"",MAX(0,$S845-$U845),MAX(0,TODAY()-$U845)))</f>
        <v/>
      </c>
      <c r="W845" s="30">
        <f>IF($A845="","",IF(OR($N845="Live",$N845="Retired"),"",TODAY()-MAX($O845,$P845,$Q845,$R845)))</f>
        <v/>
      </c>
      <c r="X845" s="23" t="n"/>
      <c r="Y845" s="30">
        <f>IF($A845="","",COUNTIFS('Issues Log'!$C$5:$C$504,$A845,'Issues Log'!$K$5:$K$504,"Open")+COUNTIFS('Issues Log'!$C$5:$C$504,$A845,'Issues Log'!$K$5:$K$504,"In progress"))</f>
        <v/>
      </c>
      <c r="Z845" s="27" t="n"/>
    </row>
    <row r="846">
      <c r="A846" s="27" t="n"/>
      <c r="B846" s="27" t="n"/>
      <c r="C846" s="27" t="n"/>
      <c r="D846" s="28">
        <f>IF($C846="","",IFERROR(INDEX('Topic Plan'!$C$5:$C$115,MATCH($C846,'Topic Plan'!$B$5:$B$115,0)),"UNKNOWN TOPIC ID"))</f>
        <v/>
      </c>
      <c r="E846" s="28">
        <f>IF($C846="","",IFERROR(INDEX('Topic Plan'!$D$5:$D$115,MATCH($C846,'Topic Plan'!$B$5:$B$115,0)),""))</f>
        <v/>
      </c>
      <c r="F846" s="28">
        <f>IF($C846="","",IFERROR(INDEX('Topic Plan'!$E$5:$E$115,MATCH($C846,'Topic Plan'!$B$5:$B$115,0)),""))</f>
        <v/>
      </c>
      <c r="G846" s="23" t="n"/>
      <c r="H846" s="27" t="n"/>
      <c r="I846" s="27" t="n"/>
      <c r="J846" s="27" t="n"/>
      <c r="K846" s="27" t="n"/>
      <c r="L846" s="27" t="n"/>
      <c r="M846" s="27" t="n"/>
      <c r="N846" s="23" t="n"/>
      <c r="O846" s="29" t="n"/>
      <c r="P846" s="29" t="n"/>
      <c r="Q846" s="29" t="n"/>
      <c r="R846" s="29" t="n"/>
      <c r="S846" s="29" t="n"/>
      <c r="T846" s="29" t="n"/>
      <c r="U846" s="29" t="n"/>
      <c r="V846" s="30">
        <f>IF(OR($A846="",$U846=""),"",IF($S846&lt;&gt;"",MAX(0,$S846-$U846),MAX(0,TODAY()-$U846)))</f>
        <v/>
      </c>
      <c r="W846" s="30">
        <f>IF($A846="","",IF(OR($N846="Live",$N846="Retired"),"",TODAY()-MAX($O846,$P846,$Q846,$R846)))</f>
        <v/>
      </c>
      <c r="X846" s="23" t="n"/>
      <c r="Y846" s="30">
        <f>IF($A846="","",COUNTIFS('Issues Log'!$C$5:$C$504,$A846,'Issues Log'!$K$5:$K$504,"Open")+COUNTIFS('Issues Log'!$C$5:$C$504,$A846,'Issues Log'!$K$5:$K$504,"In progress"))</f>
        <v/>
      </c>
      <c r="Z846" s="27" t="n"/>
    </row>
    <row r="847">
      <c r="A847" s="27" t="n"/>
      <c r="B847" s="27" t="n"/>
      <c r="C847" s="27" t="n"/>
      <c r="D847" s="28">
        <f>IF($C847="","",IFERROR(INDEX('Topic Plan'!$C$5:$C$115,MATCH($C847,'Topic Plan'!$B$5:$B$115,0)),"UNKNOWN TOPIC ID"))</f>
        <v/>
      </c>
      <c r="E847" s="28">
        <f>IF($C847="","",IFERROR(INDEX('Topic Plan'!$D$5:$D$115,MATCH($C847,'Topic Plan'!$B$5:$B$115,0)),""))</f>
        <v/>
      </c>
      <c r="F847" s="28">
        <f>IF($C847="","",IFERROR(INDEX('Topic Plan'!$E$5:$E$115,MATCH($C847,'Topic Plan'!$B$5:$B$115,0)),""))</f>
        <v/>
      </c>
      <c r="G847" s="23" t="n"/>
      <c r="H847" s="27" t="n"/>
      <c r="I847" s="27" t="n"/>
      <c r="J847" s="27" t="n"/>
      <c r="K847" s="27" t="n"/>
      <c r="L847" s="27" t="n"/>
      <c r="M847" s="27" t="n"/>
      <c r="N847" s="23" t="n"/>
      <c r="O847" s="29" t="n"/>
      <c r="P847" s="29" t="n"/>
      <c r="Q847" s="29" t="n"/>
      <c r="R847" s="29" t="n"/>
      <c r="S847" s="29" t="n"/>
      <c r="T847" s="29" t="n"/>
      <c r="U847" s="29" t="n"/>
      <c r="V847" s="30">
        <f>IF(OR($A847="",$U847=""),"",IF($S847&lt;&gt;"",MAX(0,$S847-$U847),MAX(0,TODAY()-$U847)))</f>
        <v/>
      </c>
      <c r="W847" s="30">
        <f>IF($A847="","",IF(OR($N847="Live",$N847="Retired"),"",TODAY()-MAX($O847,$P847,$Q847,$R847)))</f>
        <v/>
      </c>
      <c r="X847" s="23" t="n"/>
      <c r="Y847" s="30">
        <f>IF($A847="","",COUNTIFS('Issues Log'!$C$5:$C$504,$A847,'Issues Log'!$K$5:$K$504,"Open")+COUNTIFS('Issues Log'!$C$5:$C$504,$A847,'Issues Log'!$K$5:$K$504,"In progress"))</f>
        <v/>
      </c>
      <c r="Z847" s="27" t="n"/>
    </row>
    <row r="848">
      <c r="A848" s="27" t="n"/>
      <c r="B848" s="27" t="n"/>
      <c r="C848" s="27" t="n"/>
      <c r="D848" s="28">
        <f>IF($C848="","",IFERROR(INDEX('Topic Plan'!$C$5:$C$115,MATCH($C848,'Topic Plan'!$B$5:$B$115,0)),"UNKNOWN TOPIC ID"))</f>
        <v/>
      </c>
      <c r="E848" s="28">
        <f>IF($C848="","",IFERROR(INDEX('Topic Plan'!$D$5:$D$115,MATCH($C848,'Topic Plan'!$B$5:$B$115,0)),""))</f>
        <v/>
      </c>
      <c r="F848" s="28">
        <f>IF($C848="","",IFERROR(INDEX('Topic Plan'!$E$5:$E$115,MATCH($C848,'Topic Plan'!$B$5:$B$115,0)),""))</f>
        <v/>
      </c>
      <c r="G848" s="23" t="n"/>
      <c r="H848" s="27" t="n"/>
      <c r="I848" s="27" t="n"/>
      <c r="J848" s="27" t="n"/>
      <c r="K848" s="27" t="n"/>
      <c r="L848" s="27" t="n"/>
      <c r="M848" s="27" t="n"/>
      <c r="N848" s="23" t="n"/>
      <c r="O848" s="29" t="n"/>
      <c r="P848" s="29" t="n"/>
      <c r="Q848" s="29" t="n"/>
      <c r="R848" s="29" t="n"/>
      <c r="S848" s="29" t="n"/>
      <c r="T848" s="29" t="n"/>
      <c r="U848" s="29" t="n"/>
      <c r="V848" s="30">
        <f>IF(OR($A848="",$U848=""),"",IF($S848&lt;&gt;"",MAX(0,$S848-$U848),MAX(0,TODAY()-$U848)))</f>
        <v/>
      </c>
      <c r="W848" s="30">
        <f>IF($A848="","",IF(OR($N848="Live",$N848="Retired"),"",TODAY()-MAX($O848,$P848,$Q848,$R848)))</f>
        <v/>
      </c>
      <c r="X848" s="23" t="n"/>
      <c r="Y848" s="30">
        <f>IF($A848="","",COUNTIFS('Issues Log'!$C$5:$C$504,$A848,'Issues Log'!$K$5:$K$504,"Open")+COUNTIFS('Issues Log'!$C$5:$C$504,$A848,'Issues Log'!$K$5:$K$504,"In progress"))</f>
        <v/>
      </c>
      <c r="Z848" s="27" t="n"/>
    </row>
    <row r="849">
      <c r="A849" s="27" t="n"/>
      <c r="B849" s="27" t="n"/>
      <c r="C849" s="27" t="n"/>
      <c r="D849" s="28">
        <f>IF($C849="","",IFERROR(INDEX('Topic Plan'!$C$5:$C$115,MATCH($C849,'Topic Plan'!$B$5:$B$115,0)),"UNKNOWN TOPIC ID"))</f>
        <v/>
      </c>
      <c r="E849" s="28">
        <f>IF($C849="","",IFERROR(INDEX('Topic Plan'!$D$5:$D$115,MATCH($C849,'Topic Plan'!$B$5:$B$115,0)),""))</f>
        <v/>
      </c>
      <c r="F849" s="28">
        <f>IF($C849="","",IFERROR(INDEX('Topic Plan'!$E$5:$E$115,MATCH($C849,'Topic Plan'!$B$5:$B$115,0)),""))</f>
        <v/>
      </c>
      <c r="G849" s="23" t="n"/>
      <c r="H849" s="27" t="n"/>
      <c r="I849" s="27" t="n"/>
      <c r="J849" s="27" t="n"/>
      <c r="K849" s="27" t="n"/>
      <c r="L849" s="27" t="n"/>
      <c r="M849" s="27" t="n"/>
      <c r="N849" s="23" t="n"/>
      <c r="O849" s="29" t="n"/>
      <c r="P849" s="29" t="n"/>
      <c r="Q849" s="29" t="n"/>
      <c r="R849" s="29" t="n"/>
      <c r="S849" s="29" t="n"/>
      <c r="T849" s="29" t="n"/>
      <c r="U849" s="29" t="n"/>
      <c r="V849" s="30">
        <f>IF(OR($A849="",$U849=""),"",IF($S849&lt;&gt;"",MAX(0,$S849-$U849),MAX(0,TODAY()-$U849)))</f>
        <v/>
      </c>
      <c r="W849" s="30">
        <f>IF($A849="","",IF(OR($N849="Live",$N849="Retired"),"",TODAY()-MAX($O849,$P849,$Q849,$R849)))</f>
        <v/>
      </c>
      <c r="X849" s="23" t="n"/>
      <c r="Y849" s="30">
        <f>IF($A849="","",COUNTIFS('Issues Log'!$C$5:$C$504,$A849,'Issues Log'!$K$5:$K$504,"Open")+COUNTIFS('Issues Log'!$C$5:$C$504,$A849,'Issues Log'!$K$5:$K$504,"In progress"))</f>
        <v/>
      </c>
      <c r="Z849" s="27" t="n"/>
    </row>
    <row r="850">
      <c r="A850" s="27" t="n"/>
      <c r="B850" s="27" t="n"/>
      <c r="C850" s="27" t="n"/>
      <c r="D850" s="28">
        <f>IF($C850="","",IFERROR(INDEX('Topic Plan'!$C$5:$C$115,MATCH($C850,'Topic Plan'!$B$5:$B$115,0)),"UNKNOWN TOPIC ID"))</f>
        <v/>
      </c>
      <c r="E850" s="28">
        <f>IF($C850="","",IFERROR(INDEX('Topic Plan'!$D$5:$D$115,MATCH($C850,'Topic Plan'!$B$5:$B$115,0)),""))</f>
        <v/>
      </c>
      <c r="F850" s="28">
        <f>IF($C850="","",IFERROR(INDEX('Topic Plan'!$E$5:$E$115,MATCH($C850,'Topic Plan'!$B$5:$B$115,0)),""))</f>
        <v/>
      </c>
      <c r="G850" s="23" t="n"/>
      <c r="H850" s="27" t="n"/>
      <c r="I850" s="27" t="n"/>
      <c r="J850" s="27" t="n"/>
      <c r="K850" s="27" t="n"/>
      <c r="L850" s="27" t="n"/>
      <c r="M850" s="27" t="n"/>
      <c r="N850" s="23" t="n"/>
      <c r="O850" s="29" t="n"/>
      <c r="P850" s="29" t="n"/>
      <c r="Q850" s="29" t="n"/>
      <c r="R850" s="29" t="n"/>
      <c r="S850" s="29" t="n"/>
      <c r="T850" s="29" t="n"/>
      <c r="U850" s="29" t="n"/>
      <c r="V850" s="30">
        <f>IF(OR($A850="",$U850=""),"",IF($S850&lt;&gt;"",MAX(0,$S850-$U850),MAX(0,TODAY()-$U850)))</f>
        <v/>
      </c>
      <c r="W850" s="30">
        <f>IF($A850="","",IF(OR($N850="Live",$N850="Retired"),"",TODAY()-MAX($O850,$P850,$Q850,$R850)))</f>
        <v/>
      </c>
      <c r="X850" s="23" t="n"/>
      <c r="Y850" s="30">
        <f>IF($A850="","",COUNTIFS('Issues Log'!$C$5:$C$504,$A850,'Issues Log'!$K$5:$K$504,"Open")+COUNTIFS('Issues Log'!$C$5:$C$504,$A850,'Issues Log'!$K$5:$K$504,"In progress"))</f>
        <v/>
      </c>
      <c r="Z850" s="27" t="n"/>
    </row>
    <row r="851">
      <c r="A851" s="27" t="n"/>
      <c r="B851" s="27" t="n"/>
      <c r="C851" s="27" t="n"/>
      <c r="D851" s="28">
        <f>IF($C851="","",IFERROR(INDEX('Topic Plan'!$C$5:$C$115,MATCH($C851,'Topic Plan'!$B$5:$B$115,0)),"UNKNOWN TOPIC ID"))</f>
        <v/>
      </c>
      <c r="E851" s="28">
        <f>IF($C851="","",IFERROR(INDEX('Topic Plan'!$D$5:$D$115,MATCH($C851,'Topic Plan'!$B$5:$B$115,0)),""))</f>
        <v/>
      </c>
      <c r="F851" s="28">
        <f>IF($C851="","",IFERROR(INDEX('Topic Plan'!$E$5:$E$115,MATCH($C851,'Topic Plan'!$B$5:$B$115,0)),""))</f>
        <v/>
      </c>
      <c r="G851" s="23" t="n"/>
      <c r="H851" s="27" t="n"/>
      <c r="I851" s="27" t="n"/>
      <c r="J851" s="27" t="n"/>
      <c r="K851" s="27" t="n"/>
      <c r="L851" s="27" t="n"/>
      <c r="M851" s="27" t="n"/>
      <c r="N851" s="23" t="n"/>
      <c r="O851" s="29" t="n"/>
      <c r="P851" s="29" t="n"/>
      <c r="Q851" s="29" t="n"/>
      <c r="R851" s="29" t="n"/>
      <c r="S851" s="29" t="n"/>
      <c r="T851" s="29" t="n"/>
      <c r="U851" s="29" t="n"/>
      <c r="V851" s="30">
        <f>IF(OR($A851="",$U851=""),"",IF($S851&lt;&gt;"",MAX(0,$S851-$U851),MAX(0,TODAY()-$U851)))</f>
        <v/>
      </c>
      <c r="W851" s="30">
        <f>IF($A851="","",IF(OR($N851="Live",$N851="Retired"),"",TODAY()-MAX($O851,$P851,$Q851,$R851)))</f>
        <v/>
      </c>
      <c r="X851" s="23" t="n"/>
      <c r="Y851" s="30">
        <f>IF($A851="","",COUNTIFS('Issues Log'!$C$5:$C$504,$A851,'Issues Log'!$K$5:$K$504,"Open")+COUNTIFS('Issues Log'!$C$5:$C$504,$A851,'Issues Log'!$K$5:$K$504,"In progress"))</f>
        <v/>
      </c>
      <c r="Z851" s="27" t="n"/>
    </row>
    <row r="852">
      <c r="A852" s="27" t="n"/>
      <c r="B852" s="27" t="n"/>
      <c r="C852" s="27" t="n"/>
      <c r="D852" s="28">
        <f>IF($C852="","",IFERROR(INDEX('Topic Plan'!$C$5:$C$115,MATCH($C852,'Topic Plan'!$B$5:$B$115,0)),"UNKNOWN TOPIC ID"))</f>
        <v/>
      </c>
      <c r="E852" s="28">
        <f>IF($C852="","",IFERROR(INDEX('Topic Plan'!$D$5:$D$115,MATCH($C852,'Topic Plan'!$B$5:$B$115,0)),""))</f>
        <v/>
      </c>
      <c r="F852" s="28">
        <f>IF($C852="","",IFERROR(INDEX('Topic Plan'!$E$5:$E$115,MATCH($C852,'Topic Plan'!$B$5:$B$115,0)),""))</f>
        <v/>
      </c>
      <c r="G852" s="23" t="n"/>
      <c r="H852" s="27" t="n"/>
      <c r="I852" s="27" t="n"/>
      <c r="J852" s="27" t="n"/>
      <c r="K852" s="27" t="n"/>
      <c r="L852" s="27" t="n"/>
      <c r="M852" s="27" t="n"/>
      <c r="N852" s="23" t="n"/>
      <c r="O852" s="29" t="n"/>
      <c r="P852" s="29" t="n"/>
      <c r="Q852" s="29" t="n"/>
      <c r="R852" s="29" t="n"/>
      <c r="S852" s="29" t="n"/>
      <c r="T852" s="29" t="n"/>
      <c r="U852" s="29" t="n"/>
      <c r="V852" s="30">
        <f>IF(OR($A852="",$U852=""),"",IF($S852&lt;&gt;"",MAX(0,$S852-$U852),MAX(0,TODAY()-$U852)))</f>
        <v/>
      </c>
      <c r="W852" s="30">
        <f>IF($A852="","",IF(OR($N852="Live",$N852="Retired"),"",TODAY()-MAX($O852,$P852,$Q852,$R852)))</f>
        <v/>
      </c>
      <c r="X852" s="23" t="n"/>
      <c r="Y852" s="30">
        <f>IF($A852="","",COUNTIFS('Issues Log'!$C$5:$C$504,$A852,'Issues Log'!$K$5:$K$504,"Open")+COUNTIFS('Issues Log'!$C$5:$C$504,$A852,'Issues Log'!$K$5:$K$504,"In progress"))</f>
        <v/>
      </c>
      <c r="Z852" s="27" t="n"/>
    </row>
    <row r="853">
      <c r="A853" s="27" t="n"/>
      <c r="B853" s="27" t="n"/>
      <c r="C853" s="27" t="n"/>
      <c r="D853" s="28">
        <f>IF($C853="","",IFERROR(INDEX('Topic Plan'!$C$5:$C$115,MATCH($C853,'Topic Plan'!$B$5:$B$115,0)),"UNKNOWN TOPIC ID"))</f>
        <v/>
      </c>
      <c r="E853" s="28">
        <f>IF($C853="","",IFERROR(INDEX('Topic Plan'!$D$5:$D$115,MATCH($C853,'Topic Plan'!$B$5:$B$115,0)),""))</f>
        <v/>
      </c>
      <c r="F853" s="28">
        <f>IF($C853="","",IFERROR(INDEX('Topic Plan'!$E$5:$E$115,MATCH($C853,'Topic Plan'!$B$5:$B$115,0)),""))</f>
        <v/>
      </c>
      <c r="G853" s="23" t="n"/>
      <c r="H853" s="27" t="n"/>
      <c r="I853" s="27" t="n"/>
      <c r="J853" s="27" t="n"/>
      <c r="K853" s="27" t="n"/>
      <c r="L853" s="27" t="n"/>
      <c r="M853" s="27" t="n"/>
      <c r="N853" s="23" t="n"/>
      <c r="O853" s="29" t="n"/>
      <c r="P853" s="29" t="n"/>
      <c r="Q853" s="29" t="n"/>
      <c r="R853" s="29" t="n"/>
      <c r="S853" s="29" t="n"/>
      <c r="T853" s="29" t="n"/>
      <c r="U853" s="29" t="n"/>
      <c r="V853" s="30">
        <f>IF(OR($A853="",$U853=""),"",IF($S853&lt;&gt;"",MAX(0,$S853-$U853),MAX(0,TODAY()-$U853)))</f>
        <v/>
      </c>
      <c r="W853" s="30">
        <f>IF($A853="","",IF(OR($N853="Live",$N853="Retired"),"",TODAY()-MAX($O853,$P853,$Q853,$R853)))</f>
        <v/>
      </c>
      <c r="X853" s="23" t="n"/>
      <c r="Y853" s="30">
        <f>IF($A853="","",COUNTIFS('Issues Log'!$C$5:$C$504,$A853,'Issues Log'!$K$5:$K$504,"Open")+COUNTIFS('Issues Log'!$C$5:$C$504,$A853,'Issues Log'!$K$5:$K$504,"In progress"))</f>
        <v/>
      </c>
      <c r="Z853" s="27" t="n"/>
    </row>
    <row r="854">
      <c r="A854" s="27" t="n"/>
      <c r="B854" s="27" t="n"/>
      <c r="C854" s="27" t="n"/>
      <c r="D854" s="28">
        <f>IF($C854="","",IFERROR(INDEX('Topic Plan'!$C$5:$C$115,MATCH($C854,'Topic Plan'!$B$5:$B$115,0)),"UNKNOWN TOPIC ID"))</f>
        <v/>
      </c>
      <c r="E854" s="28">
        <f>IF($C854="","",IFERROR(INDEX('Topic Plan'!$D$5:$D$115,MATCH($C854,'Topic Plan'!$B$5:$B$115,0)),""))</f>
        <v/>
      </c>
      <c r="F854" s="28">
        <f>IF($C854="","",IFERROR(INDEX('Topic Plan'!$E$5:$E$115,MATCH($C854,'Topic Plan'!$B$5:$B$115,0)),""))</f>
        <v/>
      </c>
      <c r="G854" s="23" t="n"/>
      <c r="H854" s="27" t="n"/>
      <c r="I854" s="27" t="n"/>
      <c r="J854" s="27" t="n"/>
      <c r="K854" s="27" t="n"/>
      <c r="L854" s="27" t="n"/>
      <c r="M854" s="27" t="n"/>
      <c r="N854" s="23" t="n"/>
      <c r="O854" s="29" t="n"/>
      <c r="P854" s="29" t="n"/>
      <c r="Q854" s="29" t="n"/>
      <c r="R854" s="29" t="n"/>
      <c r="S854" s="29" t="n"/>
      <c r="T854" s="29" t="n"/>
      <c r="U854" s="29" t="n"/>
      <c r="V854" s="30">
        <f>IF(OR($A854="",$U854=""),"",IF($S854&lt;&gt;"",MAX(0,$S854-$U854),MAX(0,TODAY()-$U854)))</f>
        <v/>
      </c>
      <c r="W854" s="30">
        <f>IF($A854="","",IF(OR($N854="Live",$N854="Retired"),"",TODAY()-MAX($O854,$P854,$Q854,$R854)))</f>
        <v/>
      </c>
      <c r="X854" s="23" t="n"/>
      <c r="Y854" s="30">
        <f>IF($A854="","",COUNTIFS('Issues Log'!$C$5:$C$504,$A854,'Issues Log'!$K$5:$K$504,"Open")+COUNTIFS('Issues Log'!$C$5:$C$504,$A854,'Issues Log'!$K$5:$K$504,"In progress"))</f>
        <v/>
      </c>
      <c r="Z854" s="27" t="n"/>
    </row>
    <row r="855">
      <c r="A855" s="27" t="n"/>
      <c r="B855" s="27" t="n"/>
      <c r="C855" s="27" t="n"/>
      <c r="D855" s="28">
        <f>IF($C855="","",IFERROR(INDEX('Topic Plan'!$C$5:$C$115,MATCH($C855,'Topic Plan'!$B$5:$B$115,0)),"UNKNOWN TOPIC ID"))</f>
        <v/>
      </c>
      <c r="E855" s="28">
        <f>IF($C855="","",IFERROR(INDEX('Topic Plan'!$D$5:$D$115,MATCH($C855,'Topic Plan'!$B$5:$B$115,0)),""))</f>
        <v/>
      </c>
      <c r="F855" s="28">
        <f>IF($C855="","",IFERROR(INDEX('Topic Plan'!$E$5:$E$115,MATCH($C855,'Topic Plan'!$B$5:$B$115,0)),""))</f>
        <v/>
      </c>
      <c r="G855" s="23" t="n"/>
      <c r="H855" s="27" t="n"/>
      <c r="I855" s="27" t="n"/>
      <c r="J855" s="27" t="n"/>
      <c r="K855" s="27" t="n"/>
      <c r="L855" s="27" t="n"/>
      <c r="M855" s="27" t="n"/>
      <c r="N855" s="23" t="n"/>
      <c r="O855" s="29" t="n"/>
      <c r="P855" s="29" t="n"/>
      <c r="Q855" s="29" t="n"/>
      <c r="R855" s="29" t="n"/>
      <c r="S855" s="29" t="n"/>
      <c r="T855" s="29" t="n"/>
      <c r="U855" s="29" t="n"/>
      <c r="V855" s="30">
        <f>IF(OR($A855="",$U855=""),"",IF($S855&lt;&gt;"",MAX(0,$S855-$U855),MAX(0,TODAY()-$U855)))</f>
        <v/>
      </c>
      <c r="W855" s="30">
        <f>IF($A855="","",IF(OR($N855="Live",$N855="Retired"),"",TODAY()-MAX($O855,$P855,$Q855,$R855)))</f>
        <v/>
      </c>
      <c r="X855" s="23" t="n"/>
      <c r="Y855" s="30">
        <f>IF($A855="","",COUNTIFS('Issues Log'!$C$5:$C$504,$A855,'Issues Log'!$K$5:$K$504,"Open")+COUNTIFS('Issues Log'!$C$5:$C$504,$A855,'Issues Log'!$K$5:$K$504,"In progress"))</f>
        <v/>
      </c>
      <c r="Z855" s="27" t="n"/>
    </row>
    <row r="856">
      <c r="A856" s="27" t="n"/>
      <c r="B856" s="27" t="n"/>
      <c r="C856" s="27" t="n"/>
      <c r="D856" s="28">
        <f>IF($C856="","",IFERROR(INDEX('Topic Plan'!$C$5:$C$115,MATCH($C856,'Topic Plan'!$B$5:$B$115,0)),"UNKNOWN TOPIC ID"))</f>
        <v/>
      </c>
      <c r="E856" s="28">
        <f>IF($C856="","",IFERROR(INDEX('Topic Plan'!$D$5:$D$115,MATCH($C856,'Topic Plan'!$B$5:$B$115,0)),""))</f>
        <v/>
      </c>
      <c r="F856" s="28">
        <f>IF($C856="","",IFERROR(INDEX('Topic Plan'!$E$5:$E$115,MATCH($C856,'Topic Plan'!$B$5:$B$115,0)),""))</f>
        <v/>
      </c>
      <c r="G856" s="23" t="n"/>
      <c r="H856" s="27" t="n"/>
      <c r="I856" s="27" t="n"/>
      <c r="J856" s="27" t="n"/>
      <c r="K856" s="27" t="n"/>
      <c r="L856" s="27" t="n"/>
      <c r="M856" s="27" t="n"/>
      <c r="N856" s="23" t="n"/>
      <c r="O856" s="29" t="n"/>
      <c r="P856" s="29" t="n"/>
      <c r="Q856" s="29" t="n"/>
      <c r="R856" s="29" t="n"/>
      <c r="S856" s="29" t="n"/>
      <c r="T856" s="29" t="n"/>
      <c r="U856" s="29" t="n"/>
      <c r="V856" s="30">
        <f>IF(OR($A856="",$U856=""),"",IF($S856&lt;&gt;"",MAX(0,$S856-$U856),MAX(0,TODAY()-$U856)))</f>
        <v/>
      </c>
      <c r="W856" s="30">
        <f>IF($A856="","",IF(OR($N856="Live",$N856="Retired"),"",TODAY()-MAX($O856,$P856,$Q856,$R856)))</f>
        <v/>
      </c>
      <c r="X856" s="23" t="n"/>
      <c r="Y856" s="30">
        <f>IF($A856="","",COUNTIFS('Issues Log'!$C$5:$C$504,$A856,'Issues Log'!$K$5:$K$504,"Open")+COUNTIFS('Issues Log'!$C$5:$C$504,$A856,'Issues Log'!$K$5:$K$504,"In progress"))</f>
        <v/>
      </c>
      <c r="Z856" s="27" t="n"/>
    </row>
    <row r="857">
      <c r="A857" s="27" t="n"/>
      <c r="B857" s="27" t="n"/>
      <c r="C857" s="27" t="n"/>
      <c r="D857" s="28">
        <f>IF($C857="","",IFERROR(INDEX('Topic Plan'!$C$5:$C$115,MATCH($C857,'Topic Plan'!$B$5:$B$115,0)),"UNKNOWN TOPIC ID"))</f>
        <v/>
      </c>
      <c r="E857" s="28">
        <f>IF($C857="","",IFERROR(INDEX('Topic Plan'!$D$5:$D$115,MATCH($C857,'Topic Plan'!$B$5:$B$115,0)),""))</f>
        <v/>
      </c>
      <c r="F857" s="28">
        <f>IF($C857="","",IFERROR(INDEX('Topic Plan'!$E$5:$E$115,MATCH($C857,'Topic Plan'!$B$5:$B$115,0)),""))</f>
        <v/>
      </c>
      <c r="G857" s="23" t="n"/>
      <c r="H857" s="27" t="n"/>
      <c r="I857" s="27" t="n"/>
      <c r="J857" s="27" t="n"/>
      <c r="K857" s="27" t="n"/>
      <c r="L857" s="27" t="n"/>
      <c r="M857" s="27" t="n"/>
      <c r="N857" s="23" t="n"/>
      <c r="O857" s="29" t="n"/>
      <c r="P857" s="29" t="n"/>
      <c r="Q857" s="29" t="n"/>
      <c r="R857" s="29" t="n"/>
      <c r="S857" s="29" t="n"/>
      <c r="T857" s="29" t="n"/>
      <c r="U857" s="29" t="n"/>
      <c r="V857" s="30">
        <f>IF(OR($A857="",$U857=""),"",IF($S857&lt;&gt;"",MAX(0,$S857-$U857),MAX(0,TODAY()-$U857)))</f>
        <v/>
      </c>
      <c r="W857" s="30">
        <f>IF($A857="","",IF(OR($N857="Live",$N857="Retired"),"",TODAY()-MAX($O857,$P857,$Q857,$R857)))</f>
        <v/>
      </c>
      <c r="X857" s="23" t="n"/>
      <c r="Y857" s="30">
        <f>IF($A857="","",COUNTIFS('Issues Log'!$C$5:$C$504,$A857,'Issues Log'!$K$5:$K$504,"Open")+COUNTIFS('Issues Log'!$C$5:$C$504,$A857,'Issues Log'!$K$5:$K$504,"In progress"))</f>
        <v/>
      </c>
      <c r="Z857" s="27" t="n"/>
    </row>
    <row r="858">
      <c r="A858" s="27" t="n"/>
      <c r="B858" s="27" t="n"/>
      <c r="C858" s="27" t="n"/>
      <c r="D858" s="28">
        <f>IF($C858="","",IFERROR(INDEX('Topic Plan'!$C$5:$C$115,MATCH($C858,'Topic Plan'!$B$5:$B$115,0)),"UNKNOWN TOPIC ID"))</f>
        <v/>
      </c>
      <c r="E858" s="28">
        <f>IF($C858="","",IFERROR(INDEX('Topic Plan'!$D$5:$D$115,MATCH($C858,'Topic Plan'!$B$5:$B$115,0)),""))</f>
        <v/>
      </c>
      <c r="F858" s="28">
        <f>IF($C858="","",IFERROR(INDEX('Topic Plan'!$E$5:$E$115,MATCH($C858,'Topic Plan'!$B$5:$B$115,0)),""))</f>
        <v/>
      </c>
      <c r="G858" s="23" t="n"/>
      <c r="H858" s="27" t="n"/>
      <c r="I858" s="27" t="n"/>
      <c r="J858" s="27" t="n"/>
      <c r="K858" s="27" t="n"/>
      <c r="L858" s="27" t="n"/>
      <c r="M858" s="27" t="n"/>
      <c r="N858" s="23" t="n"/>
      <c r="O858" s="29" t="n"/>
      <c r="P858" s="29" t="n"/>
      <c r="Q858" s="29" t="n"/>
      <c r="R858" s="29" t="n"/>
      <c r="S858" s="29" t="n"/>
      <c r="T858" s="29" t="n"/>
      <c r="U858" s="29" t="n"/>
      <c r="V858" s="30">
        <f>IF(OR($A858="",$U858=""),"",IF($S858&lt;&gt;"",MAX(0,$S858-$U858),MAX(0,TODAY()-$U858)))</f>
        <v/>
      </c>
      <c r="W858" s="30">
        <f>IF($A858="","",IF(OR($N858="Live",$N858="Retired"),"",TODAY()-MAX($O858,$P858,$Q858,$R858)))</f>
        <v/>
      </c>
      <c r="X858" s="23" t="n"/>
      <c r="Y858" s="30">
        <f>IF($A858="","",COUNTIFS('Issues Log'!$C$5:$C$504,$A858,'Issues Log'!$K$5:$K$504,"Open")+COUNTIFS('Issues Log'!$C$5:$C$504,$A858,'Issues Log'!$K$5:$K$504,"In progress"))</f>
        <v/>
      </c>
      <c r="Z858" s="27" t="n"/>
    </row>
    <row r="859">
      <c r="A859" s="27" t="n"/>
      <c r="B859" s="27" t="n"/>
      <c r="C859" s="27" t="n"/>
      <c r="D859" s="28">
        <f>IF($C859="","",IFERROR(INDEX('Topic Plan'!$C$5:$C$115,MATCH($C859,'Topic Plan'!$B$5:$B$115,0)),"UNKNOWN TOPIC ID"))</f>
        <v/>
      </c>
      <c r="E859" s="28">
        <f>IF($C859="","",IFERROR(INDEX('Topic Plan'!$D$5:$D$115,MATCH($C859,'Topic Plan'!$B$5:$B$115,0)),""))</f>
        <v/>
      </c>
      <c r="F859" s="28">
        <f>IF($C859="","",IFERROR(INDEX('Topic Plan'!$E$5:$E$115,MATCH($C859,'Topic Plan'!$B$5:$B$115,0)),""))</f>
        <v/>
      </c>
      <c r="G859" s="23" t="n"/>
      <c r="H859" s="27" t="n"/>
      <c r="I859" s="27" t="n"/>
      <c r="J859" s="27" t="n"/>
      <c r="K859" s="27" t="n"/>
      <c r="L859" s="27" t="n"/>
      <c r="M859" s="27" t="n"/>
      <c r="N859" s="23" t="n"/>
      <c r="O859" s="29" t="n"/>
      <c r="P859" s="29" t="n"/>
      <c r="Q859" s="29" t="n"/>
      <c r="R859" s="29" t="n"/>
      <c r="S859" s="29" t="n"/>
      <c r="T859" s="29" t="n"/>
      <c r="U859" s="29" t="n"/>
      <c r="V859" s="30">
        <f>IF(OR($A859="",$U859=""),"",IF($S859&lt;&gt;"",MAX(0,$S859-$U859),MAX(0,TODAY()-$U859)))</f>
        <v/>
      </c>
      <c r="W859" s="30">
        <f>IF($A859="","",IF(OR($N859="Live",$N859="Retired"),"",TODAY()-MAX($O859,$P859,$Q859,$R859)))</f>
        <v/>
      </c>
      <c r="X859" s="23" t="n"/>
      <c r="Y859" s="30">
        <f>IF($A859="","",COUNTIFS('Issues Log'!$C$5:$C$504,$A859,'Issues Log'!$K$5:$K$504,"Open")+COUNTIFS('Issues Log'!$C$5:$C$504,$A859,'Issues Log'!$K$5:$K$504,"In progress"))</f>
        <v/>
      </c>
      <c r="Z859" s="27" t="n"/>
    </row>
    <row r="860">
      <c r="A860" s="27" t="n"/>
      <c r="B860" s="27" t="n"/>
      <c r="C860" s="27" t="n"/>
      <c r="D860" s="28">
        <f>IF($C860="","",IFERROR(INDEX('Topic Plan'!$C$5:$C$115,MATCH($C860,'Topic Plan'!$B$5:$B$115,0)),"UNKNOWN TOPIC ID"))</f>
        <v/>
      </c>
      <c r="E860" s="28">
        <f>IF($C860="","",IFERROR(INDEX('Topic Plan'!$D$5:$D$115,MATCH($C860,'Topic Plan'!$B$5:$B$115,0)),""))</f>
        <v/>
      </c>
      <c r="F860" s="28">
        <f>IF($C860="","",IFERROR(INDEX('Topic Plan'!$E$5:$E$115,MATCH($C860,'Topic Plan'!$B$5:$B$115,0)),""))</f>
        <v/>
      </c>
      <c r="G860" s="23" t="n"/>
      <c r="H860" s="27" t="n"/>
      <c r="I860" s="27" t="n"/>
      <c r="J860" s="27" t="n"/>
      <c r="K860" s="27" t="n"/>
      <c r="L860" s="27" t="n"/>
      <c r="M860" s="27" t="n"/>
      <c r="N860" s="23" t="n"/>
      <c r="O860" s="29" t="n"/>
      <c r="P860" s="29" t="n"/>
      <c r="Q860" s="29" t="n"/>
      <c r="R860" s="29" t="n"/>
      <c r="S860" s="29" t="n"/>
      <c r="T860" s="29" t="n"/>
      <c r="U860" s="29" t="n"/>
      <c r="V860" s="30">
        <f>IF(OR($A860="",$U860=""),"",IF($S860&lt;&gt;"",MAX(0,$S860-$U860),MAX(0,TODAY()-$U860)))</f>
        <v/>
      </c>
      <c r="W860" s="30">
        <f>IF($A860="","",IF(OR($N860="Live",$N860="Retired"),"",TODAY()-MAX($O860,$P860,$Q860,$R860)))</f>
        <v/>
      </c>
      <c r="X860" s="23" t="n"/>
      <c r="Y860" s="30">
        <f>IF($A860="","",COUNTIFS('Issues Log'!$C$5:$C$504,$A860,'Issues Log'!$K$5:$K$504,"Open")+COUNTIFS('Issues Log'!$C$5:$C$504,$A860,'Issues Log'!$K$5:$K$504,"In progress"))</f>
        <v/>
      </c>
      <c r="Z860" s="27" t="n"/>
    </row>
    <row r="861">
      <c r="A861" s="27" t="n"/>
      <c r="B861" s="27" t="n"/>
      <c r="C861" s="27" t="n"/>
      <c r="D861" s="28">
        <f>IF($C861="","",IFERROR(INDEX('Topic Plan'!$C$5:$C$115,MATCH($C861,'Topic Plan'!$B$5:$B$115,0)),"UNKNOWN TOPIC ID"))</f>
        <v/>
      </c>
      <c r="E861" s="28">
        <f>IF($C861="","",IFERROR(INDEX('Topic Plan'!$D$5:$D$115,MATCH($C861,'Topic Plan'!$B$5:$B$115,0)),""))</f>
        <v/>
      </c>
      <c r="F861" s="28">
        <f>IF($C861="","",IFERROR(INDEX('Topic Plan'!$E$5:$E$115,MATCH($C861,'Topic Plan'!$B$5:$B$115,0)),""))</f>
        <v/>
      </c>
      <c r="G861" s="23" t="n"/>
      <c r="H861" s="27" t="n"/>
      <c r="I861" s="27" t="n"/>
      <c r="J861" s="27" t="n"/>
      <c r="K861" s="27" t="n"/>
      <c r="L861" s="27" t="n"/>
      <c r="M861" s="27" t="n"/>
      <c r="N861" s="23" t="n"/>
      <c r="O861" s="29" t="n"/>
      <c r="P861" s="29" t="n"/>
      <c r="Q861" s="29" t="n"/>
      <c r="R861" s="29" t="n"/>
      <c r="S861" s="29" t="n"/>
      <c r="T861" s="29" t="n"/>
      <c r="U861" s="29" t="n"/>
      <c r="V861" s="30">
        <f>IF(OR($A861="",$U861=""),"",IF($S861&lt;&gt;"",MAX(0,$S861-$U861),MAX(0,TODAY()-$U861)))</f>
        <v/>
      </c>
      <c r="W861" s="30">
        <f>IF($A861="","",IF(OR($N861="Live",$N861="Retired"),"",TODAY()-MAX($O861,$P861,$Q861,$R861)))</f>
        <v/>
      </c>
      <c r="X861" s="23" t="n"/>
      <c r="Y861" s="30">
        <f>IF($A861="","",COUNTIFS('Issues Log'!$C$5:$C$504,$A861,'Issues Log'!$K$5:$K$504,"Open")+COUNTIFS('Issues Log'!$C$5:$C$504,$A861,'Issues Log'!$K$5:$K$504,"In progress"))</f>
        <v/>
      </c>
      <c r="Z861" s="27" t="n"/>
    </row>
    <row r="862">
      <c r="A862" s="27" t="n"/>
      <c r="B862" s="27" t="n"/>
      <c r="C862" s="27" t="n"/>
      <c r="D862" s="28">
        <f>IF($C862="","",IFERROR(INDEX('Topic Plan'!$C$5:$C$115,MATCH($C862,'Topic Plan'!$B$5:$B$115,0)),"UNKNOWN TOPIC ID"))</f>
        <v/>
      </c>
      <c r="E862" s="28">
        <f>IF($C862="","",IFERROR(INDEX('Topic Plan'!$D$5:$D$115,MATCH($C862,'Topic Plan'!$B$5:$B$115,0)),""))</f>
        <v/>
      </c>
      <c r="F862" s="28">
        <f>IF($C862="","",IFERROR(INDEX('Topic Plan'!$E$5:$E$115,MATCH($C862,'Topic Plan'!$B$5:$B$115,0)),""))</f>
        <v/>
      </c>
      <c r="G862" s="23" t="n"/>
      <c r="H862" s="27" t="n"/>
      <c r="I862" s="27" t="n"/>
      <c r="J862" s="27" t="n"/>
      <c r="K862" s="27" t="n"/>
      <c r="L862" s="27" t="n"/>
      <c r="M862" s="27" t="n"/>
      <c r="N862" s="23" t="n"/>
      <c r="O862" s="29" t="n"/>
      <c r="P862" s="29" t="n"/>
      <c r="Q862" s="29" t="n"/>
      <c r="R862" s="29" t="n"/>
      <c r="S862" s="29" t="n"/>
      <c r="T862" s="29" t="n"/>
      <c r="U862" s="29" t="n"/>
      <c r="V862" s="30">
        <f>IF(OR($A862="",$U862=""),"",IF($S862&lt;&gt;"",MAX(0,$S862-$U862),MAX(0,TODAY()-$U862)))</f>
        <v/>
      </c>
      <c r="W862" s="30">
        <f>IF($A862="","",IF(OR($N862="Live",$N862="Retired"),"",TODAY()-MAX($O862,$P862,$Q862,$R862)))</f>
        <v/>
      </c>
      <c r="X862" s="23" t="n"/>
      <c r="Y862" s="30">
        <f>IF($A862="","",COUNTIFS('Issues Log'!$C$5:$C$504,$A862,'Issues Log'!$K$5:$K$504,"Open")+COUNTIFS('Issues Log'!$C$5:$C$504,$A862,'Issues Log'!$K$5:$K$504,"In progress"))</f>
        <v/>
      </c>
      <c r="Z862" s="27" t="n"/>
    </row>
    <row r="863">
      <c r="A863" s="27" t="n"/>
      <c r="B863" s="27" t="n"/>
      <c r="C863" s="27" t="n"/>
      <c r="D863" s="28">
        <f>IF($C863="","",IFERROR(INDEX('Topic Plan'!$C$5:$C$115,MATCH($C863,'Topic Plan'!$B$5:$B$115,0)),"UNKNOWN TOPIC ID"))</f>
        <v/>
      </c>
      <c r="E863" s="28">
        <f>IF($C863="","",IFERROR(INDEX('Topic Plan'!$D$5:$D$115,MATCH($C863,'Topic Plan'!$B$5:$B$115,0)),""))</f>
        <v/>
      </c>
      <c r="F863" s="28">
        <f>IF($C863="","",IFERROR(INDEX('Topic Plan'!$E$5:$E$115,MATCH($C863,'Topic Plan'!$B$5:$B$115,0)),""))</f>
        <v/>
      </c>
      <c r="G863" s="23" t="n"/>
      <c r="H863" s="27" t="n"/>
      <c r="I863" s="27" t="n"/>
      <c r="J863" s="27" t="n"/>
      <c r="K863" s="27" t="n"/>
      <c r="L863" s="27" t="n"/>
      <c r="M863" s="27" t="n"/>
      <c r="N863" s="23" t="n"/>
      <c r="O863" s="29" t="n"/>
      <c r="P863" s="29" t="n"/>
      <c r="Q863" s="29" t="n"/>
      <c r="R863" s="29" t="n"/>
      <c r="S863" s="29" t="n"/>
      <c r="T863" s="29" t="n"/>
      <c r="U863" s="29" t="n"/>
      <c r="V863" s="30">
        <f>IF(OR($A863="",$U863=""),"",IF($S863&lt;&gt;"",MAX(0,$S863-$U863),MAX(0,TODAY()-$U863)))</f>
        <v/>
      </c>
      <c r="W863" s="30">
        <f>IF($A863="","",IF(OR($N863="Live",$N863="Retired"),"",TODAY()-MAX($O863,$P863,$Q863,$R863)))</f>
        <v/>
      </c>
      <c r="X863" s="23" t="n"/>
      <c r="Y863" s="30">
        <f>IF($A863="","",COUNTIFS('Issues Log'!$C$5:$C$504,$A863,'Issues Log'!$K$5:$K$504,"Open")+COUNTIFS('Issues Log'!$C$5:$C$504,$A863,'Issues Log'!$K$5:$K$504,"In progress"))</f>
        <v/>
      </c>
      <c r="Z863" s="27" t="n"/>
    </row>
    <row r="864">
      <c r="A864" s="27" t="n"/>
      <c r="B864" s="27" t="n"/>
      <c r="C864" s="27" t="n"/>
      <c r="D864" s="28">
        <f>IF($C864="","",IFERROR(INDEX('Topic Plan'!$C$5:$C$115,MATCH($C864,'Topic Plan'!$B$5:$B$115,0)),"UNKNOWN TOPIC ID"))</f>
        <v/>
      </c>
      <c r="E864" s="28">
        <f>IF($C864="","",IFERROR(INDEX('Topic Plan'!$D$5:$D$115,MATCH($C864,'Topic Plan'!$B$5:$B$115,0)),""))</f>
        <v/>
      </c>
      <c r="F864" s="28">
        <f>IF($C864="","",IFERROR(INDEX('Topic Plan'!$E$5:$E$115,MATCH($C864,'Topic Plan'!$B$5:$B$115,0)),""))</f>
        <v/>
      </c>
      <c r="G864" s="23" t="n"/>
      <c r="H864" s="27" t="n"/>
      <c r="I864" s="27" t="n"/>
      <c r="J864" s="27" t="n"/>
      <c r="K864" s="27" t="n"/>
      <c r="L864" s="27" t="n"/>
      <c r="M864" s="27" t="n"/>
      <c r="N864" s="23" t="n"/>
      <c r="O864" s="29" t="n"/>
      <c r="P864" s="29" t="n"/>
      <c r="Q864" s="29" t="n"/>
      <c r="R864" s="29" t="n"/>
      <c r="S864" s="29" t="n"/>
      <c r="T864" s="29" t="n"/>
      <c r="U864" s="29" t="n"/>
      <c r="V864" s="30">
        <f>IF(OR($A864="",$U864=""),"",IF($S864&lt;&gt;"",MAX(0,$S864-$U864),MAX(0,TODAY()-$U864)))</f>
        <v/>
      </c>
      <c r="W864" s="30">
        <f>IF($A864="","",IF(OR($N864="Live",$N864="Retired"),"",TODAY()-MAX($O864,$P864,$Q864,$R864)))</f>
        <v/>
      </c>
      <c r="X864" s="23" t="n"/>
      <c r="Y864" s="30">
        <f>IF($A864="","",COUNTIFS('Issues Log'!$C$5:$C$504,$A864,'Issues Log'!$K$5:$K$504,"Open")+COUNTIFS('Issues Log'!$C$5:$C$504,$A864,'Issues Log'!$K$5:$K$504,"In progress"))</f>
        <v/>
      </c>
      <c r="Z864" s="27" t="n"/>
    </row>
    <row r="865">
      <c r="A865" s="27" t="n"/>
      <c r="B865" s="27" t="n"/>
      <c r="C865" s="27" t="n"/>
      <c r="D865" s="28">
        <f>IF($C865="","",IFERROR(INDEX('Topic Plan'!$C$5:$C$115,MATCH($C865,'Topic Plan'!$B$5:$B$115,0)),"UNKNOWN TOPIC ID"))</f>
        <v/>
      </c>
      <c r="E865" s="28">
        <f>IF($C865="","",IFERROR(INDEX('Topic Plan'!$D$5:$D$115,MATCH($C865,'Topic Plan'!$B$5:$B$115,0)),""))</f>
        <v/>
      </c>
      <c r="F865" s="28">
        <f>IF($C865="","",IFERROR(INDEX('Topic Plan'!$E$5:$E$115,MATCH($C865,'Topic Plan'!$B$5:$B$115,0)),""))</f>
        <v/>
      </c>
      <c r="G865" s="23" t="n"/>
      <c r="H865" s="27" t="n"/>
      <c r="I865" s="27" t="n"/>
      <c r="J865" s="27" t="n"/>
      <c r="K865" s="27" t="n"/>
      <c r="L865" s="27" t="n"/>
      <c r="M865" s="27" t="n"/>
      <c r="N865" s="23" t="n"/>
      <c r="O865" s="29" t="n"/>
      <c r="P865" s="29" t="n"/>
      <c r="Q865" s="29" t="n"/>
      <c r="R865" s="29" t="n"/>
      <c r="S865" s="29" t="n"/>
      <c r="T865" s="29" t="n"/>
      <c r="U865" s="29" t="n"/>
      <c r="V865" s="30">
        <f>IF(OR($A865="",$U865=""),"",IF($S865&lt;&gt;"",MAX(0,$S865-$U865),MAX(0,TODAY()-$U865)))</f>
        <v/>
      </c>
      <c r="W865" s="30">
        <f>IF($A865="","",IF(OR($N865="Live",$N865="Retired"),"",TODAY()-MAX($O865,$P865,$Q865,$R865)))</f>
        <v/>
      </c>
      <c r="X865" s="23" t="n"/>
      <c r="Y865" s="30">
        <f>IF($A865="","",COUNTIFS('Issues Log'!$C$5:$C$504,$A865,'Issues Log'!$K$5:$K$504,"Open")+COUNTIFS('Issues Log'!$C$5:$C$504,$A865,'Issues Log'!$K$5:$K$504,"In progress"))</f>
        <v/>
      </c>
      <c r="Z865" s="27" t="n"/>
    </row>
    <row r="866">
      <c r="A866" s="27" t="n"/>
      <c r="B866" s="27" t="n"/>
      <c r="C866" s="27" t="n"/>
      <c r="D866" s="28">
        <f>IF($C866="","",IFERROR(INDEX('Topic Plan'!$C$5:$C$115,MATCH($C866,'Topic Plan'!$B$5:$B$115,0)),"UNKNOWN TOPIC ID"))</f>
        <v/>
      </c>
      <c r="E866" s="28">
        <f>IF($C866="","",IFERROR(INDEX('Topic Plan'!$D$5:$D$115,MATCH($C866,'Topic Plan'!$B$5:$B$115,0)),""))</f>
        <v/>
      </c>
      <c r="F866" s="28">
        <f>IF($C866="","",IFERROR(INDEX('Topic Plan'!$E$5:$E$115,MATCH($C866,'Topic Plan'!$B$5:$B$115,0)),""))</f>
        <v/>
      </c>
      <c r="G866" s="23" t="n"/>
      <c r="H866" s="27" t="n"/>
      <c r="I866" s="27" t="n"/>
      <c r="J866" s="27" t="n"/>
      <c r="K866" s="27" t="n"/>
      <c r="L866" s="27" t="n"/>
      <c r="M866" s="27" t="n"/>
      <c r="N866" s="23" t="n"/>
      <c r="O866" s="29" t="n"/>
      <c r="P866" s="29" t="n"/>
      <c r="Q866" s="29" t="n"/>
      <c r="R866" s="29" t="n"/>
      <c r="S866" s="29" t="n"/>
      <c r="T866" s="29" t="n"/>
      <c r="U866" s="29" t="n"/>
      <c r="V866" s="30">
        <f>IF(OR($A866="",$U866=""),"",IF($S866&lt;&gt;"",MAX(0,$S866-$U866),MAX(0,TODAY()-$U866)))</f>
        <v/>
      </c>
      <c r="W866" s="30">
        <f>IF($A866="","",IF(OR($N866="Live",$N866="Retired"),"",TODAY()-MAX($O866,$P866,$Q866,$R866)))</f>
        <v/>
      </c>
      <c r="X866" s="23" t="n"/>
      <c r="Y866" s="30">
        <f>IF($A866="","",COUNTIFS('Issues Log'!$C$5:$C$504,$A866,'Issues Log'!$K$5:$K$504,"Open")+COUNTIFS('Issues Log'!$C$5:$C$504,$A866,'Issues Log'!$K$5:$K$504,"In progress"))</f>
        <v/>
      </c>
      <c r="Z866" s="27" t="n"/>
    </row>
    <row r="867">
      <c r="A867" s="27" t="n"/>
      <c r="B867" s="27" t="n"/>
      <c r="C867" s="27" t="n"/>
      <c r="D867" s="28">
        <f>IF($C867="","",IFERROR(INDEX('Topic Plan'!$C$5:$C$115,MATCH($C867,'Topic Plan'!$B$5:$B$115,0)),"UNKNOWN TOPIC ID"))</f>
        <v/>
      </c>
      <c r="E867" s="28">
        <f>IF($C867="","",IFERROR(INDEX('Topic Plan'!$D$5:$D$115,MATCH($C867,'Topic Plan'!$B$5:$B$115,0)),""))</f>
        <v/>
      </c>
      <c r="F867" s="28">
        <f>IF($C867="","",IFERROR(INDEX('Topic Plan'!$E$5:$E$115,MATCH($C867,'Topic Plan'!$B$5:$B$115,0)),""))</f>
        <v/>
      </c>
      <c r="G867" s="23" t="n"/>
      <c r="H867" s="27" t="n"/>
      <c r="I867" s="27" t="n"/>
      <c r="J867" s="27" t="n"/>
      <c r="K867" s="27" t="n"/>
      <c r="L867" s="27" t="n"/>
      <c r="M867" s="27" t="n"/>
      <c r="N867" s="23" t="n"/>
      <c r="O867" s="29" t="n"/>
      <c r="P867" s="29" t="n"/>
      <c r="Q867" s="29" t="n"/>
      <c r="R867" s="29" t="n"/>
      <c r="S867" s="29" t="n"/>
      <c r="T867" s="29" t="n"/>
      <c r="U867" s="29" t="n"/>
      <c r="V867" s="30">
        <f>IF(OR($A867="",$U867=""),"",IF($S867&lt;&gt;"",MAX(0,$S867-$U867),MAX(0,TODAY()-$U867)))</f>
        <v/>
      </c>
      <c r="W867" s="30">
        <f>IF($A867="","",IF(OR($N867="Live",$N867="Retired"),"",TODAY()-MAX($O867,$P867,$Q867,$R867)))</f>
        <v/>
      </c>
      <c r="X867" s="23" t="n"/>
      <c r="Y867" s="30">
        <f>IF($A867="","",COUNTIFS('Issues Log'!$C$5:$C$504,$A867,'Issues Log'!$K$5:$K$504,"Open")+COUNTIFS('Issues Log'!$C$5:$C$504,$A867,'Issues Log'!$K$5:$K$504,"In progress"))</f>
        <v/>
      </c>
      <c r="Z867" s="27" t="n"/>
    </row>
    <row r="868">
      <c r="A868" s="27" t="n"/>
      <c r="B868" s="27" t="n"/>
      <c r="C868" s="27" t="n"/>
      <c r="D868" s="28">
        <f>IF($C868="","",IFERROR(INDEX('Topic Plan'!$C$5:$C$115,MATCH($C868,'Topic Plan'!$B$5:$B$115,0)),"UNKNOWN TOPIC ID"))</f>
        <v/>
      </c>
      <c r="E868" s="28">
        <f>IF($C868="","",IFERROR(INDEX('Topic Plan'!$D$5:$D$115,MATCH($C868,'Topic Plan'!$B$5:$B$115,0)),""))</f>
        <v/>
      </c>
      <c r="F868" s="28">
        <f>IF($C868="","",IFERROR(INDEX('Topic Plan'!$E$5:$E$115,MATCH($C868,'Topic Plan'!$B$5:$B$115,0)),""))</f>
        <v/>
      </c>
      <c r="G868" s="23" t="n"/>
      <c r="H868" s="27" t="n"/>
      <c r="I868" s="27" t="n"/>
      <c r="J868" s="27" t="n"/>
      <c r="K868" s="27" t="n"/>
      <c r="L868" s="27" t="n"/>
      <c r="M868" s="27" t="n"/>
      <c r="N868" s="23" t="n"/>
      <c r="O868" s="29" t="n"/>
      <c r="P868" s="29" t="n"/>
      <c r="Q868" s="29" t="n"/>
      <c r="R868" s="29" t="n"/>
      <c r="S868" s="29" t="n"/>
      <c r="T868" s="29" t="n"/>
      <c r="U868" s="29" t="n"/>
      <c r="V868" s="30">
        <f>IF(OR($A868="",$U868=""),"",IF($S868&lt;&gt;"",MAX(0,$S868-$U868),MAX(0,TODAY()-$U868)))</f>
        <v/>
      </c>
      <c r="W868" s="30">
        <f>IF($A868="","",IF(OR($N868="Live",$N868="Retired"),"",TODAY()-MAX($O868,$P868,$Q868,$R868)))</f>
        <v/>
      </c>
      <c r="X868" s="23" t="n"/>
      <c r="Y868" s="30">
        <f>IF($A868="","",COUNTIFS('Issues Log'!$C$5:$C$504,$A868,'Issues Log'!$K$5:$K$504,"Open")+COUNTIFS('Issues Log'!$C$5:$C$504,$A868,'Issues Log'!$K$5:$K$504,"In progress"))</f>
        <v/>
      </c>
      <c r="Z868" s="27" t="n"/>
    </row>
    <row r="869">
      <c r="A869" s="27" t="n"/>
      <c r="B869" s="27" t="n"/>
      <c r="C869" s="27" t="n"/>
      <c r="D869" s="28">
        <f>IF($C869="","",IFERROR(INDEX('Topic Plan'!$C$5:$C$115,MATCH($C869,'Topic Plan'!$B$5:$B$115,0)),"UNKNOWN TOPIC ID"))</f>
        <v/>
      </c>
      <c r="E869" s="28">
        <f>IF($C869="","",IFERROR(INDEX('Topic Plan'!$D$5:$D$115,MATCH($C869,'Topic Plan'!$B$5:$B$115,0)),""))</f>
        <v/>
      </c>
      <c r="F869" s="28">
        <f>IF($C869="","",IFERROR(INDEX('Topic Plan'!$E$5:$E$115,MATCH($C869,'Topic Plan'!$B$5:$B$115,0)),""))</f>
        <v/>
      </c>
      <c r="G869" s="23" t="n"/>
      <c r="H869" s="27" t="n"/>
      <c r="I869" s="27" t="n"/>
      <c r="J869" s="27" t="n"/>
      <c r="K869" s="27" t="n"/>
      <c r="L869" s="27" t="n"/>
      <c r="M869" s="27" t="n"/>
      <c r="N869" s="23" t="n"/>
      <c r="O869" s="29" t="n"/>
      <c r="P869" s="29" t="n"/>
      <c r="Q869" s="29" t="n"/>
      <c r="R869" s="29" t="n"/>
      <c r="S869" s="29" t="n"/>
      <c r="T869" s="29" t="n"/>
      <c r="U869" s="29" t="n"/>
      <c r="V869" s="30">
        <f>IF(OR($A869="",$U869=""),"",IF($S869&lt;&gt;"",MAX(0,$S869-$U869),MAX(0,TODAY()-$U869)))</f>
        <v/>
      </c>
      <c r="W869" s="30">
        <f>IF($A869="","",IF(OR($N869="Live",$N869="Retired"),"",TODAY()-MAX($O869,$P869,$Q869,$R869)))</f>
        <v/>
      </c>
      <c r="X869" s="23" t="n"/>
      <c r="Y869" s="30">
        <f>IF($A869="","",COUNTIFS('Issues Log'!$C$5:$C$504,$A869,'Issues Log'!$K$5:$K$504,"Open")+COUNTIFS('Issues Log'!$C$5:$C$504,$A869,'Issues Log'!$K$5:$K$504,"In progress"))</f>
        <v/>
      </c>
      <c r="Z869" s="27" t="n"/>
    </row>
    <row r="870">
      <c r="A870" s="27" t="n"/>
      <c r="B870" s="27" t="n"/>
      <c r="C870" s="27" t="n"/>
      <c r="D870" s="28">
        <f>IF($C870="","",IFERROR(INDEX('Topic Plan'!$C$5:$C$115,MATCH($C870,'Topic Plan'!$B$5:$B$115,0)),"UNKNOWN TOPIC ID"))</f>
        <v/>
      </c>
      <c r="E870" s="28">
        <f>IF($C870="","",IFERROR(INDEX('Topic Plan'!$D$5:$D$115,MATCH($C870,'Topic Plan'!$B$5:$B$115,0)),""))</f>
        <v/>
      </c>
      <c r="F870" s="28">
        <f>IF($C870="","",IFERROR(INDEX('Topic Plan'!$E$5:$E$115,MATCH($C870,'Topic Plan'!$B$5:$B$115,0)),""))</f>
        <v/>
      </c>
      <c r="G870" s="23" t="n"/>
      <c r="H870" s="27" t="n"/>
      <c r="I870" s="27" t="n"/>
      <c r="J870" s="27" t="n"/>
      <c r="K870" s="27" t="n"/>
      <c r="L870" s="27" t="n"/>
      <c r="M870" s="27" t="n"/>
      <c r="N870" s="23" t="n"/>
      <c r="O870" s="29" t="n"/>
      <c r="P870" s="29" t="n"/>
      <c r="Q870" s="29" t="n"/>
      <c r="R870" s="29" t="n"/>
      <c r="S870" s="29" t="n"/>
      <c r="T870" s="29" t="n"/>
      <c r="U870" s="29" t="n"/>
      <c r="V870" s="30">
        <f>IF(OR($A870="",$U870=""),"",IF($S870&lt;&gt;"",MAX(0,$S870-$U870),MAX(0,TODAY()-$U870)))</f>
        <v/>
      </c>
      <c r="W870" s="30">
        <f>IF($A870="","",IF(OR($N870="Live",$N870="Retired"),"",TODAY()-MAX($O870,$P870,$Q870,$R870)))</f>
        <v/>
      </c>
      <c r="X870" s="23" t="n"/>
      <c r="Y870" s="30">
        <f>IF($A870="","",COUNTIFS('Issues Log'!$C$5:$C$504,$A870,'Issues Log'!$K$5:$K$504,"Open")+COUNTIFS('Issues Log'!$C$5:$C$504,$A870,'Issues Log'!$K$5:$K$504,"In progress"))</f>
        <v/>
      </c>
      <c r="Z870" s="27" t="n"/>
    </row>
    <row r="871">
      <c r="A871" s="27" t="n"/>
      <c r="B871" s="27" t="n"/>
      <c r="C871" s="27" t="n"/>
      <c r="D871" s="28">
        <f>IF($C871="","",IFERROR(INDEX('Topic Plan'!$C$5:$C$115,MATCH($C871,'Topic Plan'!$B$5:$B$115,0)),"UNKNOWN TOPIC ID"))</f>
        <v/>
      </c>
      <c r="E871" s="28">
        <f>IF($C871="","",IFERROR(INDEX('Topic Plan'!$D$5:$D$115,MATCH($C871,'Topic Plan'!$B$5:$B$115,0)),""))</f>
        <v/>
      </c>
      <c r="F871" s="28">
        <f>IF($C871="","",IFERROR(INDEX('Topic Plan'!$E$5:$E$115,MATCH($C871,'Topic Plan'!$B$5:$B$115,0)),""))</f>
        <v/>
      </c>
      <c r="G871" s="23" t="n"/>
      <c r="H871" s="27" t="n"/>
      <c r="I871" s="27" t="n"/>
      <c r="J871" s="27" t="n"/>
      <c r="K871" s="27" t="n"/>
      <c r="L871" s="27" t="n"/>
      <c r="M871" s="27" t="n"/>
      <c r="N871" s="23" t="n"/>
      <c r="O871" s="29" t="n"/>
      <c r="P871" s="29" t="n"/>
      <c r="Q871" s="29" t="n"/>
      <c r="R871" s="29" t="n"/>
      <c r="S871" s="29" t="n"/>
      <c r="T871" s="29" t="n"/>
      <c r="U871" s="29" t="n"/>
      <c r="V871" s="30">
        <f>IF(OR($A871="",$U871=""),"",IF($S871&lt;&gt;"",MAX(0,$S871-$U871),MAX(0,TODAY()-$U871)))</f>
        <v/>
      </c>
      <c r="W871" s="30">
        <f>IF($A871="","",IF(OR($N871="Live",$N871="Retired"),"",TODAY()-MAX($O871,$P871,$Q871,$R871)))</f>
        <v/>
      </c>
      <c r="X871" s="23" t="n"/>
      <c r="Y871" s="30">
        <f>IF($A871="","",COUNTIFS('Issues Log'!$C$5:$C$504,$A871,'Issues Log'!$K$5:$K$504,"Open")+COUNTIFS('Issues Log'!$C$5:$C$504,$A871,'Issues Log'!$K$5:$K$504,"In progress"))</f>
        <v/>
      </c>
      <c r="Z871" s="27" t="n"/>
    </row>
    <row r="872">
      <c r="A872" s="27" t="n"/>
      <c r="B872" s="27" t="n"/>
      <c r="C872" s="27" t="n"/>
      <c r="D872" s="28">
        <f>IF($C872="","",IFERROR(INDEX('Topic Plan'!$C$5:$C$115,MATCH($C872,'Topic Plan'!$B$5:$B$115,0)),"UNKNOWN TOPIC ID"))</f>
        <v/>
      </c>
      <c r="E872" s="28">
        <f>IF($C872="","",IFERROR(INDEX('Topic Plan'!$D$5:$D$115,MATCH($C872,'Topic Plan'!$B$5:$B$115,0)),""))</f>
        <v/>
      </c>
      <c r="F872" s="28">
        <f>IF($C872="","",IFERROR(INDEX('Topic Plan'!$E$5:$E$115,MATCH($C872,'Topic Plan'!$B$5:$B$115,0)),""))</f>
        <v/>
      </c>
      <c r="G872" s="23" t="n"/>
      <c r="H872" s="27" t="n"/>
      <c r="I872" s="27" t="n"/>
      <c r="J872" s="27" t="n"/>
      <c r="K872" s="27" t="n"/>
      <c r="L872" s="27" t="n"/>
      <c r="M872" s="27" t="n"/>
      <c r="N872" s="23" t="n"/>
      <c r="O872" s="29" t="n"/>
      <c r="P872" s="29" t="n"/>
      <c r="Q872" s="29" t="n"/>
      <c r="R872" s="29" t="n"/>
      <c r="S872" s="29" t="n"/>
      <c r="T872" s="29" t="n"/>
      <c r="U872" s="29" t="n"/>
      <c r="V872" s="30">
        <f>IF(OR($A872="",$U872=""),"",IF($S872&lt;&gt;"",MAX(0,$S872-$U872),MAX(0,TODAY()-$U872)))</f>
        <v/>
      </c>
      <c r="W872" s="30">
        <f>IF($A872="","",IF(OR($N872="Live",$N872="Retired"),"",TODAY()-MAX($O872,$P872,$Q872,$R872)))</f>
        <v/>
      </c>
      <c r="X872" s="23" t="n"/>
      <c r="Y872" s="30">
        <f>IF($A872="","",COUNTIFS('Issues Log'!$C$5:$C$504,$A872,'Issues Log'!$K$5:$K$504,"Open")+COUNTIFS('Issues Log'!$C$5:$C$504,$A872,'Issues Log'!$K$5:$K$504,"In progress"))</f>
        <v/>
      </c>
      <c r="Z872" s="27" t="n"/>
    </row>
    <row r="873">
      <c r="A873" s="27" t="n"/>
      <c r="B873" s="27" t="n"/>
      <c r="C873" s="27" t="n"/>
      <c r="D873" s="28">
        <f>IF($C873="","",IFERROR(INDEX('Topic Plan'!$C$5:$C$115,MATCH($C873,'Topic Plan'!$B$5:$B$115,0)),"UNKNOWN TOPIC ID"))</f>
        <v/>
      </c>
      <c r="E873" s="28">
        <f>IF($C873="","",IFERROR(INDEX('Topic Plan'!$D$5:$D$115,MATCH($C873,'Topic Plan'!$B$5:$B$115,0)),""))</f>
        <v/>
      </c>
      <c r="F873" s="28">
        <f>IF($C873="","",IFERROR(INDEX('Topic Plan'!$E$5:$E$115,MATCH($C873,'Topic Plan'!$B$5:$B$115,0)),""))</f>
        <v/>
      </c>
      <c r="G873" s="23" t="n"/>
      <c r="H873" s="27" t="n"/>
      <c r="I873" s="27" t="n"/>
      <c r="J873" s="27" t="n"/>
      <c r="K873" s="27" t="n"/>
      <c r="L873" s="27" t="n"/>
      <c r="M873" s="27" t="n"/>
      <c r="N873" s="23" t="n"/>
      <c r="O873" s="29" t="n"/>
      <c r="P873" s="29" t="n"/>
      <c r="Q873" s="29" t="n"/>
      <c r="R873" s="29" t="n"/>
      <c r="S873" s="29" t="n"/>
      <c r="T873" s="29" t="n"/>
      <c r="U873" s="29" t="n"/>
      <c r="V873" s="30">
        <f>IF(OR($A873="",$U873=""),"",IF($S873&lt;&gt;"",MAX(0,$S873-$U873),MAX(0,TODAY()-$U873)))</f>
        <v/>
      </c>
      <c r="W873" s="30">
        <f>IF($A873="","",IF(OR($N873="Live",$N873="Retired"),"",TODAY()-MAX($O873,$P873,$Q873,$R873)))</f>
        <v/>
      </c>
      <c r="X873" s="23" t="n"/>
      <c r="Y873" s="30">
        <f>IF($A873="","",COUNTIFS('Issues Log'!$C$5:$C$504,$A873,'Issues Log'!$K$5:$K$504,"Open")+COUNTIFS('Issues Log'!$C$5:$C$504,$A873,'Issues Log'!$K$5:$K$504,"In progress"))</f>
        <v/>
      </c>
      <c r="Z873" s="27" t="n"/>
    </row>
    <row r="874">
      <c r="A874" s="27" t="n"/>
      <c r="B874" s="27" t="n"/>
      <c r="C874" s="27" t="n"/>
      <c r="D874" s="28">
        <f>IF($C874="","",IFERROR(INDEX('Topic Plan'!$C$5:$C$115,MATCH($C874,'Topic Plan'!$B$5:$B$115,0)),"UNKNOWN TOPIC ID"))</f>
        <v/>
      </c>
      <c r="E874" s="28">
        <f>IF($C874="","",IFERROR(INDEX('Topic Plan'!$D$5:$D$115,MATCH($C874,'Topic Plan'!$B$5:$B$115,0)),""))</f>
        <v/>
      </c>
      <c r="F874" s="28">
        <f>IF($C874="","",IFERROR(INDEX('Topic Plan'!$E$5:$E$115,MATCH($C874,'Topic Plan'!$B$5:$B$115,0)),""))</f>
        <v/>
      </c>
      <c r="G874" s="23" t="n"/>
      <c r="H874" s="27" t="n"/>
      <c r="I874" s="27" t="n"/>
      <c r="J874" s="27" t="n"/>
      <c r="K874" s="27" t="n"/>
      <c r="L874" s="27" t="n"/>
      <c r="M874" s="27" t="n"/>
      <c r="N874" s="23" t="n"/>
      <c r="O874" s="29" t="n"/>
      <c r="P874" s="29" t="n"/>
      <c r="Q874" s="29" t="n"/>
      <c r="R874" s="29" t="n"/>
      <c r="S874" s="29" t="n"/>
      <c r="T874" s="29" t="n"/>
      <c r="U874" s="29" t="n"/>
      <c r="V874" s="30">
        <f>IF(OR($A874="",$U874=""),"",IF($S874&lt;&gt;"",MAX(0,$S874-$U874),MAX(0,TODAY()-$U874)))</f>
        <v/>
      </c>
      <c r="W874" s="30">
        <f>IF($A874="","",IF(OR($N874="Live",$N874="Retired"),"",TODAY()-MAX($O874,$P874,$Q874,$R874)))</f>
        <v/>
      </c>
      <c r="X874" s="23" t="n"/>
      <c r="Y874" s="30">
        <f>IF($A874="","",COUNTIFS('Issues Log'!$C$5:$C$504,$A874,'Issues Log'!$K$5:$K$504,"Open")+COUNTIFS('Issues Log'!$C$5:$C$504,$A874,'Issues Log'!$K$5:$K$504,"In progress"))</f>
        <v/>
      </c>
      <c r="Z874" s="27" t="n"/>
    </row>
    <row r="875">
      <c r="A875" s="27" t="n"/>
      <c r="B875" s="27" t="n"/>
      <c r="C875" s="27" t="n"/>
      <c r="D875" s="28">
        <f>IF($C875="","",IFERROR(INDEX('Topic Plan'!$C$5:$C$115,MATCH($C875,'Topic Plan'!$B$5:$B$115,0)),"UNKNOWN TOPIC ID"))</f>
        <v/>
      </c>
      <c r="E875" s="28">
        <f>IF($C875="","",IFERROR(INDEX('Topic Plan'!$D$5:$D$115,MATCH($C875,'Topic Plan'!$B$5:$B$115,0)),""))</f>
        <v/>
      </c>
      <c r="F875" s="28">
        <f>IF($C875="","",IFERROR(INDEX('Topic Plan'!$E$5:$E$115,MATCH($C875,'Topic Plan'!$B$5:$B$115,0)),""))</f>
        <v/>
      </c>
      <c r="G875" s="23" t="n"/>
      <c r="H875" s="27" t="n"/>
      <c r="I875" s="27" t="n"/>
      <c r="J875" s="27" t="n"/>
      <c r="K875" s="27" t="n"/>
      <c r="L875" s="27" t="n"/>
      <c r="M875" s="27" t="n"/>
      <c r="N875" s="23" t="n"/>
      <c r="O875" s="29" t="n"/>
      <c r="P875" s="29" t="n"/>
      <c r="Q875" s="29" t="n"/>
      <c r="R875" s="29" t="n"/>
      <c r="S875" s="29" t="n"/>
      <c r="T875" s="29" t="n"/>
      <c r="U875" s="29" t="n"/>
      <c r="V875" s="30">
        <f>IF(OR($A875="",$U875=""),"",IF($S875&lt;&gt;"",MAX(0,$S875-$U875),MAX(0,TODAY()-$U875)))</f>
        <v/>
      </c>
      <c r="W875" s="30">
        <f>IF($A875="","",IF(OR($N875="Live",$N875="Retired"),"",TODAY()-MAX($O875,$P875,$Q875,$R875)))</f>
        <v/>
      </c>
      <c r="X875" s="23" t="n"/>
      <c r="Y875" s="30">
        <f>IF($A875="","",COUNTIFS('Issues Log'!$C$5:$C$504,$A875,'Issues Log'!$K$5:$K$504,"Open")+COUNTIFS('Issues Log'!$C$5:$C$504,$A875,'Issues Log'!$K$5:$K$504,"In progress"))</f>
        <v/>
      </c>
      <c r="Z875" s="27" t="n"/>
    </row>
    <row r="876">
      <c r="A876" s="27" t="n"/>
      <c r="B876" s="27" t="n"/>
      <c r="C876" s="27" t="n"/>
      <c r="D876" s="28">
        <f>IF($C876="","",IFERROR(INDEX('Topic Plan'!$C$5:$C$115,MATCH($C876,'Topic Plan'!$B$5:$B$115,0)),"UNKNOWN TOPIC ID"))</f>
        <v/>
      </c>
      <c r="E876" s="28">
        <f>IF($C876="","",IFERROR(INDEX('Topic Plan'!$D$5:$D$115,MATCH($C876,'Topic Plan'!$B$5:$B$115,0)),""))</f>
        <v/>
      </c>
      <c r="F876" s="28">
        <f>IF($C876="","",IFERROR(INDEX('Topic Plan'!$E$5:$E$115,MATCH($C876,'Topic Plan'!$B$5:$B$115,0)),""))</f>
        <v/>
      </c>
      <c r="G876" s="23" t="n"/>
      <c r="H876" s="27" t="n"/>
      <c r="I876" s="27" t="n"/>
      <c r="J876" s="27" t="n"/>
      <c r="K876" s="27" t="n"/>
      <c r="L876" s="27" t="n"/>
      <c r="M876" s="27" t="n"/>
      <c r="N876" s="23" t="n"/>
      <c r="O876" s="29" t="n"/>
      <c r="P876" s="29" t="n"/>
      <c r="Q876" s="29" t="n"/>
      <c r="R876" s="29" t="n"/>
      <c r="S876" s="29" t="n"/>
      <c r="T876" s="29" t="n"/>
      <c r="U876" s="29" t="n"/>
      <c r="V876" s="30">
        <f>IF(OR($A876="",$U876=""),"",IF($S876&lt;&gt;"",MAX(0,$S876-$U876),MAX(0,TODAY()-$U876)))</f>
        <v/>
      </c>
      <c r="W876" s="30">
        <f>IF($A876="","",IF(OR($N876="Live",$N876="Retired"),"",TODAY()-MAX($O876,$P876,$Q876,$R876)))</f>
        <v/>
      </c>
      <c r="X876" s="23" t="n"/>
      <c r="Y876" s="30">
        <f>IF($A876="","",COUNTIFS('Issues Log'!$C$5:$C$504,$A876,'Issues Log'!$K$5:$K$504,"Open")+COUNTIFS('Issues Log'!$C$5:$C$504,$A876,'Issues Log'!$K$5:$K$504,"In progress"))</f>
        <v/>
      </c>
      <c r="Z876" s="27" t="n"/>
    </row>
    <row r="877">
      <c r="A877" s="27" t="n"/>
      <c r="B877" s="27" t="n"/>
      <c r="C877" s="27" t="n"/>
      <c r="D877" s="28">
        <f>IF($C877="","",IFERROR(INDEX('Topic Plan'!$C$5:$C$115,MATCH($C877,'Topic Plan'!$B$5:$B$115,0)),"UNKNOWN TOPIC ID"))</f>
        <v/>
      </c>
      <c r="E877" s="28">
        <f>IF($C877="","",IFERROR(INDEX('Topic Plan'!$D$5:$D$115,MATCH($C877,'Topic Plan'!$B$5:$B$115,0)),""))</f>
        <v/>
      </c>
      <c r="F877" s="28">
        <f>IF($C877="","",IFERROR(INDEX('Topic Plan'!$E$5:$E$115,MATCH($C877,'Topic Plan'!$B$5:$B$115,0)),""))</f>
        <v/>
      </c>
      <c r="G877" s="23" t="n"/>
      <c r="H877" s="27" t="n"/>
      <c r="I877" s="27" t="n"/>
      <c r="J877" s="27" t="n"/>
      <c r="K877" s="27" t="n"/>
      <c r="L877" s="27" t="n"/>
      <c r="M877" s="27" t="n"/>
      <c r="N877" s="23" t="n"/>
      <c r="O877" s="29" t="n"/>
      <c r="P877" s="29" t="n"/>
      <c r="Q877" s="29" t="n"/>
      <c r="R877" s="29" t="n"/>
      <c r="S877" s="29" t="n"/>
      <c r="T877" s="29" t="n"/>
      <c r="U877" s="29" t="n"/>
      <c r="V877" s="30">
        <f>IF(OR($A877="",$U877=""),"",IF($S877&lt;&gt;"",MAX(0,$S877-$U877),MAX(0,TODAY()-$U877)))</f>
        <v/>
      </c>
      <c r="W877" s="30">
        <f>IF($A877="","",IF(OR($N877="Live",$N877="Retired"),"",TODAY()-MAX($O877,$P877,$Q877,$R877)))</f>
        <v/>
      </c>
      <c r="X877" s="23" t="n"/>
      <c r="Y877" s="30">
        <f>IF($A877="","",COUNTIFS('Issues Log'!$C$5:$C$504,$A877,'Issues Log'!$K$5:$K$504,"Open")+COUNTIFS('Issues Log'!$C$5:$C$504,$A877,'Issues Log'!$K$5:$K$504,"In progress"))</f>
        <v/>
      </c>
      <c r="Z877" s="27" t="n"/>
    </row>
    <row r="878">
      <c r="A878" s="27" t="n"/>
      <c r="B878" s="27" t="n"/>
      <c r="C878" s="27" t="n"/>
      <c r="D878" s="28">
        <f>IF($C878="","",IFERROR(INDEX('Topic Plan'!$C$5:$C$115,MATCH($C878,'Topic Plan'!$B$5:$B$115,0)),"UNKNOWN TOPIC ID"))</f>
        <v/>
      </c>
      <c r="E878" s="28">
        <f>IF($C878="","",IFERROR(INDEX('Topic Plan'!$D$5:$D$115,MATCH($C878,'Topic Plan'!$B$5:$B$115,0)),""))</f>
        <v/>
      </c>
      <c r="F878" s="28">
        <f>IF($C878="","",IFERROR(INDEX('Topic Plan'!$E$5:$E$115,MATCH($C878,'Topic Plan'!$B$5:$B$115,0)),""))</f>
        <v/>
      </c>
      <c r="G878" s="23" t="n"/>
      <c r="H878" s="27" t="n"/>
      <c r="I878" s="27" t="n"/>
      <c r="J878" s="27" t="n"/>
      <c r="K878" s="27" t="n"/>
      <c r="L878" s="27" t="n"/>
      <c r="M878" s="27" t="n"/>
      <c r="N878" s="23" t="n"/>
      <c r="O878" s="29" t="n"/>
      <c r="P878" s="29" t="n"/>
      <c r="Q878" s="29" t="n"/>
      <c r="R878" s="29" t="n"/>
      <c r="S878" s="29" t="n"/>
      <c r="T878" s="29" t="n"/>
      <c r="U878" s="29" t="n"/>
      <c r="V878" s="30">
        <f>IF(OR($A878="",$U878=""),"",IF($S878&lt;&gt;"",MAX(0,$S878-$U878),MAX(0,TODAY()-$U878)))</f>
        <v/>
      </c>
      <c r="W878" s="30">
        <f>IF($A878="","",IF(OR($N878="Live",$N878="Retired"),"",TODAY()-MAX($O878,$P878,$Q878,$R878)))</f>
        <v/>
      </c>
      <c r="X878" s="23" t="n"/>
      <c r="Y878" s="30">
        <f>IF($A878="","",COUNTIFS('Issues Log'!$C$5:$C$504,$A878,'Issues Log'!$K$5:$K$504,"Open")+COUNTIFS('Issues Log'!$C$5:$C$504,$A878,'Issues Log'!$K$5:$K$504,"In progress"))</f>
        <v/>
      </c>
      <c r="Z878" s="27" t="n"/>
    </row>
    <row r="879">
      <c r="A879" s="27" t="n"/>
      <c r="B879" s="27" t="n"/>
      <c r="C879" s="27" t="n"/>
      <c r="D879" s="28">
        <f>IF($C879="","",IFERROR(INDEX('Topic Plan'!$C$5:$C$115,MATCH($C879,'Topic Plan'!$B$5:$B$115,0)),"UNKNOWN TOPIC ID"))</f>
        <v/>
      </c>
      <c r="E879" s="28">
        <f>IF($C879="","",IFERROR(INDEX('Topic Plan'!$D$5:$D$115,MATCH($C879,'Topic Plan'!$B$5:$B$115,0)),""))</f>
        <v/>
      </c>
      <c r="F879" s="28">
        <f>IF($C879="","",IFERROR(INDEX('Topic Plan'!$E$5:$E$115,MATCH($C879,'Topic Plan'!$B$5:$B$115,0)),""))</f>
        <v/>
      </c>
      <c r="G879" s="23" t="n"/>
      <c r="H879" s="27" t="n"/>
      <c r="I879" s="27" t="n"/>
      <c r="J879" s="27" t="n"/>
      <c r="K879" s="27" t="n"/>
      <c r="L879" s="27" t="n"/>
      <c r="M879" s="27" t="n"/>
      <c r="N879" s="23" t="n"/>
      <c r="O879" s="29" t="n"/>
      <c r="P879" s="29" t="n"/>
      <c r="Q879" s="29" t="n"/>
      <c r="R879" s="29" t="n"/>
      <c r="S879" s="29" t="n"/>
      <c r="T879" s="29" t="n"/>
      <c r="U879" s="29" t="n"/>
      <c r="V879" s="30">
        <f>IF(OR($A879="",$U879=""),"",IF($S879&lt;&gt;"",MAX(0,$S879-$U879),MAX(0,TODAY()-$U879)))</f>
        <v/>
      </c>
      <c r="W879" s="30">
        <f>IF($A879="","",IF(OR($N879="Live",$N879="Retired"),"",TODAY()-MAX($O879,$P879,$Q879,$R879)))</f>
        <v/>
      </c>
      <c r="X879" s="23" t="n"/>
      <c r="Y879" s="30">
        <f>IF($A879="","",COUNTIFS('Issues Log'!$C$5:$C$504,$A879,'Issues Log'!$K$5:$K$504,"Open")+COUNTIFS('Issues Log'!$C$5:$C$504,$A879,'Issues Log'!$K$5:$K$504,"In progress"))</f>
        <v/>
      </c>
      <c r="Z879" s="27" t="n"/>
    </row>
    <row r="880">
      <c r="A880" s="27" t="n"/>
      <c r="B880" s="27" t="n"/>
      <c r="C880" s="27" t="n"/>
      <c r="D880" s="28">
        <f>IF($C880="","",IFERROR(INDEX('Topic Plan'!$C$5:$C$115,MATCH($C880,'Topic Plan'!$B$5:$B$115,0)),"UNKNOWN TOPIC ID"))</f>
        <v/>
      </c>
      <c r="E880" s="28">
        <f>IF($C880="","",IFERROR(INDEX('Topic Plan'!$D$5:$D$115,MATCH($C880,'Topic Plan'!$B$5:$B$115,0)),""))</f>
        <v/>
      </c>
      <c r="F880" s="28">
        <f>IF($C880="","",IFERROR(INDEX('Topic Plan'!$E$5:$E$115,MATCH($C880,'Topic Plan'!$B$5:$B$115,0)),""))</f>
        <v/>
      </c>
      <c r="G880" s="23" t="n"/>
      <c r="H880" s="27" t="n"/>
      <c r="I880" s="27" t="n"/>
      <c r="J880" s="27" t="n"/>
      <c r="K880" s="27" t="n"/>
      <c r="L880" s="27" t="n"/>
      <c r="M880" s="27" t="n"/>
      <c r="N880" s="23" t="n"/>
      <c r="O880" s="29" t="n"/>
      <c r="P880" s="29" t="n"/>
      <c r="Q880" s="29" t="n"/>
      <c r="R880" s="29" t="n"/>
      <c r="S880" s="29" t="n"/>
      <c r="T880" s="29" t="n"/>
      <c r="U880" s="29" t="n"/>
      <c r="V880" s="30">
        <f>IF(OR($A880="",$U880=""),"",IF($S880&lt;&gt;"",MAX(0,$S880-$U880),MAX(0,TODAY()-$U880)))</f>
        <v/>
      </c>
      <c r="W880" s="30">
        <f>IF($A880="","",IF(OR($N880="Live",$N880="Retired"),"",TODAY()-MAX($O880,$P880,$Q880,$R880)))</f>
        <v/>
      </c>
      <c r="X880" s="23" t="n"/>
      <c r="Y880" s="30">
        <f>IF($A880="","",COUNTIFS('Issues Log'!$C$5:$C$504,$A880,'Issues Log'!$K$5:$K$504,"Open")+COUNTIFS('Issues Log'!$C$5:$C$504,$A880,'Issues Log'!$K$5:$K$504,"In progress"))</f>
        <v/>
      </c>
      <c r="Z880" s="27" t="n"/>
    </row>
    <row r="881">
      <c r="A881" s="27" t="n"/>
      <c r="B881" s="27" t="n"/>
      <c r="C881" s="27" t="n"/>
      <c r="D881" s="28">
        <f>IF($C881="","",IFERROR(INDEX('Topic Plan'!$C$5:$C$115,MATCH($C881,'Topic Plan'!$B$5:$B$115,0)),"UNKNOWN TOPIC ID"))</f>
        <v/>
      </c>
      <c r="E881" s="28">
        <f>IF($C881="","",IFERROR(INDEX('Topic Plan'!$D$5:$D$115,MATCH($C881,'Topic Plan'!$B$5:$B$115,0)),""))</f>
        <v/>
      </c>
      <c r="F881" s="28">
        <f>IF($C881="","",IFERROR(INDEX('Topic Plan'!$E$5:$E$115,MATCH($C881,'Topic Plan'!$B$5:$B$115,0)),""))</f>
        <v/>
      </c>
      <c r="G881" s="23" t="n"/>
      <c r="H881" s="27" t="n"/>
      <c r="I881" s="27" t="n"/>
      <c r="J881" s="27" t="n"/>
      <c r="K881" s="27" t="n"/>
      <c r="L881" s="27" t="n"/>
      <c r="M881" s="27" t="n"/>
      <c r="N881" s="23" t="n"/>
      <c r="O881" s="29" t="n"/>
      <c r="P881" s="29" t="n"/>
      <c r="Q881" s="29" t="n"/>
      <c r="R881" s="29" t="n"/>
      <c r="S881" s="29" t="n"/>
      <c r="T881" s="29" t="n"/>
      <c r="U881" s="29" t="n"/>
      <c r="V881" s="30">
        <f>IF(OR($A881="",$U881=""),"",IF($S881&lt;&gt;"",MAX(0,$S881-$U881),MAX(0,TODAY()-$U881)))</f>
        <v/>
      </c>
      <c r="W881" s="30">
        <f>IF($A881="","",IF(OR($N881="Live",$N881="Retired"),"",TODAY()-MAX($O881,$P881,$Q881,$R881)))</f>
        <v/>
      </c>
      <c r="X881" s="23" t="n"/>
      <c r="Y881" s="30">
        <f>IF($A881="","",COUNTIFS('Issues Log'!$C$5:$C$504,$A881,'Issues Log'!$K$5:$K$504,"Open")+COUNTIFS('Issues Log'!$C$5:$C$504,$A881,'Issues Log'!$K$5:$K$504,"In progress"))</f>
        <v/>
      </c>
      <c r="Z881" s="27" t="n"/>
    </row>
    <row r="882">
      <c r="A882" s="27" t="n"/>
      <c r="B882" s="27" t="n"/>
      <c r="C882" s="27" t="n"/>
      <c r="D882" s="28">
        <f>IF($C882="","",IFERROR(INDEX('Topic Plan'!$C$5:$C$115,MATCH($C882,'Topic Plan'!$B$5:$B$115,0)),"UNKNOWN TOPIC ID"))</f>
        <v/>
      </c>
      <c r="E882" s="28">
        <f>IF($C882="","",IFERROR(INDEX('Topic Plan'!$D$5:$D$115,MATCH($C882,'Topic Plan'!$B$5:$B$115,0)),""))</f>
        <v/>
      </c>
      <c r="F882" s="28">
        <f>IF($C882="","",IFERROR(INDEX('Topic Plan'!$E$5:$E$115,MATCH($C882,'Topic Plan'!$B$5:$B$115,0)),""))</f>
        <v/>
      </c>
      <c r="G882" s="23" t="n"/>
      <c r="H882" s="27" t="n"/>
      <c r="I882" s="27" t="n"/>
      <c r="J882" s="27" t="n"/>
      <c r="K882" s="27" t="n"/>
      <c r="L882" s="27" t="n"/>
      <c r="M882" s="27" t="n"/>
      <c r="N882" s="23" t="n"/>
      <c r="O882" s="29" t="n"/>
      <c r="P882" s="29" t="n"/>
      <c r="Q882" s="29" t="n"/>
      <c r="R882" s="29" t="n"/>
      <c r="S882" s="29" t="n"/>
      <c r="T882" s="29" t="n"/>
      <c r="U882" s="29" t="n"/>
      <c r="V882" s="30">
        <f>IF(OR($A882="",$U882=""),"",IF($S882&lt;&gt;"",MAX(0,$S882-$U882),MAX(0,TODAY()-$U882)))</f>
        <v/>
      </c>
      <c r="W882" s="30">
        <f>IF($A882="","",IF(OR($N882="Live",$N882="Retired"),"",TODAY()-MAX($O882,$P882,$Q882,$R882)))</f>
        <v/>
      </c>
      <c r="X882" s="23" t="n"/>
      <c r="Y882" s="30">
        <f>IF($A882="","",COUNTIFS('Issues Log'!$C$5:$C$504,$A882,'Issues Log'!$K$5:$K$504,"Open")+COUNTIFS('Issues Log'!$C$5:$C$504,$A882,'Issues Log'!$K$5:$K$504,"In progress"))</f>
        <v/>
      </c>
      <c r="Z882" s="27" t="n"/>
    </row>
    <row r="883">
      <c r="A883" s="27" t="n"/>
      <c r="B883" s="27" t="n"/>
      <c r="C883" s="27" t="n"/>
      <c r="D883" s="28">
        <f>IF($C883="","",IFERROR(INDEX('Topic Plan'!$C$5:$C$115,MATCH($C883,'Topic Plan'!$B$5:$B$115,0)),"UNKNOWN TOPIC ID"))</f>
        <v/>
      </c>
      <c r="E883" s="28">
        <f>IF($C883="","",IFERROR(INDEX('Topic Plan'!$D$5:$D$115,MATCH($C883,'Topic Plan'!$B$5:$B$115,0)),""))</f>
        <v/>
      </c>
      <c r="F883" s="28">
        <f>IF($C883="","",IFERROR(INDEX('Topic Plan'!$E$5:$E$115,MATCH($C883,'Topic Plan'!$B$5:$B$115,0)),""))</f>
        <v/>
      </c>
      <c r="G883" s="23" t="n"/>
      <c r="H883" s="27" t="n"/>
      <c r="I883" s="27" t="n"/>
      <c r="J883" s="27" t="n"/>
      <c r="K883" s="27" t="n"/>
      <c r="L883" s="27" t="n"/>
      <c r="M883" s="27" t="n"/>
      <c r="N883" s="23" t="n"/>
      <c r="O883" s="29" t="n"/>
      <c r="P883" s="29" t="n"/>
      <c r="Q883" s="29" t="n"/>
      <c r="R883" s="29" t="n"/>
      <c r="S883" s="29" t="n"/>
      <c r="T883" s="29" t="n"/>
      <c r="U883" s="29" t="n"/>
      <c r="V883" s="30">
        <f>IF(OR($A883="",$U883=""),"",IF($S883&lt;&gt;"",MAX(0,$S883-$U883),MAX(0,TODAY()-$U883)))</f>
        <v/>
      </c>
      <c r="W883" s="30">
        <f>IF($A883="","",IF(OR($N883="Live",$N883="Retired"),"",TODAY()-MAX($O883,$P883,$Q883,$R883)))</f>
        <v/>
      </c>
      <c r="X883" s="23" t="n"/>
      <c r="Y883" s="30">
        <f>IF($A883="","",COUNTIFS('Issues Log'!$C$5:$C$504,$A883,'Issues Log'!$K$5:$K$504,"Open")+COUNTIFS('Issues Log'!$C$5:$C$504,$A883,'Issues Log'!$K$5:$K$504,"In progress"))</f>
        <v/>
      </c>
      <c r="Z883" s="27" t="n"/>
    </row>
    <row r="884">
      <c r="A884" s="27" t="n"/>
      <c r="B884" s="27" t="n"/>
      <c r="C884" s="27" t="n"/>
      <c r="D884" s="28">
        <f>IF($C884="","",IFERROR(INDEX('Topic Plan'!$C$5:$C$115,MATCH($C884,'Topic Plan'!$B$5:$B$115,0)),"UNKNOWN TOPIC ID"))</f>
        <v/>
      </c>
      <c r="E884" s="28">
        <f>IF($C884="","",IFERROR(INDEX('Topic Plan'!$D$5:$D$115,MATCH($C884,'Topic Plan'!$B$5:$B$115,0)),""))</f>
        <v/>
      </c>
      <c r="F884" s="28">
        <f>IF($C884="","",IFERROR(INDEX('Topic Plan'!$E$5:$E$115,MATCH($C884,'Topic Plan'!$B$5:$B$115,0)),""))</f>
        <v/>
      </c>
      <c r="G884" s="23" t="n"/>
      <c r="H884" s="27" t="n"/>
      <c r="I884" s="27" t="n"/>
      <c r="J884" s="27" t="n"/>
      <c r="K884" s="27" t="n"/>
      <c r="L884" s="27" t="n"/>
      <c r="M884" s="27" t="n"/>
      <c r="N884" s="23" t="n"/>
      <c r="O884" s="29" t="n"/>
      <c r="P884" s="29" t="n"/>
      <c r="Q884" s="29" t="n"/>
      <c r="R884" s="29" t="n"/>
      <c r="S884" s="29" t="n"/>
      <c r="T884" s="29" t="n"/>
      <c r="U884" s="29" t="n"/>
      <c r="V884" s="30">
        <f>IF(OR($A884="",$U884=""),"",IF($S884&lt;&gt;"",MAX(0,$S884-$U884),MAX(0,TODAY()-$U884)))</f>
        <v/>
      </c>
      <c r="W884" s="30">
        <f>IF($A884="","",IF(OR($N884="Live",$N884="Retired"),"",TODAY()-MAX($O884,$P884,$Q884,$R884)))</f>
        <v/>
      </c>
      <c r="X884" s="23" t="n"/>
      <c r="Y884" s="30">
        <f>IF($A884="","",COUNTIFS('Issues Log'!$C$5:$C$504,$A884,'Issues Log'!$K$5:$K$504,"Open")+COUNTIFS('Issues Log'!$C$5:$C$504,$A884,'Issues Log'!$K$5:$K$504,"In progress"))</f>
        <v/>
      </c>
      <c r="Z884" s="27" t="n"/>
    </row>
    <row r="885">
      <c r="A885" s="27" t="n"/>
      <c r="B885" s="27" t="n"/>
      <c r="C885" s="27" t="n"/>
      <c r="D885" s="28">
        <f>IF($C885="","",IFERROR(INDEX('Topic Plan'!$C$5:$C$115,MATCH($C885,'Topic Plan'!$B$5:$B$115,0)),"UNKNOWN TOPIC ID"))</f>
        <v/>
      </c>
      <c r="E885" s="28">
        <f>IF($C885="","",IFERROR(INDEX('Topic Plan'!$D$5:$D$115,MATCH($C885,'Topic Plan'!$B$5:$B$115,0)),""))</f>
        <v/>
      </c>
      <c r="F885" s="28">
        <f>IF($C885="","",IFERROR(INDEX('Topic Plan'!$E$5:$E$115,MATCH($C885,'Topic Plan'!$B$5:$B$115,0)),""))</f>
        <v/>
      </c>
      <c r="G885" s="23" t="n"/>
      <c r="H885" s="27" t="n"/>
      <c r="I885" s="27" t="n"/>
      <c r="J885" s="27" t="n"/>
      <c r="K885" s="27" t="n"/>
      <c r="L885" s="27" t="n"/>
      <c r="M885" s="27" t="n"/>
      <c r="N885" s="23" t="n"/>
      <c r="O885" s="29" t="n"/>
      <c r="P885" s="29" t="n"/>
      <c r="Q885" s="29" t="n"/>
      <c r="R885" s="29" t="n"/>
      <c r="S885" s="29" t="n"/>
      <c r="T885" s="29" t="n"/>
      <c r="U885" s="29" t="n"/>
      <c r="V885" s="30">
        <f>IF(OR($A885="",$U885=""),"",IF($S885&lt;&gt;"",MAX(0,$S885-$U885),MAX(0,TODAY()-$U885)))</f>
        <v/>
      </c>
      <c r="W885" s="30">
        <f>IF($A885="","",IF(OR($N885="Live",$N885="Retired"),"",TODAY()-MAX($O885,$P885,$Q885,$R885)))</f>
        <v/>
      </c>
      <c r="X885" s="23" t="n"/>
      <c r="Y885" s="30">
        <f>IF($A885="","",COUNTIFS('Issues Log'!$C$5:$C$504,$A885,'Issues Log'!$K$5:$K$504,"Open")+COUNTIFS('Issues Log'!$C$5:$C$504,$A885,'Issues Log'!$K$5:$K$504,"In progress"))</f>
        <v/>
      </c>
      <c r="Z885" s="27" t="n"/>
    </row>
    <row r="886">
      <c r="A886" s="27" t="n"/>
      <c r="B886" s="27" t="n"/>
      <c r="C886" s="27" t="n"/>
      <c r="D886" s="28">
        <f>IF($C886="","",IFERROR(INDEX('Topic Plan'!$C$5:$C$115,MATCH($C886,'Topic Plan'!$B$5:$B$115,0)),"UNKNOWN TOPIC ID"))</f>
        <v/>
      </c>
      <c r="E886" s="28">
        <f>IF($C886="","",IFERROR(INDEX('Topic Plan'!$D$5:$D$115,MATCH($C886,'Topic Plan'!$B$5:$B$115,0)),""))</f>
        <v/>
      </c>
      <c r="F886" s="28">
        <f>IF($C886="","",IFERROR(INDEX('Topic Plan'!$E$5:$E$115,MATCH($C886,'Topic Plan'!$B$5:$B$115,0)),""))</f>
        <v/>
      </c>
      <c r="G886" s="23" t="n"/>
      <c r="H886" s="27" t="n"/>
      <c r="I886" s="27" t="n"/>
      <c r="J886" s="27" t="n"/>
      <c r="K886" s="27" t="n"/>
      <c r="L886" s="27" t="n"/>
      <c r="M886" s="27" t="n"/>
      <c r="N886" s="23" t="n"/>
      <c r="O886" s="29" t="n"/>
      <c r="P886" s="29" t="n"/>
      <c r="Q886" s="29" t="n"/>
      <c r="R886" s="29" t="n"/>
      <c r="S886" s="29" t="n"/>
      <c r="T886" s="29" t="n"/>
      <c r="U886" s="29" t="n"/>
      <c r="V886" s="30">
        <f>IF(OR($A886="",$U886=""),"",IF($S886&lt;&gt;"",MAX(0,$S886-$U886),MAX(0,TODAY()-$U886)))</f>
        <v/>
      </c>
      <c r="W886" s="30">
        <f>IF($A886="","",IF(OR($N886="Live",$N886="Retired"),"",TODAY()-MAX($O886,$P886,$Q886,$R886)))</f>
        <v/>
      </c>
      <c r="X886" s="23" t="n"/>
      <c r="Y886" s="30">
        <f>IF($A886="","",COUNTIFS('Issues Log'!$C$5:$C$504,$A886,'Issues Log'!$K$5:$K$504,"Open")+COUNTIFS('Issues Log'!$C$5:$C$504,$A886,'Issues Log'!$K$5:$K$504,"In progress"))</f>
        <v/>
      </c>
      <c r="Z886" s="27" t="n"/>
    </row>
    <row r="887">
      <c r="A887" s="27" t="n"/>
      <c r="B887" s="27" t="n"/>
      <c r="C887" s="27" t="n"/>
      <c r="D887" s="28">
        <f>IF($C887="","",IFERROR(INDEX('Topic Plan'!$C$5:$C$115,MATCH($C887,'Topic Plan'!$B$5:$B$115,0)),"UNKNOWN TOPIC ID"))</f>
        <v/>
      </c>
      <c r="E887" s="28">
        <f>IF($C887="","",IFERROR(INDEX('Topic Plan'!$D$5:$D$115,MATCH($C887,'Topic Plan'!$B$5:$B$115,0)),""))</f>
        <v/>
      </c>
      <c r="F887" s="28">
        <f>IF($C887="","",IFERROR(INDEX('Topic Plan'!$E$5:$E$115,MATCH($C887,'Topic Plan'!$B$5:$B$115,0)),""))</f>
        <v/>
      </c>
      <c r="G887" s="23" t="n"/>
      <c r="H887" s="27" t="n"/>
      <c r="I887" s="27" t="n"/>
      <c r="J887" s="27" t="n"/>
      <c r="K887" s="27" t="n"/>
      <c r="L887" s="27" t="n"/>
      <c r="M887" s="27" t="n"/>
      <c r="N887" s="23" t="n"/>
      <c r="O887" s="29" t="n"/>
      <c r="P887" s="29" t="n"/>
      <c r="Q887" s="29" t="n"/>
      <c r="R887" s="29" t="n"/>
      <c r="S887" s="29" t="n"/>
      <c r="T887" s="29" t="n"/>
      <c r="U887" s="29" t="n"/>
      <c r="V887" s="30">
        <f>IF(OR($A887="",$U887=""),"",IF($S887&lt;&gt;"",MAX(0,$S887-$U887),MAX(0,TODAY()-$U887)))</f>
        <v/>
      </c>
      <c r="W887" s="30">
        <f>IF($A887="","",IF(OR($N887="Live",$N887="Retired"),"",TODAY()-MAX($O887,$P887,$Q887,$R887)))</f>
        <v/>
      </c>
      <c r="X887" s="23" t="n"/>
      <c r="Y887" s="30">
        <f>IF($A887="","",COUNTIFS('Issues Log'!$C$5:$C$504,$A887,'Issues Log'!$K$5:$K$504,"Open")+COUNTIFS('Issues Log'!$C$5:$C$504,$A887,'Issues Log'!$K$5:$K$504,"In progress"))</f>
        <v/>
      </c>
      <c r="Z887" s="27" t="n"/>
    </row>
    <row r="888">
      <c r="A888" s="27" t="n"/>
      <c r="B888" s="27" t="n"/>
      <c r="C888" s="27" t="n"/>
      <c r="D888" s="28">
        <f>IF($C888="","",IFERROR(INDEX('Topic Plan'!$C$5:$C$115,MATCH($C888,'Topic Plan'!$B$5:$B$115,0)),"UNKNOWN TOPIC ID"))</f>
        <v/>
      </c>
      <c r="E888" s="28">
        <f>IF($C888="","",IFERROR(INDEX('Topic Plan'!$D$5:$D$115,MATCH($C888,'Topic Plan'!$B$5:$B$115,0)),""))</f>
        <v/>
      </c>
      <c r="F888" s="28">
        <f>IF($C888="","",IFERROR(INDEX('Topic Plan'!$E$5:$E$115,MATCH($C888,'Topic Plan'!$B$5:$B$115,0)),""))</f>
        <v/>
      </c>
      <c r="G888" s="23" t="n"/>
      <c r="H888" s="27" t="n"/>
      <c r="I888" s="27" t="n"/>
      <c r="J888" s="27" t="n"/>
      <c r="K888" s="27" t="n"/>
      <c r="L888" s="27" t="n"/>
      <c r="M888" s="27" t="n"/>
      <c r="N888" s="23" t="n"/>
      <c r="O888" s="29" t="n"/>
      <c r="P888" s="29" t="n"/>
      <c r="Q888" s="29" t="n"/>
      <c r="R888" s="29" t="n"/>
      <c r="S888" s="29" t="n"/>
      <c r="T888" s="29" t="n"/>
      <c r="U888" s="29" t="n"/>
      <c r="V888" s="30">
        <f>IF(OR($A888="",$U888=""),"",IF($S888&lt;&gt;"",MAX(0,$S888-$U888),MAX(0,TODAY()-$U888)))</f>
        <v/>
      </c>
      <c r="W888" s="30">
        <f>IF($A888="","",IF(OR($N888="Live",$N888="Retired"),"",TODAY()-MAX($O888,$P888,$Q888,$R888)))</f>
        <v/>
      </c>
      <c r="X888" s="23" t="n"/>
      <c r="Y888" s="30">
        <f>IF($A888="","",COUNTIFS('Issues Log'!$C$5:$C$504,$A888,'Issues Log'!$K$5:$K$504,"Open")+COUNTIFS('Issues Log'!$C$5:$C$504,$A888,'Issues Log'!$K$5:$K$504,"In progress"))</f>
        <v/>
      </c>
      <c r="Z888" s="27" t="n"/>
    </row>
    <row r="889">
      <c r="A889" s="27" t="n"/>
      <c r="B889" s="27" t="n"/>
      <c r="C889" s="27" t="n"/>
      <c r="D889" s="28">
        <f>IF($C889="","",IFERROR(INDEX('Topic Plan'!$C$5:$C$115,MATCH($C889,'Topic Plan'!$B$5:$B$115,0)),"UNKNOWN TOPIC ID"))</f>
        <v/>
      </c>
      <c r="E889" s="28">
        <f>IF($C889="","",IFERROR(INDEX('Topic Plan'!$D$5:$D$115,MATCH($C889,'Topic Plan'!$B$5:$B$115,0)),""))</f>
        <v/>
      </c>
      <c r="F889" s="28">
        <f>IF($C889="","",IFERROR(INDEX('Topic Plan'!$E$5:$E$115,MATCH($C889,'Topic Plan'!$B$5:$B$115,0)),""))</f>
        <v/>
      </c>
      <c r="G889" s="23" t="n"/>
      <c r="H889" s="27" t="n"/>
      <c r="I889" s="27" t="n"/>
      <c r="J889" s="27" t="n"/>
      <c r="K889" s="27" t="n"/>
      <c r="L889" s="27" t="n"/>
      <c r="M889" s="27" t="n"/>
      <c r="N889" s="23" t="n"/>
      <c r="O889" s="29" t="n"/>
      <c r="P889" s="29" t="n"/>
      <c r="Q889" s="29" t="n"/>
      <c r="R889" s="29" t="n"/>
      <c r="S889" s="29" t="n"/>
      <c r="T889" s="29" t="n"/>
      <c r="U889" s="29" t="n"/>
      <c r="V889" s="30">
        <f>IF(OR($A889="",$U889=""),"",IF($S889&lt;&gt;"",MAX(0,$S889-$U889),MAX(0,TODAY()-$U889)))</f>
        <v/>
      </c>
      <c r="W889" s="30">
        <f>IF($A889="","",IF(OR($N889="Live",$N889="Retired"),"",TODAY()-MAX($O889,$P889,$Q889,$R889)))</f>
        <v/>
      </c>
      <c r="X889" s="23" t="n"/>
      <c r="Y889" s="30">
        <f>IF($A889="","",COUNTIFS('Issues Log'!$C$5:$C$504,$A889,'Issues Log'!$K$5:$K$504,"Open")+COUNTIFS('Issues Log'!$C$5:$C$504,$A889,'Issues Log'!$K$5:$K$504,"In progress"))</f>
        <v/>
      </c>
      <c r="Z889" s="27" t="n"/>
    </row>
    <row r="890">
      <c r="A890" s="27" t="n"/>
      <c r="B890" s="27" t="n"/>
      <c r="C890" s="27" t="n"/>
      <c r="D890" s="28">
        <f>IF($C890="","",IFERROR(INDEX('Topic Plan'!$C$5:$C$115,MATCH($C890,'Topic Plan'!$B$5:$B$115,0)),"UNKNOWN TOPIC ID"))</f>
        <v/>
      </c>
      <c r="E890" s="28">
        <f>IF($C890="","",IFERROR(INDEX('Topic Plan'!$D$5:$D$115,MATCH($C890,'Topic Plan'!$B$5:$B$115,0)),""))</f>
        <v/>
      </c>
      <c r="F890" s="28">
        <f>IF($C890="","",IFERROR(INDEX('Topic Plan'!$E$5:$E$115,MATCH($C890,'Topic Plan'!$B$5:$B$115,0)),""))</f>
        <v/>
      </c>
      <c r="G890" s="23" t="n"/>
      <c r="H890" s="27" t="n"/>
      <c r="I890" s="27" t="n"/>
      <c r="J890" s="27" t="n"/>
      <c r="K890" s="27" t="n"/>
      <c r="L890" s="27" t="n"/>
      <c r="M890" s="27" t="n"/>
      <c r="N890" s="23" t="n"/>
      <c r="O890" s="29" t="n"/>
      <c r="P890" s="29" t="n"/>
      <c r="Q890" s="29" t="n"/>
      <c r="R890" s="29" t="n"/>
      <c r="S890" s="29" t="n"/>
      <c r="T890" s="29" t="n"/>
      <c r="U890" s="29" t="n"/>
      <c r="V890" s="30">
        <f>IF(OR($A890="",$U890=""),"",IF($S890&lt;&gt;"",MAX(0,$S890-$U890),MAX(0,TODAY()-$U890)))</f>
        <v/>
      </c>
      <c r="W890" s="30">
        <f>IF($A890="","",IF(OR($N890="Live",$N890="Retired"),"",TODAY()-MAX($O890,$P890,$Q890,$R890)))</f>
        <v/>
      </c>
      <c r="X890" s="23" t="n"/>
      <c r="Y890" s="30">
        <f>IF($A890="","",COUNTIFS('Issues Log'!$C$5:$C$504,$A890,'Issues Log'!$K$5:$K$504,"Open")+COUNTIFS('Issues Log'!$C$5:$C$504,$A890,'Issues Log'!$K$5:$K$504,"In progress"))</f>
        <v/>
      </c>
      <c r="Z890" s="27" t="n"/>
    </row>
    <row r="891">
      <c r="A891" s="27" t="n"/>
      <c r="B891" s="27" t="n"/>
      <c r="C891" s="27" t="n"/>
      <c r="D891" s="28">
        <f>IF($C891="","",IFERROR(INDEX('Topic Plan'!$C$5:$C$115,MATCH($C891,'Topic Plan'!$B$5:$B$115,0)),"UNKNOWN TOPIC ID"))</f>
        <v/>
      </c>
      <c r="E891" s="28">
        <f>IF($C891="","",IFERROR(INDEX('Topic Plan'!$D$5:$D$115,MATCH($C891,'Topic Plan'!$B$5:$B$115,0)),""))</f>
        <v/>
      </c>
      <c r="F891" s="28">
        <f>IF($C891="","",IFERROR(INDEX('Topic Plan'!$E$5:$E$115,MATCH($C891,'Topic Plan'!$B$5:$B$115,0)),""))</f>
        <v/>
      </c>
      <c r="G891" s="23" t="n"/>
      <c r="H891" s="27" t="n"/>
      <c r="I891" s="27" t="n"/>
      <c r="J891" s="27" t="n"/>
      <c r="K891" s="27" t="n"/>
      <c r="L891" s="27" t="n"/>
      <c r="M891" s="27" t="n"/>
      <c r="N891" s="23" t="n"/>
      <c r="O891" s="29" t="n"/>
      <c r="P891" s="29" t="n"/>
      <c r="Q891" s="29" t="n"/>
      <c r="R891" s="29" t="n"/>
      <c r="S891" s="29" t="n"/>
      <c r="T891" s="29" t="n"/>
      <c r="U891" s="29" t="n"/>
      <c r="V891" s="30">
        <f>IF(OR($A891="",$U891=""),"",IF($S891&lt;&gt;"",MAX(0,$S891-$U891),MAX(0,TODAY()-$U891)))</f>
        <v/>
      </c>
      <c r="W891" s="30">
        <f>IF($A891="","",IF(OR($N891="Live",$N891="Retired"),"",TODAY()-MAX($O891,$P891,$Q891,$R891)))</f>
        <v/>
      </c>
      <c r="X891" s="23" t="n"/>
      <c r="Y891" s="30">
        <f>IF($A891="","",COUNTIFS('Issues Log'!$C$5:$C$504,$A891,'Issues Log'!$K$5:$K$504,"Open")+COUNTIFS('Issues Log'!$C$5:$C$504,$A891,'Issues Log'!$K$5:$K$504,"In progress"))</f>
        <v/>
      </c>
      <c r="Z891" s="27" t="n"/>
    </row>
    <row r="892">
      <c r="A892" s="27" t="n"/>
      <c r="B892" s="27" t="n"/>
      <c r="C892" s="27" t="n"/>
      <c r="D892" s="28">
        <f>IF($C892="","",IFERROR(INDEX('Topic Plan'!$C$5:$C$115,MATCH($C892,'Topic Plan'!$B$5:$B$115,0)),"UNKNOWN TOPIC ID"))</f>
        <v/>
      </c>
      <c r="E892" s="28">
        <f>IF($C892="","",IFERROR(INDEX('Topic Plan'!$D$5:$D$115,MATCH($C892,'Topic Plan'!$B$5:$B$115,0)),""))</f>
        <v/>
      </c>
      <c r="F892" s="28">
        <f>IF($C892="","",IFERROR(INDEX('Topic Plan'!$E$5:$E$115,MATCH($C892,'Topic Plan'!$B$5:$B$115,0)),""))</f>
        <v/>
      </c>
      <c r="G892" s="23" t="n"/>
      <c r="H892" s="27" t="n"/>
      <c r="I892" s="27" t="n"/>
      <c r="J892" s="27" t="n"/>
      <c r="K892" s="27" t="n"/>
      <c r="L892" s="27" t="n"/>
      <c r="M892" s="27" t="n"/>
      <c r="N892" s="23" t="n"/>
      <c r="O892" s="29" t="n"/>
      <c r="P892" s="29" t="n"/>
      <c r="Q892" s="29" t="n"/>
      <c r="R892" s="29" t="n"/>
      <c r="S892" s="29" t="n"/>
      <c r="T892" s="29" t="n"/>
      <c r="U892" s="29" t="n"/>
      <c r="V892" s="30">
        <f>IF(OR($A892="",$U892=""),"",IF($S892&lt;&gt;"",MAX(0,$S892-$U892),MAX(0,TODAY()-$U892)))</f>
        <v/>
      </c>
      <c r="W892" s="30">
        <f>IF($A892="","",IF(OR($N892="Live",$N892="Retired"),"",TODAY()-MAX($O892,$P892,$Q892,$R892)))</f>
        <v/>
      </c>
      <c r="X892" s="23" t="n"/>
      <c r="Y892" s="30">
        <f>IF($A892="","",COUNTIFS('Issues Log'!$C$5:$C$504,$A892,'Issues Log'!$K$5:$K$504,"Open")+COUNTIFS('Issues Log'!$C$5:$C$504,$A892,'Issues Log'!$K$5:$K$504,"In progress"))</f>
        <v/>
      </c>
      <c r="Z892" s="27" t="n"/>
    </row>
    <row r="893">
      <c r="A893" s="27" t="n"/>
      <c r="B893" s="27" t="n"/>
      <c r="C893" s="27" t="n"/>
      <c r="D893" s="28">
        <f>IF($C893="","",IFERROR(INDEX('Topic Plan'!$C$5:$C$115,MATCH($C893,'Topic Plan'!$B$5:$B$115,0)),"UNKNOWN TOPIC ID"))</f>
        <v/>
      </c>
      <c r="E893" s="28">
        <f>IF($C893="","",IFERROR(INDEX('Topic Plan'!$D$5:$D$115,MATCH($C893,'Topic Plan'!$B$5:$B$115,0)),""))</f>
        <v/>
      </c>
      <c r="F893" s="28">
        <f>IF($C893="","",IFERROR(INDEX('Topic Plan'!$E$5:$E$115,MATCH($C893,'Topic Plan'!$B$5:$B$115,0)),""))</f>
        <v/>
      </c>
      <c r="G893" s="23" t="n"/>
      <c r="H893" s="27" t="n"/>
      <c r="I893" s="27" t="n"/>
      <c r="J893" s="27" t="n"/>
      <c r="K893" s="27" t="n"/>
      <c r="L893" s="27" t="n"/>
      <c r="M893" s="27" t="n"/>
      <c r="N893" s="23" t="n"/>
      <c r="O893" s="29" t="n"/>
      <c r="P893" s="29" t="n"/>
      <c r="Q893" s="29" t="n"/>
      <c r="R893" s="29" t="n"/>
      <c r="S893" s="29" t="n"/>
      <c r="T893" s="29" t="n"/>
      <c r="U893" s="29" t="n"/>
      <c r="V893" s="30">
        <f>IF(OR($A893="",$U893=""),"",IF($S893&lt;&gt;"",MAX(0,$S893-$U893),MAX(0,TODAY()-$U893)))</f>
        <v/>
      </c>
      <c r="W893" s="30">
        <f>IF($A893="","",IF(OR($N893="Live",$N893="Retired"),"",TODAY()-MAX($O893,$P893,$Q893,$R893)))</f>
        <v/>
      </c>
      <c r="X893" s="23" t="n"/>
      <c r="Y893" s="30">
        <f>IF($A893="","",COUNTIFS('Issues Log'!$C$5:$C$504,$A893,'Issues Log'!$K$5:$K$504,"Open")+COUNTIFS('Issues Log'!$C$5:$C$504,$A893,'Issues Log'!$K$5:$K$504,"In progress"))</f>
        <v/>
      </c>
      <c r="Z893" s="27" t="n"/>
    </row>
    <row r="894">
      <c r="A894" s="27" t="n"/>
      <c r="B894" s="27" t="n"/>
      <c r="C894" s="27" t="n"/>
      <c r="D894" s="28">
        <f>IF($C894="","",IFERROR(INDEX('Topic Plan'!$C$5:$C$115,MATCH($C894,'Topic Plan'!$B$5:$B$115,0)),"UNKNOWN TOPIC ID"))</f>
        <v/>
      </c>
      <c r="E894" s="28">
        <f>IF($C894="","",IFERROR(INDEX('Topic Plan'!$D$5:$D$115,MATCH($C894,'Topic Plan'!$B$5:$B$115,0)),""))</f>
        <v/>
      </c>
      <c r="F894" s="28">
        <f>IF($C894="","",IFERROR(INDEX('Topic Plan'!$E$5:$E$115,MATCH($C894,'Topic Plan'!$B$5:$B$115,0)),""))</f>
        <v/>
      </c>
      <c r="G894" s="23" t="n"/>
      <c r="H894" s="27" t="n"/>
      <c r="I894" s="27" t="n"/>
      <c r="J894" s="27" t="n"/>
      <c r="K894" s="27" t="n"/>
      <c r="L894" s="27" t="n"/>
      <c r="M894" s="27" t="n"/>
      <c r="N894" s="23" t="n"/>
      <c r="O894" s="29" t="n"/>
      <c r="P894" s="29" t="n"/>
      <c r="Q894" s="29" t="n"/>
      <c r="R894" s="29" t="n"/>
      <c r="S894" s="29" t="n"/>
      <c r="T894" s="29" t="n"/>
      <c r="U894" s="29" t="n"/>
      <c r="V894" s="30">
        <f>IF(OR($A894="",$U894=""),"",IF($S894&lt;&gt;"",MAX(0,$S894-$U894),MAX(0,TODAY()-$U894)))</f>
        <v/>
      </c>
      <c r="W894" s="30">
        <f>IF($A894="","",IF(OR($N894="Live",$N894="Retired"),"",TODAY()-MAX($O894,$P894,$Q894,$R894)))</f>
        <v/>
      </c>
      <c r="X894" s="23" t="n"/>
      <c r="Y894" s="30">
        <f>IF($A894="","",COUNTIFS('Issues Log'!$C$5:$C$504,$A894,'Issues Log'!$K$5:$K$504,"Open")+COUNTIFS('Issues Log'!$C$5:$C$504,$A894,'Issues Log'!$K$5:$K$504,"In progress"))</f>
        <v/>
      </c>
      <c r="Z894" s="27" t="n"/>
    </row>
    <row r="895">
      <c r="A895" s="27" t="n"/>
      <c r="B895" s="27" t="n"/>
      <c r="C895" s="27" t="n"/>
      <c r="D895" s="28">
        <f>IF($C895="","",IFERROR(INDEX('Topic Plan'!$C$5:$C$115,MATCH($C895,'Topic Plan'!$B$5:$B$115,0)),"UNKNOWN TOPIC ID"))</f>
        <v/>
      </c>
      <c r="E895" s="28">
        <f>IF($C895="","",IFERROR(INDEX('Topic Plan'!$D$5:$D$115,MATCH($C895,'Topic Plan'!$B$5:$B$115,0)),""))</f>
        <v/>
      </c>
      <c r="F895" s="28">
        <f>IF($C895="","",IFERROR(INDEX('Topic Plan'!$E$5:$E$115,MATCH($C895,'Topic Plan'!$B$5:$B$115,0)),""))</f>
        <v/>
      </c>
      <c r="G895" s="23" t="n"/>
      <c r="H895" s="27" t="n"/>
      <c r="I895" s="27" t="n"/>
      <c r="J895" s="27" t="n"/>
      <c r="K895" s="27" t="n"/>
      <c r="L895" s="27" t="n"/>
      <c r="M895" s="27" t="n"/>
      <c r="N895" s="23" t="n"/>
      <c r="O895" s="29" t="n"/>
      <c r="P895" s="29" t="n"/>
      <c r="Q895" s="29" t="n"/>
      <c r="R895" s="29" t="n"/>
      <c r="S895" s="29" t="n"/>
      <c r="T895" s="29" t="n"/>
      <c r="U895" s="29" t="n"/>
      <c r="V895" s="30">
        <f>IF(OR($A895="",$U895=""),"",IF($S895&lt;&gt;"",MAX(0,$S895-$U895),MAX(0,TODAY()-$U895)))</f>
        <v/>
      </c>
      <c r="W895" s="30">
        <f>IF($A895="","",IF(OR($N895="Live",$N895="Retired"),"",TODAY()-MAX($O895,$P895,$Q895,$R895)))</f>
        <v/>
      </c>
      <c r="X895" s="23" t="n"/>
      <c r="Y895" s="30">
        <f>IF($A895="","",COUNTIFS('Issues Log'!$C$5:$C$504,$A895,'Issues Log'!$K$5:$K$504,"Open")+COUNTIFS('Issues Log'!$C$5:$C$504,$A895,'Issues Log'!$K$5:$K$504,"In progress"))</f>
        <v/>
      </c>
      <c r="Z895" s="27" t="n"/>
    </row>
    <row r="896">
      <c r="A896" s="27" t="n"/>
      <c r="B896" s="27" t="n"/>
      <c r="C896" s="27" t="n"/>
      <c r="D896" s="28">
        <f>IF($C896="","",IFERROR(INDEX('Topic Plan'!$C$5:$C$115,MATCH($C896,'Topic Plan'!$B$5:$B$115,0)),"UNKNOWN TOPIC ID"))</f>
        <v/>
      </c>
      <c r="E896" s="28">
        <f>IF($C896="","",IFERROR(INDEX('Topic Plan'!$D$5:$D$115,MATCH($C896,'Topic Plan'!$B$5:$B$115,0)),""))</f>
        <v/>
      </c>
      <c r="F896" s="28">
        <f>IF($C896="","",IFERROR(INDEX('Topic Plan'!$E$5:$E$115,MATCH($C896,'Topic Plan'!$B$5:$B$115,0)),""))</f>
        <v/>
      </c>
      <c r="G896" s="23" t="n"/>
      <c r="H896" s="27" t="n"/>
      <c r="I896" s="27" t="n"/>
      <c r="J896" s="27" t="n"/>
      <c r="K896" s="27" t="n"/>
      <c r="L896" s="27" t="n"/>
      <c r="M896" s="27" t="n"/>
      <c r="N896" s="23" t="n"/>
      <c r="O896" s="29" t="n"/>
      <c r="P896" s="29" t="n"/>
      <c r="Q896" s="29" t="n"/>
      <c r="R896" s="29" t="n"/>
      <c r="S896" s="29" t="n"/>
      <c r="T896" s="29" t="n"/>
      <c r="U896" s="29" t="n"/>
      <c r="V896" s="30">
        <f>IF(OR($A896="",$U896=""),"",IF($S896&lt;&gt;"",MAX(0,$S896-$U896),MAX(0,TODAY()-$U896)))</f>
        <v/>
      </c>
      <c r="W896" s="30">
        <f>IF($A896="","",IF(OR($N896="Live",$N896="Retired"),"",TODAY()-MAX($O896,$P896,$Q896,$R896)))</f>
        <v/>
      </c>
      <c r="X896" s="23" t="n"/>
      <c r="Y896" s="30">
        <f>IF($A896="","",COUNTIFS('Issues Log'!$C$5:$C$504,$A896,'Issues Log'!$K$5:$K$504,"Open")+COUNTIFS('Issues Log'!$C$5:$C$504,$A896,'Issues Log'!$K$5:$K$504,"In progress"))</f>
        <v/>
      </c>
      <c r="Z896" s="27" t="n"/>
    </row>
    <row r="897">
      <c r="A897" s="27" t="n"/>
      <c r="B897" s="27" t="n"/>
      <c r="C897" s="27" t="n"/>
      <c r="D897" s="28">
        <f>IF($C897="","",IFERROR(INDEX('Topic Plan'!$C$5:$C$115,MATCH($C897,'Topic Plan'!$B$5:$B$115,0)),"UNKNOWN TOPIC ID"))</f>
        <v/>
      </c>
      <c r="E897" s="28">
        <f>IF($C897="","",IFERROR(INDEX('Topic Plan'!$D$5:$D$115,MATCH($C897,'Topic Plan'!$B$5:$B$115,0)),""))</f>
        <v/>
      </c>
      <c r="F897" s="28">
        <f>IF($C897="","",IFERROR(INDEX('Topic Plan'!$E$5:$E$115,MATCH($C897,'Topic Plan'!$B$5:$B$115,0)),""))</f>
        <v/>
      </c>
      <c r="G897" s="23" t="n"/>
      <c r="H897" s="27" t="n"/>
      <c r="I897" s="27" t="n"/>
      <c r="J897" s="27" t="n"/>
      <c r="K897" s="27" t="n"/>
      <c r="L897" s="27" t="n"/>
      <c r="M897" s="27" t="n"/>
      <c r="N897" s="23" t="n"/>
      <c r="O897" s="29" t="n"/>
      <c r="P897" s="29" t="n"/>
      <c r="Q897" s="29" t="n"/>
      <c r="R897" s="29" t="n"/>
      <c r="S897" s="29" t="n"/>
      <c r="T897" s="29" t="n"/>
      <c r="U897" s="29" t="n"/>
      <c r="V897" s="30">
        <f>IF(OR($A897="",$U897=""),"",IF($S897&lt;&gt;"",MAX(0,$S897-$U897),MAX(0,TODAY()-$U897)))</f>
        <v/>
      </c>
      <c r="W897" s="30">
        <f>IF($A897="","",IF(OR($N897="Live",$N897="Retired"),"",TODAY()-MAX($O897,$P897,$Q897,$R897)))</f>
        <v/>
      </c>
      <c r="X897" s="23" t="n"/>
      <c r="Y897" s="30">
        <f>IF($A897="","",COUNTIFS('Issues Log'!$C$5:$C$504,$A897,'Issues Log'!$K$5:$K$504,"Open")+COUNTIFS('Issues Log'!$C$5:$C$504,$A897,'Issues Log'!$K$5:$K$504,"In progress"))</f>
        <v/>
      </c>
      <c r="Z897" s="27" t="n"/>
    </row>
    <row r="898">
      <c r="A898" s="27" t="n"/>
      <c r="B898" s="27" t="n"/>
      <c r="C898" s="27" t="n"/>
      <c r="D898" s="28">
        <f>IF($C898="","",IFERROR(INDEX('Topic Plan'!$C$5:$C$115,MATCH($C898,'Topic Plan'!$B$5:$B$115,0)),"UNKNOWN TOPIC ID"))</f>
        <v/>
      </c>
      <c r="E898" s="28">
        <f>IF($C898="","",IFERROR(INDEX('Topic Plan'!$D$5:$D$115,MATCH($C898,'Topic Plan'!$B$5:$B$115,0)),""))</f>
        <v/>
      </c>
      <c r="F898" s="28">
        <f>IF($C898="","",IFERROR(INDEX('Topic Plan'!$E$5:$E$115,MATCH($C898,'Topic Plan'!$B$5:$B$115,0)),""))</f>
        <v/>
      </c>
      <c r="G898" s="23" t="n"/>
      <c r="H898" s="27" t="n"/>
      <c r="I898" s="27" t="n"/>
      <c r="J898" s="27" t="n"/>
      <c r="K898" s="27" t="n"/>
      <c r="L898" s="27" t="n"/>
      <c r="M898" s="27" t="n"/>
      <c r="N898" s="23" t="n"/>
      <c r="O898" s="29" t="n"/>
      <c r="P898" s="29" t="n"/>
      <c r="Q898" s="29" t="n"/>
      <c r="R898" s="29" t="n"/>
      <c r="S898" s="29" t="n"/>
      <c r="T898" s="29" t="n"/>
      <c r="U898" s="29" t="n"/>
      <c r="V898" s="30">
        <f>IF(OR($A898="",$U898=""),"",IF($S898&lt;&gt;"",MAX(0,$S898-$U898),MAX(0,TODAY()-$U898)))</f>
        <v/>
      </c>
      <c r="W898" s="30">
        <f>IF($A898="","",IF(OR($N898="Live",$N898="Retired"),"",TODAY()-MAX($O898,$P898,$Q898,$R898)))</f>
        <v/>
      </c>
      <c r="X898" s="23" t="n"/>
      <c r="Y898" s="30">
        <f>IF($A898="","",COUNTIFS('Issues Log'!$C$5:$C$504,$A898,'Issues Log'!$K$5:$K$504,"Open")+COUNTIFS('Issues Log'!$C$5:$C$504,$A898,'Issues Log'!$K$5:$K$504,"In progress"))</f>
        <v/>
      </c>
      <c r="Z898" s="27" t="n"/>
    </row>
    <row r="899">
      <c r="A899" s="27" t="n"/>
      <c r="B899" s="27" t="n"/>
      <c r="C899" s="27" t="n"/>
      <c r="D899" s="28">
        <f>IF($C899="","",IFERROR(INDEX('Topic Plan'!$C$5:$C$115,MATCH($C899,'Topic Plan'!$B$5:$B$115,0)),"UNKNOWN TOPIC ID"))</f>
        <v/>
      </c>
      <c r="E899" s="28">
        <f>IF($C899="","",IFERROR(INDEX('Topic Plan'!$D$5:$D$115,MATCH($C899,'Topic Plan'!$B$5:$B$115,0)),""))</f>
        <v/>
      </c>
      <c r="F899" s="28">
        <f>IF($C899="","",IFERROR(INDEX('Topic Plan'!$E$5:$E$115,MATCH($C899,'Topic Plan'!$B$5:$B$115,0)),""))</f>
        <v/>
      </c>
      <c r="G899" s="23" t="n"/>
      <c r="H899" s="27" t="n"/>
      <c r="I899" s="27" t="n"/>
      <c r="J899" s="27" t="n"/>
      <c r="K899" s="27" t="n"/>
      <c r="L899" s="27" t="n"/>
      <c r="M899" s="27" t="n"/>
      <c r="N899" s="23" t="n"/>
      <c r="O899" s="29" t="n"/>
      <c r="P899" s="29" t="n"/>
      <c r="Q899" s="29" t="n"/>
      <c r="R899" s="29" t="n"/>
      <c r="S899" s="29" t="n"/>
      <c r="T899" s="29" t="n"/>
      <c r="U899" s="29" t="n"/>
      <c r="V899" s="30">
        <f>IF(OR($A899="",$U899=""),"",IF($S899&lt;&gt;"",MAX(0,$S899-$U899),MAX(0,TODAY()-$U899)))</f>
        <v/>
      </c>
      <c r="W899" s="30">
        <f>IF($A899="","",IF(OR($N899="Live",$N899="Retired"),"",TODAY()-MAX($O899,$P899,$Q899,$R899)))</f>
        <v/>
      </c>
      <c r="X899" s="23" t="n"/>
      <c r="Y899" s="30">
        <f>IF($A899="","",COUNTIFS('Issues Log'!$C$5:$C$504,$A899,'Issues Log'!$K$5:$K$504,"Open")+COUNTIFS('Issues Log'!$C$5:$C$504,$A899,'Issues Log'!$K$5:$K$504,"In progress"))</f>
        <v/>
      </c>
      <c r="Z899" s="27" t="n"/>
    </row>
    <row r="900">
      <c r="A900" s="27" t="n"/>
      <c r="B900" s="27" t="n"/>
      <c r="C900" s="27" t="n"/>
      <c r="D900" s="28">
        <f>IF($C900="","",IFERROR(INDEX('Topic Plan'!$C$5:$C$115,MATCH($C900,'Topic Plan'!$B$5:$B$115,0)),"UNKNOWN TOPIC ID"))</f>
        <v/>
      </c>
      <c r="E900" s="28">
        <f>IF($C900="","",IFERROR(INDEX('Topic Plan'!$D$5:$D$115,MATCH($C900,'Topic Plan'!$B$5:$B$115,0)),""))</f>
        <v/>
      </c>
      <c r="F900" s="28">
        <f>IF($C900="","",IFERROR(INDEX('Topic Plan'!$E$5:$E$115,MATCH($C900,'Topic Plan'!$B$5:$B$115,0)),""))</f>
        <v/>
      </c>
      <c r="G900" s="23" t="n"/>
      <c r="H900" s="27" t="n"/>
      <c r="I900" s="27" t="n"/>
      <c r="J900" s="27" t="n"/>
      <c r="K900" s="27" t="n"/>
      <c r="L900" s="27" t="n"/>
      <c r="M900" s="27" t="n"/>
      <c r="N900" s="23" t="n"/>
      <c r="O900" s="29" t="n"/>
      <c r="P900" s="29" t="n"/>
      <c r="Q900" s="29" t="n"/>
      <c r="R900" s="29" t="n"/>
      <c r="S900" s="29" t="n"/>
      <c r="T900" s="29" t="n"/>
      <c r="U900" s="29" t="n"/>
      <c r="V900" s="30">
        <f>IF(OR($A900="",$U900=""),"",IF($S900&lt;&gt;"",MAX(0,$S900-$U900),MAX(0,TODAY()-$U900)))</f>
        <v/>
      </c>
      <c r="W900" s="30">
        <f>IF($A900="","",IF(OR($N900="Live",$N900="Retired"),"",TODAY()-MAX($O900,$P900,$Q900,$R900)))</f>
        <v/>
      </c>
      <c r="X900" s="23" t="n"/>
      <c r="Y900" s="30">
        <f>IF($A900="","",COUNTIFS('Issues Log'!$C$5:$C$504,$A900,'Issues Log'!$K$5:$K$504,"Open")+COUNTIFS('Issues Log'!$C$5:$C$504,$A900,'Issues Log'!$K$5:$K$504,"In progress"))</f>
        <v/>
      </c>
      <c r="Z900" s="27" t="n"/>
    </row>
    <row r="901">
      <c r="A901" s="27" t="n"/>
      <c r="B901" s="27" t="n"/>
      <c r="C901" s="27" t="n"/>
      <c r="D901" s="28">
        <f>IF($C901="","",IFERROR(INDEX('Topic Plan'!$C$5:$C$115,MATCH($C901,'Topic Plan'!$B$5:$B$115,0)),"UNKNOWN TOPIC ID"))</f>
        <v/>
      </c>
      <c r="E901" s="28">
        <f>IF($C901="","",IFERROR(INDEX('Topic Plan'!$D$5:$D$115,MATCH($C901,'Topic Plan'!$B$5:$B$115,0)),""))</f>
        <v/>
      </c>
      <c r="F901" s="28">
        <f>IF($C901="","",IFERROR(INDEX('Topic Plan'!$E$5:$E$115,MATCH($C901,'Topic Plan'!$B$5:$B$115,0)),""))</f>
        <v/>
      </c>
      <c r="G901" s="23" t="n"/>
      <c r="H901" s="27" t="n"/>
      <c r="I901" s="27" t="n"/>
      <c r="J901" s="27" t="n"/>
      <c r="K901" s="27" t="n"/>
      <c r="L901" s="27" t="n"/>
      <c r="M901" s="27" t="n"/>
      <c r="N901" s="23" t="n"/>
      <c r="O901" s="29" t="n"/>
      <c r="P901" s="29" t="n"/>
      <c r="Q901" s="29" t="n"/>
      <c r="R901" s="29" t="n"/>
      <c r="S901" s="29" t="n"/>
      <c r="T901" s="29" t="n"/>
      <c r="U901" s="29" t="n"/>
      <c r="V901" s="30">
        <f>IF(OR($A901="",$U901=""),"",IF($S901&lt;&gt;"",MAX(0,$S901-$U901),MAX(0,TODAY()-$U901)))</f>
        <v/>
      </c>
      <c r="W901" s="30">
        <f>IF($A901="","",IF(OR($N901="Live",$N901="Retired"),"",TODAY()-MAX($O901,$P901,$Q901,$R901)))</f>
        <v/>
      </c>
      <c r="X901" s="23" t="n"/>
      <c r="Y901" s="30">
        <f>IF($A901="","",COUNTIFS('Issues Log'!$C$5:$C$504,$A901,'Issues Log'!$K$5:$K$504,"Open")+COUNTIFS('Issues Log'!$C$5:$C$504,$A901,'Issues Log'!$K$5:$K$504,"In progress"))</f>
        <v/>
      </c>
      <c r="Z901" s="27" t="n"/>
    </row>
    <row r="902">
      <c r="A902" s="27" t="n"/>
      <c r="B902" s="27" t="n"/>
      <c r="C902" s="27" t="n"/>
      <c r="D902" s="28">
        <f>IF($C902="","",IFERROR(INDEX('Topic Plan'!$C$5:$C$115,MATCH($C902,'Topic Plan'!$B$5:$B$115,0)),"UNKNOWN TOPIC ID"))</f>
        <v/>
      </c>
      <c r="E902" s="28">
        <f>IF($C902="","",IFERROR(INDEX('Topic Plan'!$D$5:$D$115,MATCH($C902,'Topic Plan'!$B$5:$B$115,0)),""))</f>
        <v/>
      </c>
      <c r="F902" s="28">
        <f>IF($C902="","",IFERROR(INDEX('Topic Plan'!$E$5:$E$115,MATCH($C902,'Topic Plan'!$B$5:$B$115,0)),""))</f>
        <v/>
      </c>
      <c r="G902" s="23" t="n"/>
      <c r="H902" s="27" t="n"/>
      <c r="I902" s="27" t="n"/>
      <c r="J902" s="27" t="n"/>
      <c r="K902" s="27" t="n"/>
      <c r="L902" s="27" t="n"/>
      <c r="M902" s="27" t="n"/>
      <c r="N902" s="23" t="n"/>
      <c r="O902" s="29" t="n"/>
      <c r="P902" s="29" t="n"/>
      <c r="Q902" s="29" t="n"/>
      <c r="R902" s="29" t="n"/>
      <c r="S902" s="29" t="n"/>
      <c r="T902" s="29" t="n"/>
      <c r="U902" s="29" t="n"/>
      <c r="V902" s="30">
        <f>IF(OR($A902="",$U902=""),"",IF($S902&lt;&gt;"",MAX(0,$S902-$U902),MAX(0,TODAY()-$U902)))</f>
        <v/>
      </c>
      <c r="W902" s="30">
        <f>IF($A902="","",IF(OR($N902="Live",$N902="Retired"),"",TODAY()-MAX($O902,$P902,$Q902,$R902)))</f>
        <v/>
      </c>
      <c r="X902" s="23" t="n"/>
      <c r="Y902" s="30">
        <f>IF($A902="","",COUNTIFS('Issues Log'!$C$5:$C$504,$A902,'Issues Log'!$K$5:$K$504,"Open")+COUNTIFS('Issues Log'!$C$5:$C$504,$A902,'Issues Log'!$K$5:$K$504,"In progress"))</f>
        <v/>
      </c>
      <c r="Z902" s="27" t="n"/>
    </row>
    <row r="903">
      <c r="A903" s="27" t="n"/>
      <c r="B903" s="27" t="n"/>
      <c r="C903" s="27" t="n"/>
      <c r="D903" s="28">
        <f>IF($C903="","",IFERROR(INDEX('Topic Plan'!$C$5:$C$115,MATCH($C903,'Topic Plan'!$B$5:$B$115,0)),"UNKNOWN TOPIC ID"))</f>
        <v/>
      </c>
      <c r="E903" s="28">
        <f>IF($C903="","",IFERROR(INDEX('Topic Plan'!$D$5:$D$115,MATCH($C903,'Topic Plan'!$B$5:$B$115,0)),""))</f>
        <v/>
      </c>
      <c r="F903" s="28">
        <f>IF($C903="","",IFERROR(INDEX('Topic Plan'!$E$5:$E$115,MATCH($C903,'Topic Plan'!$B$5:$B$115,0)),""))</f>
        <v/>
      </c>
      <c r="G903" s="23" t="n"/>
      <c r="H903" s="27" t="n"/>
      <c r="I903" s="27" t="n"/>
      <c r="J903" s="27" t="n"/>
      <c r="K903" s="27" t="n"/>
      <c r="L903" s="27" t="n"/>
      <c r="M903" s="27" t="n"/>
      <c r="N903" s="23" t="n"/>
      <c r="O903" s="29" t="n"/>
      <c r="P903" s="29" t="n"/>
      <c r="Q903" s="29" t="n"/>
      <c r="R903" s="29" t="n"/>
      <c r="S903" s="29" t="n"/>
      <c r="T903" s="29" t="n"/>
      <c r="U903" s="29" t="n"/>
      <c r="V903" s="30">
        <f>IF(OR($A903="",$U903=""),"",IF($S903&lt;&gt;"",MAX(0,$S903-$U903),MAX(0,TODAY()-$U903)))</f>
        <v/>
      </c>
      <c r="W903" s="30">
        <f>IF($A903="","",IF(OR($N903="Live",$N903="Retired"),"",TODAY()-MAX($O903,$P903,$Q903,$R903)))</f>
        <v/>
      </c>
      <c r="X903" s="23" t="n"/>
      <c r="Y903" s="30">
        <f>IF($A903="","",COUNTIFS('Issues Log'!$C$5:$C$504,$A903,'Issues Log'!$K$5:$K$504,"Open")+COUNTIFS('Issues Log'!$C$5:$C$504,$A903,'Issues Log'!$K$5:$K$504,"In progress"))</f>
        <v/>
      </c>
      <c r="Z903" s="27" t="n"/>
    </row>
    <row r="904">
      <c r="A904" s="27" t="n"/>
      <c r="B904" s="27" t="n"/>
      <c r="C904" s="27" t="n"/>
      <c r="D904" s="28">
        <f>IF($C904="","",IFERROR(INDEX('Topic Plan'!$C$5:$C$115,MATCH($C904,'Topic Plan'!$B$5:$B$115,0)),"UNKNOWN TOPIC ID"))</f>
        <v/>
      </c>
      <c r="E904" s="28">
        <f>IF($C904="","",IFERROR(INDEX('Topic Plan'!$D$5:$D$115,MATCH($C904,'Topic Plan'!$B$5:$B$115,0)),""))</f>
        <v/>
      </c>
      <c r="F904" s="28">
        <f>IF($C904="","",IFERROR(INDEX('Topic Plan'!$E$5:$E$115,MATCH($C904,'Topic Plan'!$B$5:$B$115,0)),""))</f>
        <v/>
      </c>
      <c r="G904" s="23" t="n"/>
      <c r="H904" s="27" t="n"/>
      <c r="I904" s="27" t="n"/>
      <c r="J904" s="27" t="n"/>
      <c r="K904" s="27" t="n"/>
      <c r="L904" s="27" t="n"/>
      <c r="M904" s="27" t="n"/>
      <c r="N904" s="23" t="n"/>
      <c r="O904" s="29" t="n"/>
      <c r="P904" s="29" t="n"/>
      <c r="Q904" s="29" t="n"/>
      <c r="R904" s="29" t="n"/>
      <c r="S904" s="29" t="n"/>
      <c r="T904" s="29" t="n"/>
      <c r="U904" s="29" t="n"/>
      <c r="V904" s="30">
        <f>IF(OR($A904="",$U904=""),"",IF($S904&lt;&gt;"",MAX(0,$S904-$U904),MAX(0,TODAY()-$U904)))</f>
        <v/>
      </c>
      <c r="W904" s="30">
        <f>IF($A904="","",IF(OR($N904="Live",$N904="Retired"),"",TODAY()-MAX($O904,$P904,$Q904,$R904)))</f>
        <v/>
      </c>
      <c r="X904" s="23" t="n"/>
      <c r="Y904" s="30">
        <f>IF($A904="","",COUNTIFS('Issues Log'!$C$5:$C$504,$A904,'Issues Log'!$K$5:$K$504,"Open")+COUNTIFS('Issues Log'!$C$5:$C$504,$A904,'Issues Log'!$K$5:$K$504,"In progress"))</f>
        <v/>
      </c>
      <c r="Z904" s="27" t="n"/>
    </row>
    <row r="905">
      <c r="A905" s="27" t="n"/>
      <c r="B905" s="27" t="n"/>
      <c r="C905" s="27" t="n"/>
      <c r="D905" s="28">
        <f>IF($C905="","",IFERROR(INDEX('Topic Plan'!$C$5:$C$115,MATCH($C905,'Topic Plan'!$B$5:$B$115,0)),"UNKNOWN TOPIC ID"))</f>
        <v/>
      </c>
      <c r="E905" s="28">
        <f>IF($C905="","",IFERROR(INDEX('Topic Plan'!$D$5:$D$115,MATCH($C905,'Topic Plan'!$B$5:$B$115,0)),""))</f>
        <v/>
      </c>
      <c r="F905" s="28">
        <f>IF($C905="","",IFERROR(INDEX('Topic Plan'!$E$5:$E$115,MATCH($C905,'Topic Plan'!$B$5:$B$115,0)),""))</f>
        <v/>
      </c>
      <c r="G905" s="23" t="n"/>
      <c r="H905" s="27" t="n"/>
      <c r="I905" s="27" t="n"/>
      <c r="J905" s="27" t="n"/>
      <c r="K905" s="27" t="n"/>
      <c r="L905" s="27" t="n"/>
      <c r="M905" s="27" t="n"/>
      <c r="N905" s="23" t="n"/>
      <c r="O905" s="29" t="n"/>
      <c r="P905" s="29" t="n"/>
      <c r="Q905" s="29" t="n"/>
      <c r="R905" s="29" t="n"/>
      <c r="S905" s="29" t="n"/>
      <c r="T905" s="29" t="n"/>
      <c r="U905" s="29" t="n"/>
      <c r="V905" s="30">
        <f>IF(OR($A905="",$U905=""),"",IF($S905&lt;&gt;"",MAX(0,$S905-$U905),MAX(0,TODAY()-$U905)))</f>
        <v/>
      </c>
      <c r="W905" s="30">
        <f>IF($A905="","",IF(OR($N905="Live",$N905="Retired"),"",TODAY()-MAX($O905,$P905,$Q905,$R905)))</f>
        <v/>
      </c>
      <c r="X905" s="23" t="n"/>
      <c r="Y905" s="30">
        <f>IF($A905="","",COUNTIFS('Issues Log'!$C$5:$C$504,$A905,'Issues Log'!$K$5:$K$504,"Open")+COUNTIFS('Issues Log'!$C$5:$C$504,$A905,'Issues Log'!$K$5:$K$504,"In progress"))</f>
        <v/>
      </c>
      <c r="Z905" s="27" t="n"/>
    </row>
    <row r="906">
      <c r="A906" s="27" t="n"/>
      <c r="B906" s="27" t="n"/>
      <c r="C906" s="27" t="n"/>
      <c r="D906" s="28">
        <f>IF($C906="","",IFERROR(INDEX('Topic Plan'!$C$5:$C$115,MATCH($C906,'Topic Plan'!$B$5:$B$115,0)),"UNKNOWN TOPIC ID"))</f>
        <v/>
      </c>
      <c r="E906" s="28">
        <f>IF($C906="","",IFERROR(INDEX('Topic Plan'!$D$5:$D$115,MATCH($C906,'Topic Plan'!$B$5:$B$115,0)),""))</f>
        <v/>
      </c>
      <c r="F906" s="28">
        <f>IF($C906="","",IFERROR(INDEX('Topic Plan'!$E$5:$E$115,MATCH($C906,'Topic Plan'!$B$5:$B$115,0)),""))</f>
        <v/>
      </c>
      <c r="G906" s="23" t="n"/>
      <c r="H906" s="27" t="n"/>
      <c r="I906" s="27" t="n"/>
      <c r="J906" s="27" t="n"/>
      <c r="K906" s="27" t="n"/>
      <c r="L906" s="27" t="n"/>
      <c r="M906" s="27" t="n"/>
      <c r="N906" s="23" t="n"/>
      <c r="O906" s="29" t="n"/>
      <c r="P906" s="29" t="n"/>
      <c r="Q906" s="29" t="n"/>
      <c r="R906" s="29" t="n"/>
      <c r="S906" s="29" t="n"/>
      <c r="T906" s="29" t="n"/>
      <c r="U906" s="29" t="n"/>
      <c r="V906" s="30">
        <f>IF(OR($A906="",$U906=""),"",IF($S906&lt;&gt;"",MAX(0,$S906-$U906),MAX(0,TODAY()-$U906)))</f>
        <v/>
      </c>
      <c r="W906" s="30">
        <f>IF($A906="","",IF(OR($N906="Live",$N906="Retired"),"",TODAY()-MAX($O906,$P906,$Q906,$R906)))</f>
        <v/>
      </c>
      <c r="X906" s="23" t="n"/>
      <c r="Y906" s="30">
        <f>IF($A906="","",COUNTIFS('Issues Log'!$C$5:$C$504,$A906,'Issues Log'!$K$5:$K$504,"Open")+COUNTIFS('Issues Log'!$C$5:$C$504,$A906,'Issues Log'!$K$5:$K$504,"In progress"))</f>
        <v/>
      </c>
      <c r="Z906" s="27" t="n"/>
    </row>
    <row r="907">
      <c r="A907" s="27" t="n"/>
      <c r="B907" s="27" t="n"/>
      <c r="C907" s="27" t="n"/>
      <c r="D907" s="28">
        <f>IF($C907="","",IFERROR(INDEX('Topic Plan'!$C$5:$C$115,MATCH($C907,'Topic Plan'!$B$5:$B$115,0)),"UNKNOWN TOPIC ID"))</f>
        <v/>
      </c>
      <c r="E907" s="28">
        <f>IF($C907="","",IFERROR(INDEX('Topic Plan'!$D$5:$D$115,MATCH($C907,'Topic Plan'!$B$5:$B$115,0)),""))</f>
        <v/>
      </c>
      <c r="F907" s="28">
        <f>IF($C907="","",IFERROR(INDEX('Topic Plan'!$E$5:$E$115,MATCH($C907,'Topic Plan'!$B$5:$B$115,0)),""))</f>
        <v/>
      </c>
      <c r="G907" s="23" t="n"/>
      <c r="H907" s="27" t="n"/>
      <c r="I907" s="27" t="n"/>
      <c r="J907" s="27" t="n"/>
      <c r="K907" s="27" t="n"/>
      <c r="L907" s="27" t="n"/>
      <c r="M907" s="27" t="n"/>
      <c r="N907" s="23" t="n"/>
      <c r="O907" s="29" t="n"/>
      <c r="P907" s="29" t="n"/>
      <c r="Q907" s="29" t="n"/>
      <c r="R907" s="29" t="n"/>
      <c r="S907" s="29" t="n"/>
      <c r="T907" s="29" t="n"/>
      <c r="U907" s="29" t="n"/>
      <c r="V907" s="30">
        <f>IF(OR($A907="",$U907=""),"",IF($S907&lt;&gt;"",MAX(0,$S907-$U907),MAX(0,TODAY()-$U907)))</f>
        <v/>
      </c>
      <c r="W907" s="30">
        <f>IF($A907="","",IF(OR($N907="Live",$N907="Retired"),"",TODAY()-MAX($O907,$P907,$Q907,$R907)))</f>
        <v/>
      </c>
      <c r="X907" s="23" t="n"/>
      <c r="Y907" s="30">
        <f>IF($A907="","",COUNTIFS('Issues Log'!$C$5:$C$504,$A907,'Issues Log'!$K$5:$K$504,"Open")+COUNTIFS('Issues Log'!$C$5:$C$504,$A907,'Issues Log'!$K$5:$K$504,"In progress"))</f>
        <v/>
      </c>
      <c r="Z907" s="27" t="n"/>
    </row>
    <row r="908">
      <c r="A908" s="27" t="n"/>
      <c r="B908" s="27" t="n"/>
      <c r="C908" s="27" t="n"/>
      <c r="D908" s="28">
        <f>IF($C908="","",IFERROR(INDEX('Topic Plan'!$C$5:$C$115,MATCH($C908,'Topic Plan'!$B$5:$B$115,0)),"UNKNOWN TOPIC ID"))</f>
        <v/>
      </c>
      <c r="E908" s="28">
        <f>IF($C908="","",IFERROR(INDEX('Topic Plan'!$D$5:$D$115,MATCH($C908,'Topic Plan'!$B$5:$B$115,0)),""))</f>
        <v/>
      </c>
      <c r="F908" s="28">
        <f>IF($C908="","",IFERROR(INDEX('Topic Plan'!$E$5:$E$115,MATCH($C908,'Topic Plan'!$B$5:$B$115,0)),""))</f>
        <v/>
      </c>
      <c r="G908" s="23" t="n"/>
      <c r="H908" s="27" t="n"/>
      <c r="I908" s="27" t="n"/>
      <c r="J908" s="27" t="n"/>
      <c r="K908" s="27" t="n"/>
      <c r="L908" s="27" t="n"/>
      <c r="M908" s="27" t="n"/>
      <c r="N908" s="23" t="n"/>
      <c r="O908" s="29" t="n"/>
      <c r="P908" s="29" t="n"/>
      <c r="Q908" s="29" t="n"/>
      <c r="R908" s="29" t="n"/>
      <c r="S908" s="29" t="n"/>
      <c r="T908" s="29" t="n"/>
      <c r="U908" s="29" t="n"/>
      <c r="V908" s="30">
        <f>IF(OR($A908="",$U908=""),"",IF($S908&lt;&gt;"",MAX(0,$S908-$U908),MAX(0,TODAY()-$U908)))</f>
        <v/>
      </c>
      <c r="W908" s="30">
        <f>IF($A908="","",IF(OR($N908="Live",$N908="Retired"),"",TODAY()-MAX($O908,$P908,$Q908,$R908)))</f>
        <v/>
      </c>
      <c r="X908" s="23" t="n"/>
      <c r="Y908" s="30">
        <f>IF($A908="","",COUNTIFS('Issues Log'!$C$5:$C$504,$A908,'Issues Log'!$K$5:$K$504,"Open")+COUNTIFS('Issues Log'!$C$5:$C$504,$A908,'Issues Log'!$K$5:$K$504,"In progress"))</f>
        <v/>
      </c>
      <c r="Z908" s="27" t="n"/>
    </row>
    <row r="909">
      <c r="A909" s="27" t="n"/>
      <c r="B909" s="27" t="n"/>
      <c r="C909" s="27" t="n"/>
      <c r="D909" s="28">
        <f>IF($C909="","",IFERROR(INDEX('Topic Plan'!$C$5:$C$115,MATCH($C909,'Topic Plan'!$B$5:$B$115,0)),"UNKNOWN TOPIC ID"))</f>
        <v/>
      </c>
      <c r="E909" s="28">
        <f>IF($C909="","",IFERROR(INDEX('Topic Plan'!$D$5:$D$115,MATCH($C909,'Topic Plan'!$B$5:$B$115,0)),""))</f>
        <v/>
      </c>
      <c r="F909" s="28">
        <f>IF($C909="","",IFERROR(INDEX('Topic Plan'!$E$5:$E$115,MATCH($C909,'Topic Plan'!$B$5:$B$115,0)),""))</f>
        <v/>
      </c>
      <c r="G909" s="23" t="n"/>
      <c r="H909" s="27" t="n"/>
      <c r="I909" s="27" t="n"/>
      <c r="J909" s="27" t="n"/>
      <c r="K909" s="27" t="n"/>
      <c r="L909" s="27" t="n"/>
      <c r="M909" s="27" t="n"/>
      <c r="N909" s="23" t="n"/>
      <c r="O909" s="29" t="n"/>
      <c r="P909" s="29" t="n"/>
      <c r="Q909" s="29" t="n"/>
      <c r="R909" s="29" t="n"/>
      <c r="S909" s="29" t="n"/>
      <c r="T909" s="29" t="n"/>
      <c r="U909" s="29" t="n"/>
      <c r="V909" s="30">
        <f>IF(OR($A909="",$U909=""),"",IF($S909&lt;&gt;"",MAX(0,$S909-$U909),MAX(0,TODAY()-$U909)))</f>
        <v/>
      </c>
      <c r="W909" s="30">
        <f>IF($A909="","",IF(OR($N909="Live",$N909="Retired"),"",TODAY()-MAX($O909,$P909,$Q909,$R909)))</f>
        <v/>
      </c>
      <c r="X909" s="23" t="n"/>
      <c r="Y909" s="30">
        <f>IF($A909="","",COUNTIFS('Issues Log'!$C$5:$C$504,$A909,'Issues Log'!$K$5:$K$504,"Open")+COUNTIFS('Issues Log'!$C$5:$C$504,$A909,'Issues Log'!$K$5:$K$504,"In progress"))</f>
        <v/>
      </c>
      <c r="Z909" s="27" t="n"/>
    </row>
    <row r="910">
      <c r="A910" s="27" t="n"/>
      <c r="B910" s="27" t="n"/>
      <c r="C910" s="27" t="n"/>
      <c r="D910" s="28">
        <f>IF($C910="","",IFERROR(INDEX('Topic Plan'!$C$5:$C$115,MATCH($C910,'Topic Plan'!$B$5:$B$115,0)),"UNKNOWN TOPIC ID"))</f>
        <v/>
      </c>
      <c r="E910" s="28">
        <f>IF($C910="","",IFERROR(INDEX('Topic Plan'!$D$5:$D$115,MATCH($C910,'Topic Plan'!$B$5:$B$115,0)),""))</f>
        <v/>
      </c>
      <c r="F910" s="28">
        <f>IF($C910="","",IFERROR(INDEX('Topic Plan'!$E$5:$E$115,MATCH($C910,'Topic Plan'!$B$5:$B$115,0)),""))</f>
        <v/>
      </c>
      <c r="G910" s="23" t="n"/>
      <c r="H910" s="27" t="n"/>
      <c r="I910" s="27" t="n"/>
      <c r="J910" s="27" t="n"/>
      <c r="K910" s="27" t="n"/>
      <c r="L910" s="27" t="n"/>
      <c r="M910" s="27" t="n"/>
      <c r="N910" s="23" t="n"/>
      <c r="O910" s="29" t="n"/>
      <c r="P910" s="29" t="n"/>
      <c r="Q910" s="29" t="n"/>
      <c r="R910" s="29" t="n"/>
      <c r="S910" s="29" t="n"/>
      <c r="T910" s="29" t="n"/>
      <c r="U910" s="29" t="n"/>
      <c r="V910" s="30">
        <f>IF(OR($A910="",$U910=""),"",IF($S910&lt;&gt;"",MAX(0,$S910-$U910),MAX(0,TODAY()-$U910)))</f>
        <v/>
      </c>
      <c r="W910" s="30">
        <f>IF($A910="","",IF(OR($N910="Live",$N910="Retired"),"",TODAY()-MAX($O910,$P910,$Q910,$R910)))</f>
        <v/>
      </c>
      <c r="X910" s="23" t="n"/>
      <c r="Y910" s="30">
        <f>IF($A910="","",COUNTIFS('Issues Log'!$C$5:$C$504,$A910,'Issues Log'!$K$5:$K$504,"Open")+COUNTIFS('Issues Log'!$C$5:$C$504,$A910,'Issues Log'!$K$5:$K$504,"In progress"))</f>
        <v/>
      </c>
      <c r="Z910" s="27" t="n"/>
    </row>
    <row r="911">
      <c r="A911" s="27" t="n"/>
      <c r="B911" s="27" t="n"/>
      <c r="C911" s="27" t="n"/>
      <c r="D911" s="28">
        <f>IF($C911="","",IFERROR(INDEX('Topic Plan'!$C$5:$C$115,MATCH($C911,'Topic Plan'!$B$5:$B$115,0)),"UNKNOWN TOPIC ID"))</f>
        <v/>
      </c>
      <c r="E911" s="28">
        <f>IF($C911="","",IFERROR(INDEX('Topic Plan'!$D$5:$D$115,MATCH($C911,'Topic Plan'!$B$5:$B$115,0)),""))</f>
        <v/>
      </c>
      <c r="F911" s="28">
        <f>IF($C911="","",IFERROR(INDEX('Topic Plan'!$E$5:$E$115,MATCH($C911,'Topic Plan'!$B$5:$B$115,0)),""))</f>
        <v/>
      </c>
      <c r="G911" s="23" t="n"/>
      <c r="H911" s="27" t="n"/>
      <c r="I911" s="27" t="n"/>
      <c r="J911" s="27" t="n"/>
      <c r="K911" s="27" t="n"/>
      <c r="L911" s="27" t="n"/>
      <c r="M911" s="27" t="n"/>
      <c r="N911" s="23" t="n"/>
      <c r="O911" s="29" t="n"/>
      <c r="P911" s="29" t="n"/>
      <c r="Q911" s="29" t="n"/>
      <c r="R911" s="29" t="n"/>
      <c r="S911" s="29" t="n"/>
      <c r="T911" s="29" t="n"/>
      <c r="U911" s="29" t="n"/>
      <c r="V911" s="30">
        <f>IF(OR($A911="",$U911=""),"",IF($S911&lt;&gt;"",MAX(0,$S911-$U911),MAX(0,TODAY()-$U911)))</f>
        <v/>
      </c>
      <c r="W911" s="30">
        <f>IF($A911="","",IF(OR($N911="Live",$N911="Retired"),"",TODAY()-MAX($O911,$P911,$Q911,$R911)))</f>
        <v/>
      </c>
      <c r="X911" s="23" t="n"/>
      <c r="Y911" s="30">
        <f>IF($A911="","",COUNTIFS('Issues Log'!$C$5:$C$504,$A911,'Issues Log'!$K$5:$K$504,"Open")+COUNTIFS('Issues Log'!$C$5:$C$504,$A911,'Issues Log'!$K$5:$K$504,"In progress"))</f>
        <v/>
      </c>
      <c r="Z911" s="27" t="n"/>
    </row>
    <row r="912">
      <c r="A912" s="27" t="n"/>
      <c r="B912" s="27" t="n"/>
      <c r="C912" s="27" t="n"/>
      <c r="D912" s="28">
        <f>IF($C912="","",IFERROR(INDEX('Topic Plan'!$C$5:$C$115,MATCH($C912,'Topic Plan'!$B$5:$B$115,0)),"UNKNOWN TOPIC ID"))</f>
        <v/>
      </c>
      <c r="E912" s="28">
        <f>IF($C912="","",IFERROR(INDEX('Topic Plan'!$D$5:$D$115,MATCH($C912,'Topic Plan'!$B$5:$B$115,0)),""))</f>
        <v/>
      </c>
      <c r="F912" s="28">
        <f>IF($C912="","",IFERROR(INDEX('Topic Plan'!$E$5:$E$115,MATCH($C912,'Topic Plan'!$B$5:$B$115,0)),""))</f>
        <v/>
      </c>
      <c r="G912" s="23" t="n"/>
      <c r="H912" s="27" t="n"/>
      <c r="I912" s="27" t="n"/>
      <c r="J912" s="27" t="n"/>
      <c r="K912" s="27" t="n"/>
      <c r="L912" s="27" t="n"/>
      <c r="M912" s="27" t="n"/>
      <c r="N912" s="23" t="n"/>
      <c r="O912" s="29" t="n"/>
      <c r="P912" s="29" t="n"/>
      <c r="Q912" s="29" t="n"/>
      <c r="R912" s="29" t="n"/>
      <c r="S912" s="29" t="n"/>
      <c r="T912" s="29" t="n"/>
      <c r="U912" s="29" t="n"/>
      <c r="V912" s="30">
        <f>IF(OR($A912="",$U912=""),"",IF($S912&lt;&gt;"",MAX(0,$S912-$U912),MAX(0,TODAY()-$U912)))</f>
        <v/>
      </c>
      <c r="W912" s="30">
        <f>IF($A912="","",IF(OR($N912="Live",$N912="Retired"),"",TODAY()-MAX($O912,$P912,$Q912,$R912)))</f>
        <v/>
      </c>
      <c r="X912" s="23" t="n"/>
      <c r="Y912" s="30">
        <f>IF($A912="","",COUNTIFS('Issues Log'!$C$5:$C$504,$A912,'Issues Log'!$K$5:$K$504,"Open")+COUNTIFS('Issues Log'!$C$5:$C$504,$A912,'Issues Log'!$K$5:$K$504,"In progress"))</f>
        <v/>
      </c>
      <c r="Z912" s="27" t="n"/>
    </row>
    <row r="913">
      <c r="A913" s="27" t="n"/>
      <c r="B913" s="27" t="n"/>
      <c r="C913" s="27" t="n"/>
      <c r="D913" s="28">
        <f>IF($C913="","",IFERROR(INDEX('Topic Plan'!$C$5:$C$115,MATCH($C913,'Topic Plan'!$B$5:$B$115,0)),"UNKNOWN TOPIC ID"))</f>
        <v/>
      </c>
      <c r="E913" s="28">
        <f>IF($C913="","",IFERROR(INDEX('Topic Plan'!$D$5:$D$115,MATCH($C913,'Topic Plan'!$B$5:$B$115,0)),""))</f>
        <v/>
      </c>
      <c r="F913" s="28">
        <f>IF($C913="","",IFERROR(INDEX('Topic Plan'!$E$5:$E$115,MATCH($C913,'Topic Plan'!$B$5:$B$115,0)),""))</f>
        <v/>
      </c>
      <c r="G913" s="23" t="n"/>
      <c r="H913" s="27" t="n"/>
      <c r="I913" s="27" t="n"/>
      <c r="J913" s="27" t="n"/>
      <c r="K913" s="27" t="n"/>
      <c r="L913" s="27" t="n"/>
      <c r="M913" s="27" t="n"/>
      <c r="N913" s="23" t="n"/>
      <c r="O913" s="29" t="n"/>
      <c r="P913" s="29" t="n"/>
      <c r="Q913" s="29" t="n"/>
      <c r="R913" s="29" t="n"/>
      <c r="S913" s="29" t="n"/>
      <c r="T913" s="29" t="n"/>
      <c r="U913" s="29" t="n"/>
      <c r="V913" s="30">
        <f>IF(OR($A913="",$U913=""),"",IF($S913&lt;&gt;"",MAX(0,$S913-$U913),MAX(0,TODAY()-$U913)))</f>
        <v/>
      </c>
      <c r="W913" s="30">
        <f>IF($A913="","",IF(OR($N913="Live",$N913="Retired"),"",TODAY()-MAX($O913,$P913,$Q913,$R913)))</f>
        <v/>
      </c>
      <c r="X913" s="23" t="n"/>
      <c r="Y913" s="30">
        <f>IF($A913="","",COUNTIFS('Issues Log'!$C$5:$C$504,$A913,'Issues Log'!$K$5:$K$504,"Open")+COUNTIFS('Issues Log'!$C$5:$C$504,$A913,'Issues Log'!$K$5:$K$504,"In progress"))</f>
        <v/>
      </c>
      <c r="Z913" s="27" t="n"/>
    </row>
    <row r="914">
      <c r="A914" s="27" t="n"/>
      <c r="B914" s="27" t="n"/>
      <c r="C914" s="27" t="n"/>
      <c r="D914" s="28">
        <f>IF($C914="","",IFERROR(INDEX('Topic Plan'!$C$5:$C$115,MATCH($C914,'Topic Plan'!$B$5:$B$115,0)),"UNKNOWN TOPIC ID"))</f>
        <v/>
      </c>
      <c r="E914" s="28">
        <f>IF($C914="","",IFERROR(INDEX('Topic Plan'!$D$5:$D$115,MATCH($C914,'Topic Plan'!$B$5:$B$115,0)),""))</f>
        <v/>
      </c>
      <c r="F914" s="28">
        <f>IF($C914="","",IFERROR(INDEX('Topic Plan'!$E$5:$E$115,MATCH($C914,'Topic Plan'!$B$5:$B$115,0)),""))</f>
        <v/>
      </c>
      <c r="G914" s="23" t="n"/>
      <c r="H914" s="27" t="n"/>
      <c r="I914" s="27" t="n"/>
      <c r="J914" s="27" t="n"/>
      <c r="K914" s="27" t="n"/>
      <c r="L914" s="27" t="n"/>
      <c r="M914" s="27" t="n"/>
      <c r="N914" s="23" t="n"/>
      <c r="O914" s="29" t="n"/>
      <c r="P914" s="29" t="n"/>
      <c r="Q914" s="29" t="n"/>
      <c r="R914" s="29" t="n"/>
      <c r="S914" s="29" t="n"/>
      <c r="T914" s="29" t="n"/>
      <c r="U914" s="29" t="n"/>
      <c r="V914" s="30">
        <f>IF(OR($A914="",$U914=""),"",IF($S914&lt;&gt;"",MAX(0,$S914-$U914),MAX(0,TODAY()-$U914)))</f>
        <v/>
      </c>
      <c r="W914" s="30">
        <f>IF($A914="","",IF(OR($N914="Live",$N914="Retired"),"",TODAY()-MAX($O914,$P914,$Q914,$R914)))</f>
        <v/>
      </c>
      <c r="X914" s="23" t="n"/>
      <c r="Y914" s="30">
        <f>IF($A914="","",COUNTIFS('Issues Log'!$C$5:$C$504,$A914,'Issues Log'!$K$5:$K$504,"Open")+COUNTIFS('Issues Log'!$C$5:$C$504,$A914,'Issues Log'!$K$5:$K$504,"In progress"))</f>
        <v/>
      </c>
      <c r="Z914" s="27" t="n"/>
    </row>
    <row r="915">
      <c r="A915" s="27" t="n"/>
      <c r="B915" s="27" t="n"/>
      <c r="C915" s="27" t="n"/>
      <c r="D915" s="28">
        <f>IF($C915="","",IFERROR(INDEX('Topic Plan'!$C$5:$C$115,MATCH($C915,'Topic Plan'!$B$5:$B$115,0)),"UNKNOWN TOPIC ID"))</f>
        <v/>
      </c>
      <c r="E915" s="28">
        <f>IF($C915="","",IFERROR(INDEX('Topic Plan'!$D$5:$D$115,MATCH($C915,'Topic Plan'!$B$5:$B$115,0)),""))</f>
        <v/>
      </c>
      <c r="F915" s="28">
        <f>IF($C915="","",IFERROR(INDEX('Topic Plan'!$E$5:$E$115,MATCH($C915,'Topic Plan'!$B$5:$B$115,0)),""))</f>
        <v/>
      </c>
      <c r="G915" s="23" t="n"/>
      <c r="H915" s="27" t="n"/>
      <c r="I915" s="27" t="n"/>
      <c r="J915" s="27" t="n"/>
      <c r="K915" s="27" t="n"/>
      <c r="L915" s="27" t="n"/>
      <c r="M915" s="27" t="n"/>
      <c r="N915" s="23" t="n"/>
      <c r="O915" s="29" t="n"/>
      <c r="P915" s="29" t="n"/>
      <c r="Q915" s="29" t="n"/>
      <c r="R915" s="29" t="n"/>
      <c r="S915" s="29" t="n"/>
      <c r="T915" s="29" t="n"/>
      <c r="U915" s="29" t="n"/>
      <c r="V915" s="30">
        <f>IF(OR($A915="",$U915=""),"",IF($S915&lt;&gt;"",MAX(0,$S915-$U915),MAX(0,TODAY()-$U915)))</f>
        <v/>
      </c>
      <c r="W915" s="30">
        <f>IF($A915="","",IF(OR($N915="Live",$N915="Retired"),"",TODAY()-MAX($O915,$P915,$Q915,$R915)))</f>
        <v/>
      </c>
      <c r="X915" s="23" t="n"/>
      <c r="Y915" s="30">
        <f>IF($A915="","",COUNTIFS('Issues Log'!$C$5:$C$504,$A915,'Issues Log'!$K$5:$K$504,"Open")+COUNTIFS('Issues Log'!$C$5:$C$504,$A915,'Issues Log'!$K$5:$K$504,"In progress"))</f>
        <v/>
      </c>
      <c r="Z915" s="27" t="n"/>
    </row>
    <row r="916">
      <c r="A916" s="27" t="n"/>
      <c r="B916" s="27" t="n"/>
      <c r="C916" s="27" t="n"/>
      <c r="D916" s="28">
        <f>IF($C916="","",IFERROR(INDEX('Topic Plan'!$C$5:$C$115,MATCH($C916,'Topic Plan'!$B$5:$B$115,0)),"UNKNOWN TOPIC ID"))</f>
        <v/>
      </c>
      <c r="E916" s="28">
        <f>IF($C916="","",IFERROR(INDEX('Topic Plan'!$D$5:$D$115,MATCH($C916,'Topic Plan'!$B$5:$B$115,0)),""))</f>
        <v/>
      </c>
      <c r="F916" s="28">
        <f>IF($C916="","",IFERROR(INDEX('Topic Plan'!$E$5:$E$115,MATCH($C916,'Topic Plan'!$B$5:$B$115,0)),""))</f>
        <v/>
      </c>
      <c r="G916" s="23" t="n"/>
      <c r="H916" s="27" t="n"/>
      <c r="I916" s="27" t="n"/>
      <c r="J916" s="27" t="n"/>
      <c r="K916" s="27" t="n"/>
      <c r="L916" s="27" t="n"/>
      <c r="M916" s="27" t="n"/>
      <c r="N916" s="23" t="n"/>
      <c r="O916" s="29" t="n"/>
      <c r="P916" s="29" t="n"/>
      <c r="Q916" s="29" t="n"/>
      <c r="R916" s="29" t="n"/>
      <c r="S916" s="29" t="n"/>
      <c r="T916" s="29" t="n"/>
      <c r="U916" s="29" t="n"/>
      <c r="V916" s="30">
        <f>IF(OR($A916="",$U916=""),"",IF($S916&lt;&gt;"",MAX(0,$S916-$U916),MAX(0,TODAY()-$U916)))</f>
        <v/>
      </c>
      <c r="W916" s="30">
        <f>IF($A916="","",IF(OR($N916="Live",$N916="Retired"),"",TODAY()-MAX($O916,$P916,$Q916,$R916)))</f>
        <v/>
      </c>
      <c r="X916" s="23" t="n"/>
      <c r="Y916" s="30">
        <f>IF($A916="","",COUNTIFS('Issues Log'!$C$5:$C$504,$A916,'Issues Log'!$K$5:$K$504,"Open")+COUNTIFS('Issues Log'!$C$5:$C$504,$A916,'Issues Log'!$K$5:$K$504,"In progress"))</f>
        <v/>
      </c>
      <c r="Z916" s="27" t="n"/>
    </row>
    <row r="917">
      <c r="A917" s="27" t="n"/>
      <c r="B917" s="27" t="n"/>
      <c r="C917" s="27" t="n"/>
      <c r="D917" s="28">
        <f>IF($C917="","",IFERROR(INDEX('Topic Plan'!$C$5:$C$115,MATCH($C917,'Topic Plan'!$B$5:$B$115,0)),"UNKNOWN TOPIC ID"))</f>
        <v/>
      </c>
      <c r="E917" s="28">
        <f>IF($C917="","",IFERROR(INDEX('Topic Plan'!$D$5:$D$115,MATCH($C917,'Topic Plan'!$B$5:$B$115,0)),""))</f>
        <v/>
      </c>
      <c r="F917" s="28">
        <f>IF($C917="","",IFERROR(INDEX('Topic Plan'!$E$5:$E$115,MATCH($C917,'Topic Plan'!$B$5:$B$115,0)),""))</f>
        <v/>
      </c>
      <c r="G917" s="23" t="n"/>
      <c r="H917" s="27" t="n"/>
      <c r="I917" s="27" t="n"/>
      <c r="J917" s="27" t="n"/>
      <c r="K917" s="27" t="n"/>
      <c r="L917" s="27" t="n"/>
      <c r="M917" s="27" t="n"/>
      <c r="N917" s="23" t="n"/>
      <c r="O917" s="29" t="n"/>
      <c r="P917" s="29" t="n"/>
      <c r="Q917" s="29" t="n"/>
      <c r="R917" s="29" t="n"/>
      <c r="S917" s="29" t="n"/>
      <c r="T917" s="29" t="n"/>
      <c r="U917" s="29" t="n"/>
      <c r="V917" s="30">
        <f>IF(OR($A917="",$U917=""),"",IF($S917&lt;&gt;"",MAX(0,$S917-$U917),MAX(0,TODAY()-$U917)))</f>
        <v/>
      </c>
      <c r="W917" s="30">
        <f>IF($A917="","",IF(OR($N917="Live",$N917="Retired"),"",TODAY()-MAX($O917,$P917,$Q917,$R917)))</f>
        <v/>
      </c>
      <c r="X917" s="23" t="n"/>
      <c r="Y917" s="30">
        <f>IF($A917="","",COUNTIFS('Issues Log'!$C$5:$C$504,$A917,'Issues Log'!$K$5:$K$504,"Open")+COUNTIFS('Issues Log'!$C$5:$C$504,$A917,'Issues Log'!$K$5:$K$504,"In progress"))</f>
        <v/>
      </c>
      <c r="Z917" s="27" t="n"/>
    </row>
    <row r="918">
      <c r="A918" s="27" t="n"/>
      <c r="B918" s="27" t="n"/>
      <c r="C918" s="27" t="n"/>
      <c r="D918" s="28">
        <f>IF($C918="","",IFERROR(INDEX('Topic Plan'!$C$5:$C$115,MATCH($C918,'Topic Plan'!$B$5:$B$115,0)),"UNKNOWN TOPIC ID"))</f>
        <v/>
      </c>
      <c r="E918" s="28">
        <f>IF($C918="","",IFERROR(INDEX('Topic Plan'!$D$5:$D$115,MATCH($C918,'Topic Plan'!$B$5:$B$115,0)),""))</f>
        <v/>
      </c>
      <c r="F918" s="28">
        <f>IF($C918="","",IFERROR(INDEX('Topic Plan'!$E$5:$E$115,MATCH($C918,'Topic Plan'!$B$5:$B$115,0)),""))</f>
        <v/>
      </c>
      <c r="G918" s="23" t="n"/>
      <c r="H918" s="27" t="n"/>
      <c r="I918" s="27" t="n"/>
      <c r="J918" s="27" t="n"/>
      <c r="K918" s="27" t="n"/>
      <c r="L918" s="27" t="n"/>
      <c r="M918" s="27" t="n"/>
      <c r="N918" s="23" t="n"/>
      <c r="O918" s="29" t="n"/>
      <c r="P918" s="29" t="n"/>
      <c r="Q918" s="29" t="n"/>
      <c r="R918" s="29" t="n"/>
      <c r="S918" s="29" t="n"/>
      <c r="T918" s="29" t="n"/>
      <c r="U918" s="29" t="n"/>
      <c r="V918" s="30">
        <f>IF(OR($A918="",$U918=""),"",IF($S918&lt;&gt;"",MAX(0,$S918-$U918),MAX(0,TODAY()-$U918)))</f>
        <v/>
      </c>
      <c r="W918" s="30">
        <f>IF($A918="","",IF(OR($N918="Live",$N918="Retired"),"",TODAY()-MAX($O918,$P918,$Q918,$R918)))</f>
        <v/>
      </c>
      <c r="X918" s="23" t="n"/>
      <c r="Y918" s="30">
        <f>IF($A918="","",COUNTIFS('Issues Log'!$C$5:$C$504,$A918,'Issues Log'!$K$5:$K$504,"Open")+COUNTIFS('Issues Log'!$C$5:$C$504,$A918,'Issues Log'!$K$5:$K$504,"In progress"))</f>
        <v/>
      </c>
      <c r="Z918" s="27" t="n"/>
    </row>
    <row r="919">
      <c r="A919" s="27" t="n"/>
      <c r="B919" s="27" t="n"/>
      <c r="C919" s="27" t="n"/>
      <c r="D919" s="28">
        <f>IF($C919="","",IFERROR(INDEX('Topic Plan'!$C$5:$C$115,MATCH($C919,'Topic Plan'!$B$5:$B$115,0)),"UNKNOWN TOPIC ID"))</f>
        <v/>
      </c>
      <c r="E919" s="28">
        <f>IF($C919="","",IFERROR(INDEX('Topic Plan'!$D$5:$D$115,MATCH($C919,'Topic Plan'!$B$5:$B$115,0)),""))</f>
        <v/>
      </c>
      <c r="F919" s="28">
        <f>IF($C919="","",IFERROR(INDEX('Topic Plan'!$E$5:$E$115,MATCH($C919,'Topic Plan'!$B$5:$B$115,0)),""))</f>
        <v/>
      </c>
      <c r="G919" s="23" t="n"/>
      <c r="H919" s="27" t="n"/>
      <c r="I919" s="27" t="n"/>
      <c r="J919" s="27" t="n"/>
      <c r="K919" s="27" t="n"/>
      <c r="L919" s="27" t="n"/>
      <c r="M919" s="27" t="n"/>
      <c r="N919" s="23" t="n"/>
      <c r="O919" s="29" t="n"/>
      <c r="P919" s="29" t="n"/>
      <c r="Q919" s="29" t="n"/>
      <c r="R919" s="29" t="n"/>
      <c r="S919" s="29" t="n"/>
      <c r="T919" s="29" t="n"/>
      <c r="U919" s="29" t="n"/>
      <c r="V919" s="30">
        <f>IF(OR($A919="",$U919=""),"",IF($S919&lt;&gt;"",MAX(0,$S919-$U919),MAX(0,TODAY()-$U919)))</f>
        <v/>
      </c>
      <c r="W919" s="30">
        <f>IF($A919="","",IF(OR($N919="Live",$N919="Retired"),"",TODAY()-MAX($O919,$P919,$Q919,$R919)))</f>
        <v/>
      </c>
      <c r="X919" s="23" t="n"/>
      <c r="Y919" s="30">
        <f>IF($A919="","",COUNTIFS('Issues Log'!$C$5:$C$504,$A919,'Issues Log'!$K$5:$K$504,"Open")+COUNTIFS('Issues Log'!$C$5:$C$504,$A919,'Issues Log'!$K$5:$K$504,"In progress"))</f>
        <v/>
      </c>
      <c r="Z919" s="27" t="n"/>
    </row>
    <row r="920">
      <c r="A920" s="27" t="n"/>
      <c r="B920" s="27" t="n"/>
      <c r="C920" s="27" t="n"/>
      <c r="D920" s="28">
        <f>IF($C920="","",IFERROR(INDEX('Topic Plan'!$C$5:$C$115,MATCH($C920,'Topic Plan'!$B$5:$B$115,0)),"UNKNOWN TOPIC ID"))</f>
        <v/>
      </c>
      <c r="E920" s="28">
        <f>IF($C920="","",IFERROR(INDEX('Topic Plan'!$D$5:$D$115,MATCH($C920,'Topic Plan'!$B$5:$B$115,0)),""))</f>
        <v/>
      </c>
      <c r="F920" s="28">
        <f>IF($C920="","",IFERROR(INDEX('Topic Plan'!$E$5:$E$115,MATCH($C920,'Topic Plan'!$B$5:$B$115,0)),""))</f>
        <v/>
      </c>
      <c r="G920" s="23" t="n"/>
      <c r="H920" s="27" t="n"/>
      <c r="I920" s="27" t="n"/>
      <c r="J920" s="27" t="n"/>
      <c r="K920" s="27" t="n"/>
      <c r="L920" s="27" t="n"/>
      <c r="M920" s="27" t="n"/>
      <c r="N920" s="23" t="n"/>
      <c r="O920" s="29" t="n"/>
      <c r="P920" s="29" t="n"/>
      <c r="Q920" s="29" t="n"/>
      <c r="R920" s="29" t="n"/>
      <c r="S920" s="29" t="n"/>
      <c r="T920" s="29" t="n"/>
      <c r="U920" s="29" t="n"/>
      <c r="V920" s="30">
        <f>IF(OR($A920="",$U920=""),"",IF($S920&lt;&gt;"",MAX(0,$S920-$U920),MAX(0,TODAY()-$U920)))</f>
        <v/>
      </c>
      <c r="W920" s="30">
        <f>IF($A920="","",IF(OR($N920="Live",$N920="Retired"),"",TODAY()-MAX($O920,$P920,$Q920,$R920)))</f>
        <v/>
      </c>
      <c r="X920" s="23" t="n"/>
      <c r="Y920" s="30">
        <f>IF($A920="","",COUNTIFS('Issues Log'!$C$5:$C$504,$A920,'Issues Log'!$K$5:$K$504,"Open")+COUNTIFS('Issues Log'!$C$5:$C$504,$A920,'Issues Log'!$K$5:$K$504,"In progress"))</f>
        <v/>
      </c>
      <c r="Z920" s="27" t="n"/>
    </row>
    <row r="921">
      <c r="A921" s="27" t="n"/>
      <c r="B921" s="27" t="n"/>
      <c r="C921" s="27" t="n"/>
      <c r="D921" s="28">
        <f>IF($C921="","",IFERROR(INDEX('Topic Plan'!$C$5:$C$115,MATCH($C921,'Topic Plan'!$B$5:$B$115,0)),"UNKNOWN TOPIC ID"))</f>
        <v/>
      </c>
      <c r="E921" s="28">
        <f>IF($C921="","",IFERROR(INDEX('Topic Plan'!$D$5:$D$115,MATCH($C921,'Topic Plan'!$B$5:$B$115,0)),""))</f>
        <v/>
      </c>
      <c r="F921" s="28">
        <f>IF($C921="","",IFERROR(INDEX('Topic Plan'!$E$5:$E$115,MATCH($C921,'Topic Plan'!$B$5:$B$115,0)),""))</f>
        <v/>
      </c>
      <c r="G921" s="23" t="n"/>
      <c r="H921" s="27" t="n"/>
      <c r="I921" s="27" t="n"/>
      <c r="J921" s="27" t="n"/>
      <c r="K921" s="27" t="n"/>
      <c r="L921" s="27" t="n"/>
      <c r="M921" s="27" t="n"/>
      <c r="N921" s="23" t="n"/>
      <c r="O921" s="29" t="n"/>
      <c r="P921" s="29" t="n"/>
      <c r="Q921" s="29" t="n"/>
      <c r="R921" s="29" t="n"/>
      <c r="S921" s="29" t="n"/>
      <c r="T921" s="29" t="n"/>
      <c r="U921" s="29" t="n"/>
      <c r="V921" s="30">
        <f>IF(OR($A921="",$U921=""),"",IF($S921&lt;&gt;"",MAX(0,$S921-$U921),MAX(0,TODAY()-$U921)))</f>
        <v/>
      </c>
      <c r="W921" s="30">
        <f>IF($A921="","",IF(OR($N921="Live",$N921="Retired"),"",TODAY()-MAX($O921,$P921,$Q921,$R921)))</f>
        <v/>
      </c>
      <c r="X921" s="23" t="n"/>
      <c r="Y921" s="30">
        <f>IF($A921="","",COUNTIFS('Issues Log'!$C$5:$C$504,$A921,'Issues Log'!$K$5:$K$504,"Open")+COUNTIFS('Issues Log'!$C$5:$C$504,$A921,'Issues Log'!$K$5:$K$504,"In progress"))</f>
        <v/>
      </c>
      <c r="Z921" s="27" t="n"/>
    </row>
    <row r="922">
      <c r="A922" s="27" t="n"/>
      <c r="B922" s="27" t="n"/>
      <c r="C922" s="27" t="n"/>
      <c r="D922" s="28">
        <f>IF($C922="","",IFERROR(INDEX('Topic Plan'!$C$5:$C$115,MATCH($C922,'Topic Plan'!$B$5:$B$115,0)),"UNKNOWN TOPIC ID"))</f>
        <v/>
      </c>
      <c r="E922" s="28">
        <f>IF($C922="","",IFERROR(INDEX('Topic Plan'!$D$5:$D$115,MATCH($C922,'Topic Plan'!$B$5:$B$115,0)),""))</f>
        <v/>
      </c>
      <c r="F922" s="28">
        <f>IF($C922="","",IFERROR(INDEX('Topic Plan'!$E$5:$E$115,MATCH($C922,'Topic Plan'!$B$5:$B$115,0)),""))</f>
        <v/>
      </c>
      <c r="G922" s="23" t="n"/>
      <c r="H922" s="27" t="n"/>
      <c r="I922" s="27" t="n"/>
      <c r="J922" s="27" t="n"/>
      <c r="K922" s="27" t="n"/>
      <c r="L922" s="27" t="n"/>
      <c r="M922" s="27" t="n"/>
      <c r="N922" s="23" t="n"/>
      <c r="O922" s="29" t="n"/>
      <c r="P922" s="29" t="n"/>
      <c r="Q922" s="29" t="n"/>
      <c r="R922" s="29" t="n"/>
      <c r="S922" s="29" t="n"/>
      <c r="T922" s="29" t="n"/>
      <c r="U922" s="29" t="n"/>
      <c r="V922" s="30">
        <f>IF(OR($A922="",$U922=""),"",IF($S922&lt;&gt;"",MAX(0,$S922-$U922),MAX(0,TODAY()-$U922)))</f>
        <v/>
      </c>
      <c r="W922" s="30">
        <f>IF($A922="","",IF(OR($N922="Live",$N922="Retired"),"",TODAY()-MAX($O922,$P922,$Q922,$R922)))</f>
        <v/>
      </c>
      <c r="X922" s="23" t="n"/>
      <c r="Y922" s="30">
        <f>IF($A922="","",COUNTIFS('Issues Log'!$C$5:$C$504,$A922,'Issues Log'!$K$5:$K$504,"Open")+COUNTIFS('Issues Log'!$C$5:$C$504,$A922,'Issues Log'!$K$5:$K$504,"In progress"))</f>
        <v/>
      </c>
      <c r="Z922" s="27" t="n"/>
    </row>
    <row r="923">
      <c r="A923" s="27" t="n"/>
      <c r="B923" s="27" t="n"/>
      <c r="C923" s="27" t="n"/>
      <c r="D923" s="28">
        <f>IF($C923="","",IFERROR(INDEX('Topic Plan'!$C$5:$C$115,MATCH($C923,'Topic Plan'!$B$5:$B$115,0)),"UNKNOWN TOPIC ID"))</f>
        <v/>
      </c>
      <c r="E923" s="28">
        <f>IF($C923="","",IFERROR(INDEX('Topic Plan'!$D$5:$D$115,MATCH($C923,'Topic Plan'!$B$5:$B$115,0)),""))</f>
        <v/>
      </c>
      <c r="F923" s="28">
        <f>IF($C923="","",IFERROR(INDEX('Topic Plan'!$E$5:$E$115,MATCH($C923,'Topic Plan'!$B$5:$B$115,0)),""))</f>
        <v/>
      </c>
      <c r="G923" s="23" t="n"/>
      <c r="H923" s="27" t="n"/>
      <c r="I923" s="27" t="n"/>
      <c r="J923" s="27" t="n"/>
      <c r="K923" s="27" t="n"/>
      <c r="L923" s="27" t="n"/>
      <c r="M923" s="27" t="n"/>
      <c r="N923" s="23" t="n"/>
      <c r="O923" s="29" t="n"/>
      <c r="P923" s="29" t="n"/>
      <c r="Q923" s="29" t="n"/>
      <c r="R923" s="29" t="n"/>
      <c r="S923" s="29" t="n"/>
      <c r="T923" s="29" t="n"/>
      <c r="U923" s="29" t="n"/>
      <c r="V923" s="30">
        <f>IF(OR($A923="",$U923=""),"",IF($S923&lt;&gt;"",MAX(0,$S923-$U923),MAX(0,TODAY()-$U923)))</f>
        <v/>
      </c>
      <c r="W923" s="30">
        <f>IF($A923="","",IF(OR($N923="Live",$N923="Retired"),"",TODAY()-MAX($O923,$P923,$Q923,$R923)))</f>
        <v/>
      </c>
      <c r="X923" s="23" t="n"/>
      <c r="Y923" s="30">
        <f>IF($A923="","",COUNTIFS('Issues Log'!$C$5:$C$504,$A923,'Issues Log'!$K$5:$K$504,"Open")+COUNTIFS('Issues Log'!$C$5:$C$504,$A923,'Issues Log'!$K$5:$K$504,"In progress"))</f>
        <v/>
      </c>
      <c r="Z923" s="27" t="n"/>
    </row>
    <row r="924">
      <c r="A924" s="27" t="n"/>
      <c r="B924" s="27" t="n"/>
      <c r="C924" s="27" t="n"/>
      <c r="D924" s="28">
        <f>IF($C924="","",IFERROR(INDEX('Topic Plan'!$C$5:$C$115,MATCH($C924,'Topic Plan'!$B$5:$B$115,0)),"UNKNOWN TOPIC ID"))</f>
        <v/>
      </c>
      <c r="E924" s="28">
        <f>IF($C924="","",IFERROR(INDEX('Topic Plan'!$D$5:$D$115,MATCH($C924,'Topic Plan'!$B$5:$B$115,0)),""))</f>
        <v/>
      </c>
      <c r="F924" s="28">
        <f>IF($C924="","",IFERROR(INDEX('Topic Plan'!$E$5:$E$115,MATCH($C924,'Topic Plan'!$B$5:$B$115,0)),""))</f>
        <v/>
      </c>
      <c r="G924" s="23" t="n"/>
      <c r="H924" s="27" t="n"/>
      <c r="I924" s="27" t="n"/>
      <c r="J924" s="27" t="n"/>
      <c r="K924" s="27" t="n"/>
      <c r="L924" s="27" t="n"/>
      <c r="M924" s="27" t="n"/>
      <c r="N924" s="23" t="n"/>
      <c r="O924" s="29" t="n"/>
      <c r="P924" s="29" t="n"/>
      <c r="Q924" s="29" t="n"/>
      <c r="R924" s="29" t="n"/>
      <c r="S924" s="29" t="n"/>
      <c r="T924" s="29" t="n"/>
      <c r="U924" s="29" t="n"/>
      <c r="V924" s="30">
        <f>IF(OR($A924="",$U924=""),"",IF($S924&lt;&gt;"",MAX(0,$S924-$U924),MAX(0,TODAY()-$U924)))</f>
        <v/>
      </c>
      <c r="W924" s="30">
        <f>IF($A924="","",IF(OR($N924="Live",$N924="Retired"),"",TODAY()-MAX($O924,$P924,$Q924,$R924)))</f>
        <v/>
      </c>
      <c r="X924" s="23" t="n"/>
      <c r="Y924" s="30">
        <f>IF($A924="","",COUNTIFS('Issues Log'!$C$5:$C$504,$A924,'Issues Log'!$K$5:$K$504,"Open")+COUNTIFS('Issues Log'!$C$5:$C$504,$A924,'Issues Log'!$K$5:$K$504,"In progress"))</f>
        <v/>
      </c>
      <c r="Z924" s="27" t="n"/>
    </row>
    <row r="925">
      <c r="A925" s="27" t="n"/>
      <c r="B925" s="27" t="n"/>
      <c r="C925" s="27" t="n"/>
      <c r="D925" s="28">
        <f>IF($C925="","",IFERROR(INDEX('Topic Plan'!$C$5:$C$115,MATCH($C925,'Topic Plan'!$B$5:$B$115,0)),"UNKNOWN TOPIC ID"))</f>
        <v/>
      </c>
      <c r="E925" s="28">
        <f>IF($C925="","",IFERROR(INDEX('Topic Plan'!$D$5:$D$115,MATCH($C925,'Topic Plan'!$B$5:$B$115,0)),""))</f>
        <v/>
      </c>
      <c r="F925" s="28">
        <f>IF($C925="","",IFERROR(INDEX('Topic Plan'!$E$5:$E$115,MATCH($C925,'Topic Plan'!$B$5:$B$115,0)),""))</f>
        <v/>
      </c>
      <c r="G925" s="23" t="n"/>
      <c r="H925" s="27" t="n"/>
      <c r="I925" s="27" t="n"/>
      <c r="J925" s="27" t="n"/>
      <c r="K925" s="27" t="n"/>
      <c r="L925" s="27" t="n"/>
      <c r="M925" s="27" t="n"/>
      <c r="N925" s="23" t="n"/>
      <c r="O925" s="29" t="n"/>
      <c r="P925" s="29" t="n"/>
      <c r="Q925" s="29" t="n"/>
      <c r="R925" s="29" t="n"/>
      <c r="S925" s="29" t="n"/>
      <c r="T925" s="29" t="n"/>
      <c r="U925" s="29" t="n"/>
      <c r="V925" s="30">
        <f>IF(OR($A925="",$U925=""),"",IF($S925&lt;&gt;"",MAX(0,$S925-$U925),MAX(0,TODAY()-$U925)))</f>
        <v/>
      </c>
      <c r="W925" s="30">
        <f>IF($A925="","",IF(OR($N925="Live",$N925="Retired"),"",TODAY()-MAX($O925,$P925,$Q925,$R925)))</f>
        <v/>
      </c>
      <c r="X925" s="23" t="n"/>
      <c r="Y925" s="30">
        <f>IF($A925="","",COUNTIFS('Issues Log'!$C$5:$C$504,$A925,'Issues Log'!$K$5:$K$504,"Open")+COUNTIFS('Issues Log'!$C$5:$C$504,$A925,'Issues Log'!$K$5:$K$504,"In progress"))</f>
        <v/>
      </c>
      <c r="Z925" s="27" t="n"/>
    </row>
    <row r="926">
      <c r="A926" s="27" t="n"/>
      <c r="B926" s="27" t="n"/>
      <c r="C926" s="27" t="n"/>
      <c r="D926" s="28">
        <f>IF($C926="","",IFERROR(INDEX('Topic Plan'!$C$5:$C$115,MATCH($C926,'Topic Plan'!$B$5:$B$115,0)),"UNKNOWN TOPIC ID"))</f>
        <v/>
      </c>
      <c r="E926" s="28">
        <f>IF($C926="","",IFERROR(INDEX('Topic Plan'!$D$5:$D$115,MATCH($C926,'Topic Plan'!$B$5:$B$115,0)),""))</f>
        <v/>
      </c>
      <c r="F926" s="28">
        <f>IF($C926="","",IFERROR(INDEX('Topic Plan'!$E$5:$E$115,MATCH($C926,'Topic Plan'!$B$5:$B$115,0)),""))</f>
        <v/>
      </c>
      <c r="G926" s="23" t="n"/>
      <c r="H926" s="27" t="n"/>
      <c r="I926" s="27" t="n"/>
      <c r="J926" s="27" t="n"/>
      <c r="K926" s="27" t="n"/>
      <c r="L926" s="27" t="n"/>
      <c r="M926" s="27" t="n"/>
      <c r="N926" s="23" t="n"/>
      <c r="O926" s="29" t="n"/>
      <c r="P926" s="29" t="n"/>
      <c r="Q926" s="29" t="n"/>
      <c r="R926" s="29" t="n"/>
      <c r="S926" s="29" t="n"/>
      <c r="T926" s="29" t="n"/>
      <c r="U926" s="29" t="n"/>
      <c r="V926" s="30">
        <f>IF(OR($A926="",$U926=""),"",IF($S926&lt;&gt;"",MAX(0,$S926-$U926),MAX(0,TODAY()-$U926)))</f>
        <v/>
      </c>
      <c r="W926" s="30">
        <f>IF($A926="","",IF(OR($N926="Live",$N926="Retired"),"",TODAY()-MAX($O926,$P926,$Q926,$R926)))</f>
        <v/>
      </c>
      <c r="X926" s="23" t="n"/>
      <c r="Y926" s="30">
        <f>IF($A926="","",COUNTIFS('Issues Log'!$C$5:$C$504,$A926,'Issues Log'!$K$5:$K$504,"Open")+COUNTIFS('Issues Log'!$C$5:$C$504,$A926,'Issues Log'!$K$5:$K$504,"In progress"))</f>
        <v/>
      </c>
      <c r="Z926" s="27" t="n"/>
    </row>
    <row r="927">
      <c r="A927" s="27" t="n"/>
      <c r="B927" s="27" t="n"/>
      <c r="C927" s="27" t="n"/>
      <c r="D927" s="28">
        <f>IF($C927="","",IFERROR(INDEX('Topic Plan'!$C$5:$C$115,MATCH($C927,'Topic Plan'!$B$5:$B$115,0)),"UNKNOWN TOPIC ID"))</f>
        <v/>
      </c>
      <c r="E927" s="28">
        <f>IF($C927="","",IFERROR(INDEX('Topic Plan'!$D$5:$D$115,MATCH($C927,'Topic Plan'!$B$5:$B$115,0)),""))</f>
        <v/>
      </c>
      <c r="F927" s="28">
        <f>IF($C927="","",IFERROR(INDEX('Topic Plan'!$E$5:$E$115,MATCH($C927,'Topic Plan'!$B$5:$B$115,0)),""))</f>
        <v/>
      </c>
      <c r="G927" s="23" t="n"/>
      <c r="H927" s="27" t="n"/>
      <c r="I927" s="27" t="n"/>
      <c r="J927" s="27" t="n"/>
      <c r="K927" s="27" t="n"/>
      <c r="L927" s="27" t="n"/>
      <c r="M927" s="27" t="n"/>
      <c r="N927" s="23" t="n"/>
      <c r="O927" s="29" t="n"/>
      <c r="P927" s="29" t="n"/>
      <c r="Q927" s="29" t="n"/>
      <c r="R927" s="29" t="n"/>
      <c r="S927" s="29" t="n"/>
      <c r="T927" s="29" t="n"/>
      <c r="U927" s="29" t="n"/>
      <c r="V927" s="30">
        <f>IF(OR($A927="",$U927=""),"",IF($S927&lt;&gt;"",MAX(0,$S927-$U927),MAX(0,TODAY()-$U927)))</f>
        <v/>
      </c>
      <c r="W927" s="30">
        <f>IF($A927="","",IF(OR($N927="Live",$N927="Retired"),"",TODAY()-MAX($O927,$P927,$Q927,$R927)))</f>
        <v/>
      </c>
      <c r="X927" s="23" t="n"/>
      <c r="Y927" s="30">
        <f>IF($A927="","",COUNTIFS('Issues Log'!$C$5:$C$504,$A927,'Issues Log'!$K$5:$K$504,"Open")+COUNTIFS('Issues Log'!$C$5:$C$504,$A927,'Issues Log'!$K$5:$K$504,"In progress"))</f>
        <v/>
      </c>
      <c r="Z927" s="27" t="n"/>
    </row>
    <row r="928">
      <c r="A928" s="27" t="n"/>
      <c r="B928" s="27" t="n"/>
      <c r="C928" s="27" t="n"/>
      <c r="D928" s="28">
        <f>IF($C928="","",IFERROR(INDEX('Topic Plan'!$C$5:$C$115,MATCH($C928,'Topic Plan'!$B$5:$B$115,0)),"UNKNOWN TOPIC ID"))</f>
        <v/>
      </c>
      <c r="E928" s="28">
        <f>IF($C928="","",IFERROR(INDEX('Topic Plan'!$D$5:$D$115,MATCH($C928,'Topic Plan'!$B$5:$B$115,0)),""))</f>
        <v/>
      </c>
      <c r="F928" s="28">
        <f>IF($C928="","",IFERROR(INDEX('Topic Plan'!$E$5:$E$115,MATCH($C928,'Topic Plan'!$B$5:$B$115,0)),""))</f>
        <v/>
      </c>
      <c r="G928" s="23" t="n"/>
      <c r="H928" s="27" t="n"/>
      <c r="I928" s="27" t="n"/>
      <c r="J928" s="27" t="n"/>
      <c r="K928" s="27" t="n"/>
      <c r="L928" s="27" t="n"/>
      <c r="M928" s="27" t="n"/>
      <c r="N928" s="23" t="n"/>
      <c r="O928" s="29" t="n"/>
      <c r="P928" s="29" t="n"/>
      <c r="Q928" s="29" t="n"/>
      <c r="R928" s="29" t="n"/>
      <c r="S928" s="29" t="n"/>
      <c r="T928" s="29" t="n"/>
      <c r="U928" s="29" t="n"/>
      <c r="V928" s="30">
        <f>IF(OR($A928="",$U928=""),"",IF($S928&lt;&gt;"",MAX(0,$S928-$U928),MAX(0,TODAY()-$U928)))</f>
        <v/>
      </c>
      <c r="W928" s="30">
        <f>IF($A928="","",IF(OR($N928="Live",$N928="Retired"),"",TODAY()-MAX($O928,$P928,$Q928,$R928)))</f>
        <v/>
      </c>
      <c r="X928" s="23" t="n"/>
      <c r="Y928" s="30">
        <f>IF($A928="","",COUNTIFS('Issues Log'!$C$5:$C$504,$A928,'Issues Log'!$K$5:$K$504,"Open")+COUNTIFS('Issues Log'!$C$5:$C$504,$A928,'Issues Log'!$K$5:$K$504,"In progress"))</f>
        <v/>
      </c>
      <c r="Z928" s="27" t="n"/>
    </row>
    <row r="929">
      <c r="A929" s="27" t="n"/>
      <c r="B929" s="27" t="n"/>
      <c r="C929" s="27" t="n"/>
      <c r="D929" s="28">
        <f>IF($C929="","",IFERROR(INDEX('Topic Plan'!$C$5:$C$115,MATCH($C929,'Topic Plan'!$B$5:$B$115,0)),"UNKNOWN TOPIC ID"))</f>
        <v/>
      </c>
      <c r="E929" s="28">
        <f>IF($C929="","",IFERROR(INDEX('Topic Plan'!$D$5:$D$115,MATCH($C929,'Topic Plan'!$B$5:$B$115,0)),""))</f>
        <v/>
      </c>
      <c r="F929" s="28">
        <f>IF($C929="","",IFERROR(INDEX('Topic Plan'!$E$5:$E$115,MATCH($C929,'Topic Plan'!$B$5:$B$115,0)),""))</f>
        <v/>
      </c>
      <c r="G929" s="23" t="n"/>
      <c r="H929" s="27" t="n"/>
      <c r="I929" s="27" t="n"/>
      <c r="J929" s="27" t="n"/>
      <c r="K929" s="27" t="n"/>
      <c r="L929" s="27" t="n"/>
      <c r="M929" s="27" t="n"/>
      <c r="N929" s="23" t="n"/>
      <c r="O929" s="29" t="n"/>
      <c r="P929" s="29" t="n"/>
      <c r="Q929" s="29" t="n"/>
      <c r="R929" s="29" t="n"/>
      <c r="S929" s="29" t="n"/>
      <c r="T929" s="29" t="n"/>
      <c r="U929" s="29" t="n"/>
      <c r="V929" s="30">
        <f>IF(OR($A929="",$U929=""),"",IF($S929&lt;&gt;"",MAX(0,$S929-$U929),MAX(0,TODAY()-$U929)))</f>
        <v/>
      </c>
      <c r="W929" s="30">
        <f>IF($A929="","",IF(OR($N929="Live",$N929="Retired"),"",TODAY()-MAX($O929,$P929,$Q929,$R929)))</f>
        <v/>
      </c>
      <c r="X929" s="23" t="n"/>
      <c r="Y929" s="30">
        <f>IF($A929="","",COUNTIFS('Issues Log'!$C$5:$C$504,$A929,'Issues Log'!$K$5:$K$504,"Open")+COUNTIFS('Issues Log'!$C$5:$C$504,$A929,'Issues Log'!$K$5:$K$504,"In progress"))</f>
        <v/>
      </c>
      <c r="Z929" s="27" t="n"/>
    </row>
    <row r="930">
      <c r="A930" s="27" t="n"/>
      <c r="B930" s="27" t="n"/>
      <c r="C930" s="27" t="n"/>
      <c r="D930" s="28">
        <f>IF($C930="","",IFERROR(INDEX('Topic Plan'!$C$5:$C$115,MATCH($C930,'Topic Plan'!$B$5:$B$115,0)),"UNKNOWN TOPIC ID"))</f>
        <v/>
      </c>
      <c r="E930" s="28">
        <f>IF($C930="","",IFERROR(INDEX('Topic Plan'!$D$5:$D$115,MATCH($C930,'Topic Plan'!$B$5:$B$115,0)),""))</f>
        <v/>
      </c>
      <c r="F930" s="28">
        <f>IF($C930="","",IFERROR(INDEX('Topic Plan'!$E$5:$E$115,MATCH($C930,'Topic Plan'!$B$5:$B$115,0)),""))</f>
        <v/>
      </c>
      <c r="G930" s="23" t="n"/>
      <c r="H930" s="27" t="n"/>
      <c r="I930" s="27" t="n"/>
      <c r="J930" s="27" t="n"/>
      <c r="K930" s="27" t="n"/>
      <c r="L930" s="27" t="n"/>
      <c r="M930" s="27" t="n"/>
      <c r="N930" s="23" t="n"/>
      <c r="O930" s="29" t="n"/>
      <c r="P930" s="29" t="n"/>
      <c r="Q930" s="29" t="n"/>
      <c r="R930" s="29" t="n"/>
      <c r="S930" s="29" t="n"/>
      <c r="T930" s="29" t="n"/>
      <c r="U930" s="29" t="n"/>
      <c r="V930" s="30">
        <f>IF(OR($A930="",$U930=""),"",IF($S930&lt;&gt;"",MAX(0,$S930-$U930),MAX(0,TODAY()-$U930)))</f>
        <v/>
      </c>
      <c r="W930" s="30">
        <f>IF($A930="","",IF(OR($N930="Live",$N930="Retired"),"",TODAY()-MAX($O930,$P930,$Q930,$R930)))</f>
        <v/>
      </c>
      <c r="X930" s="23" t="n"/>
      <c r="Y930" s="30">
        <f>IF($A930="","",COUNTIFS('Issues Log'!$C$5:$C$504,$A930,'Issues Log'!$K$5:$K$504,"Open")+COUNTIFS('Issues Log'!$C$5:$C$504,$A930,'Issues Log'!$K$5:$K$504,"In progress"))</f>
        <v/>
      </c>
      <c r="Z930" s="27" t="n"/>
    </row>
    <row r="931">
      <c r="A931" s="27" t="n"/>
      <c r="B931" s="27" t="n"/>
      <c r="C931" s="27" t="n"/>
      <c r="D931" s="28">
        <f>IF($C931="","",IFERROR(INDEX('Topic Plan'!$C$5:$C$115,MATCH($C931,'Topic Plan'!$B$5:$B$115,0)),"UNKNOWN TOPIC ID"))</f>
        <v/>
      </c>
      <c r="E931" s="28">
        <f>IF($C931="","",IFERROR(INDEX('Topic Plan'!$D$5:$D$115,MATCH($C931,'Topic Plan'!$B$5:$B$115,0)),""))</f>
        <v/>
      </c>
      <c r="F931" s="28">
        <f>IF($C931="","",IFERROR(INDEX('Topic Plan'!$E$5:$E$115,MATCH($C931,'Topic Plan'!$B$5:$B$115,0)),""))</f>
        <v/>
      </c>
      <c r="G931" s="23" t="n"/>
      <c r="H931" s="27" t="n"/>
      <c r="I931" s="27" t="n"/>
      <c r="J931" s="27" t="n"/>
      <c r="K931" s="27" t="n"/>
      <c r="L931" s="27" t="n"/>
      <c r="M931" s="27" t="n"/>
      <c r="N931" s="23" t="n"/>
      <c r="O931" s="29" t="n"/>
      <c r="P931" s="29" t="n"/>
      <c r="Q931" s="29" t="n"/>
      <c r="R931" s="29" t="n"/>
      <c r="S931" s="29" t="n"/>
      <c r="T931" s="29" t="n"/>
      <c r="U931" s="29" t="n"/>
      <c r="V931" s="30">
        <f>IF(OR($A931="",$U931=""),"",IF($S931&lt;&gt;"",MAX(0,$S931-$U931),MAX(0,TODAY()-$U931)))</f>
        <v/>
      </c>
      <c r="W931" s="30">
        <f>IF($A931="","",IF(OR($N931="Live",$N931="Retired"),"",TODAY()-MAX($O931,$P931,$Q931,$R931)))</f>
        <v/>
      </c>
      <c r="X931" s="23" t="n"/>
      <c r="Y931" s="30">
        <f>IF($A931="","",COUNTIFS('Issues Log'!$C$5:$C$504,$A931,'Issues Log'!$K$5:$K$504,"Open")+COUNTIFS('Issues Log'!$C$5:$C$504,$A931,'Issues Log'!$K$5:$K$504,"In progress"))</f>
        <v/>
      </c>
      <c r="Z931" s="27" t="n"/>
    </row>
    <row r="932">
      <c r="A932" s="27" t="n"/>
      <c r="B932" s="27" t="n"/>
      <c r="C932" s="27" t="n"/>
      <c r="D932" s="28">
        <f>IF($C932="","",IFERROR(INDEX('Topic Plan'!$C$5:$C$115,MATCH($C932,'Topic Plan'!$B$5:$B$115,0)),"UNKNOWN TOPIC ID"))</f>
        <v/>
      </c>
      <c r="E932" s="28">
        <f>IF($C932="","",IFERROR(INDEX('Topic Plan'!$D$5:$D$115,MATCH($C932,'Topic Plan'!$B$5:$B$115,0)),""))</f>
        <v/>
      </c>
      <c r="F932" s="28">
        <f>IF($C932="","",IFERROR(INDEX('Topic Plan'!$E$5:$E$115,MATCH($C932,'Topic Plan'!$B$5:$B$115,0)),""))</f>
        <v/>
      </c>
      <c r="G932" s="23" t="n"/>
      <c r="H932" s="27" t="n"/>
      <c r="I932" s="27" t="n"/>
      <c r="J932" s="27" t="n"/>
      <c r="K932" s="27" t="n"/>
      <c r="L932" s="27" t="n"/>
      <c r="M932" s="27" t="n"/>
      <c r="N932" s="23" t="n"/>
      <c r="O932" s="29" t="n"/>
      <c r="P932" s="29" t="n"/>
      <c r="Q932" s="29" t="n"/>
      <c r="R932" s="29" t="n"/>
      <c r="S932" s="29" t="n"/>
      <c r="T932" s="29" t="n"/>
      <c r="U932" s="29" t="n"/>
      <c r="V932" s="30">
        <f>IF(OR($A932="",$U932=""),"",IF($S932&lt;&gt;"",MAX(0,$S932-$U932),MAX(0,TODAY()-$U932)))</f>
        <v/>
      </c>
      <c r="W932" s="30">
        <f>IF($A932="","",IF(OR($N932="Live",$N932="Retired"),"",TODAY()-MAX($O932,$P932,$Q932,$R932)))</f>
        <v/>
      </c>
      <c r="X932" s="23" t="n"/>
      <c r="Y932" s="30">
        <f>IF($A932="","",COUNTIFS('Issues Log'!$C$5:$C$504,$A932,'Issues Log'!$K$5:$K$504,"Open")+COUNTIFS('Issues Log'!$C$5:$C$504,$A932,'Issues Log'!$K$5:$K$504,"In progress"))</f>
        <v/>
      </c>
      <c r="Z932" s="27" t="n"/>
    </row>
    <row r="933">
      <c r="A933" s="27" t="n"/>
      <c r="B933" s="27" t="n"/>
      <c r="C933" s="27" t="n"/>
      <c r="D933" s="28">
        <f>IF($C933="","",IFERROR(INDEX('Topic Plan'!$C$5:$C$115,MATCH($C933,'Topic Plan'!$B$5:$B$115,0)),"UNKNOWN TOPIC ID"))</f>
        <v/>
      </c>
      <c r="E933" s="28">
        <f>IF($C933="","",IFERROR(INDEX('Topic Plan'!$D$5:$D$115,MATCH($C933,'Topic Plan'!$B$5:$B$115,0)),""))</f>
        <v/>
      </c>
      <c r="F933" s="28">
        <f>IF($C933="","",IFERROR(INDEX('Topic Plan'!$E$5:$E$115,MATCH($C933,'Topic Plan'!$B$5:$B$115,0)),""))</f>
        <v/>
      </c>
      <c r="G933" s="23" t="n"/>
      <c r="H933" s="27" t="n"/>
      <c r="I933" s="27" t="n"/>
      <c r="J933" s="27" t="n"/>
      <c r="K933" s="27" t="n"/>
      <c r="L933" s="27" t="n"/>
      <c r="M933" s="27" t="n"/>
      <c r="N933" s="23" t="n"/>
      <c r="O933" s="29" t="n"/>
      <c r="P933" s="29" t="n"/>
      <c r="Q933" s="29" t="n"/>
      <c r="R933" s="29" t="n"/>
      <c r="S933" s="29" t="n"/>
      <c r="T933" s="29" t="n"/>
      <c r="U933" s="29" t="n"/>
      <c r="V933" s="30">
        <f>IF(OR($A933="",$U933=""),"",IF($S933&lt;&gt;"",MAX(0,$S933-$U933),MAX(0,TODAY()-$U933)))</f>
        <v/>
      </c>
      <c r="W933" s="30">
        <f>IF($A933="","",IF(OR($N933="Live",$N933="Retired"),"",TODAY()-MAX($O933,$P933,$Q933,$R933)))</f>
        <v/>
      </c>
      <c r="X933" s="23" t="n"/>
      <c r="Y933" s="30">
        <f>IF($A933="","",COUNTIFS('Issues Log'!$C$5:$C$504,$A933,'Issues Log'!$K$5:$K$504,"Open")+COUNTIFS('Issues Log'!$C$5:$C$504,$A933,'Issues Log'!$K$5:$K$504,"In progress"))</f>
        <v/>
      </c>
      <c r="Z933" s="27" t="n"/>
    </row>
    <row r="934">
      <c r="A934" s="27" t="n"/>
      <c r="B934" s="27" t="n"/>
      <c r="C934" s="27" t="n"/>
      <c r="D934" s="28">
        <f>IF($C934="","",IFERROR(INDEX('Topic Plan'!$C$5:$C$115,MATCH($C934,'Topic Plan'!$B$5:$B$115,0)),"UNKNOWN TOPIC ID"))</f>
        <v/>
      </c>
      <c r="E934" s="28">
        <f>IF($C934="","",IFERROR(INDEX('Topic Plan'!$D$5:$D$115,MATCH($C934,'Topic Plan'!$B$5:$B$115,0)),""))</f>
        <v/>
      </c>
      <c r="F934" s="28">
        <f>IF($C934="","",IFERROR(INDEX('Topic Plan'!$E$5:$E$115,MATCH($C934,'Topic Plan'!$B$5:$B$115,0)),""))</f>
        <v/>
      </c>
      <c r="G934" s="23" t="n"/>
      <c r="H934" s="27" t="n"/>
      <c r="I934" s="27" t="n"/>
      <c r="J934" s="27" t="n"/>
      <c r="K934" s="27" t="n"/>
      <c r="L934" s="27" t="n"/>
      <c r="M934" s="27" t="n"/>
      <c r="N934" s="23" t="n"/>
      <c r="O934" s="29" t="n"/>
      <c r="P934" s="29" t="n"/>
      <c r="Q934" s="29" t="n"/>
      <c r="R934" s="29" t="n"/>
      <c r="S934" s="29" t="n"/>
      <c r="T934" s="29" t="n"/>
      <c r="U934" s="29" t="n"/>
      <c r="V934" s="30">
        <f>IF(OR($A934="",$U934=""),"",IF($S934&lt;&gt;"",MAX(0,$S934-$U934),MAX(0,TODAY()-$U934)))</f>
        <v/>
      </c>
      <c r="W934" s="30">
        <f>IF($A934="","",IF(OR($N934="Live",$N934="Retired"),"",TODAY()-MAX($O934,$P934,$Q934,$R934)))</f>
        <v/>
      </c>
      <c r="X934" s="23" t="n"/>
      <c r="Y934" s="30">
        <f>IF($A934="","",COUNTIFS('Issues Log'!$C$5:$C$504,$A934,'Issues Log'!$K$5:$K$504,"Open")+COUNTIFS('Issues Log'!$C$5:$C$504,$A934,'Issues Log'!$K$5:$K$504,"In progress"))</f>
        <v/>
      </c>
      <c r="Z934" s="27" t="n"/>
    </row>
    <row r="935">
      <c r="A935" s="27" t="n"/>
      <c r="B935" s="27" t="n"/>
      <c r="C935" s="27" t="n"/>
      <c r="D935" s="28">
        <f>IF($C935="","",IFERROR(INDEX('Topic Plan'!$C$5:$C$115,MATCH($C935,'Topic Plan'!$B$5:$B$115,0)),"UNKNOWN TOPIC ID"))</f>
        <v/>
      </c>
      <c r="E935" s="28">
        <f>IF($C935="","",IFERROR(INDEX('Topic Plan'!$D$5:$D$115,MATCH($C935,'Topic Plan'!$B$5:$B$115,0)),""))</f>
        <v/>
      </c>
      <c r="F935" s="28">
        <f>IF($C935="","",IFERROR(INDEX('Topic Plan'!$E$5:$E$115,MATCH($C935,'Topic Plan'!$B$5:$B$115,0)),""))</f>
        <v/>
      </c>
      <c r="G935" s="23" t="n"/>
      <c r="H935" s="27" t="n"/>
      <c r="I935" s="27" t="n"/>
      <c r="J935" s="27" t="n"/>
      <c r="K935" s="27" t="n"/>
      <c r="L935" s="27" t="n"/>
      <c r="M935" s="27" t="n"/>
      <c r="N935" s="23" t="n"/>
      <c r="O935" s="29" t="n"/>
      <c r="P935" s="29" t="n"/>
      <c r="Q935" s="29" t="n"/>
      <c r="R935" s="29" t="n"/>
      <c r="S935" s="29" t="n"/>
      <c r="T935" s="29" t="n"/>
      <c r="U935" s="29" t="n"/>
      <c r="V935" s="30">
        <f>IF(OR($A935="",$U935=""),"",IF($S935&lt;&gt;"",MAX(0,$S935-$U935),MAX(0,TODAY()-$U935)))</f>
        <v/>
      </c>
      <c r="W935" s="30">
        <f>IF($A935="","",IF(OR($N935="Live",$N935="Retired"),"",TODAY()-MAX($O935,$P935,$Q935,$R935)))</f>
        <v/>
      </c>
      <c r="X935" s="23" t="n"/>
      <c r="Y935" s="30">
        <f>IF($A935="","",COUNTIFS('Issues Log'!$C$5:$C$504,$A935,'Issues Log'!$K$5:$K$504,"Open")+COUNTIFS('Issues Log'!$C$5:$C$504,$A935,'Issues Log'!$K$5:$K$504,"In progress"))</f>
        <v/>
      </c>
      <c r="Z935" s="27" t="n"/>
    </row>
    <row r="936">
      <c r="A936" s="27" t="n"/>
      <c r="B936" s="27" t="n"/>
      <c r="C936" s="27" t="n"/>
      <c r="D936" s="28">
        <f>IF($C936="","",IFERROR(INDEX('Topic Plan'!$C$5:$C$115,MATCH($C936,'Topic Plan'!$B$5:$B$115,0)),"UNKNOWN TOPIC ID"))</f>
        <v/>
      </c>
      <c r="E936" s="28">
        <f>IF($C936="","",IFERROR(INDEX('Topic Plan'!$D$5:$D$115,MATCH($C936,'Topic Plan'!$B$5:$B$115,0)),""))</f>
        <v/>
      </c>
      <c r="F936" s="28">
        <f>IF($C936="","",IFERROR(INDEX('Topic Plan'!$E$5:$E$115,MATCH($C936,'Topic Plan'!$B$5:$B$115,0)),""))</f>
        <v/>
      </c>
      <c r="G936" s="23" t="n"/>
      <c r="H936" s="27" t="n"/>
      <c r="I936" s="27" t="n"/>
      <c r="J936" s="27" t="n"/>
      <c r="K936" s="27" t="n"/>
      <c r="L936" s="27" t="n"/>
      <c r="M936" s="27" t="n"/>
      <c r="N936" s="23" t="n"/>
      <c r="O936" s="29" t="n"/>
      <c r="P936" s="29" t="n"/>
      <c r="Q936" s="29" t="n"/>
      <c r="R936" s="29" t="n"/>
      <c r="S936" s="29" t="n"/>
      <c r="T936" s="29" t="n"/>
      <c r="U936" s="29" t="n"/>
      <c r="V936" s="30">
        <f>IF(OR($A936="",$U936=""),"",IF($S936&lt;&gt;"",MAX(0,$S936-$U936),MAX(0,TODAY()-$U936)))</f>
        <v/>
      </c>
      <c r="W936" s="30">
        <f>IF($A936="","",IF(OR($N936="Live",$N936="Retired"),"",TODAY()-MAX($O936,$P936,$Q936,$R936)))</f>
        <v/>
      </c>
      <c r="X936" s="23" t="n"/>
      <c r="Y936" s="30">
        <f>IF($A936="","",COUNTIFS('Issues Log'!$C$5:$C$504,$A936,'Issues Log'!$K$5:$K$504,"Open")+COUNTIFS('Issues Log'!$C$5:$C$504,$A936,'Issues Log'!$K$5:$K$504,"In progress"))</f>
        <v/>
      </c>
      <c r="Z936" s="27" t="n"/>
    </row>
    <row r="937">
      <c r="A937" s="27" t="n"/>
      <c r="B937" s="27" t="n"/>
      <c r="C937" s="27" t="n"/>
      <c r="D937" s="28">
        <f>IF($C937="","",IFERROR(INDEX('Topic Plan'!$C$5:$C$115,MATCH($C937,'Topic Plan'!$B$5:$B$115,0)),"UNKNOWN TOPIC ID"))</f>
        <v/>
      </c>
      <c r="E937" s="28">
        <f>IF($C937="","",IFERROR(INDEX('Topic Plan'!$D$5:$D$115,MATCH($C937,'Topic Plan'!$B$5:$B$115,0)),""))</f>
        <v/>
      </c>
      <c r="F937" s="28">
        <f>IF($C937="","",IFERROR(INDEX('Topic Plan'!$E$5:$E$115,MATCH($C937,'Topic Plan'!$B$5:$B$115,0)),""))</f>
        <v/>
      </c>
      <c r="G937" s="23" t="n"/>
      <c r="H937" s="27" t="n"/>
      <c r="I937" s="27" t="n"/>
      <c r="J937" s="27" t="n"/>
      <c r="K937" s="27" t="n"/>
      <c r="L937" s="27" t="n"/>
      <c r="M937" s="27" t="n"/>
      <c r="N937" s="23" t="n"/>
      <c r="O937" s="29" t="n"/>
      <c r="P937" s="29" t="n"/>
      <c r="Q937" s="29" t="n"/>
      <c r="R937" s="29" t="n"/>
      <c r="S937" s="29" t="n"/>
      <c r="T937" s="29" t="n"/>
      <c r="U937" s="29" t="n"/>
      <c r="V937" s="30">
        <f>IF(OR($A937="",$U937=""),"",IF($S937&lt;&gt;"",MAX(0,$S937-$U937),MAX(0,TODAY()-$U937)))</f>
        <v/>
      </c>
      <c r="W937" s="30">
        <f>IF($A937="","",IF(OR($N937="Live",$N937="Retired"),"",TODAY()-MAX($O937,$P937,$Q937,$R937)))</f>
        <v/>
      </c>
      <c r="X937" s="23" t="n"/>
      <c r="Y937" s="30">
        <f>IF($A937="","",COUNTIFS('Issues Log'!$C$5:$C$504,$A937,'Issues Log'!$K$5:$K$504,"Open")+COUNTIFS('Issues Log'!$C$5:$C$504,$A937,'Issues Log'!$K$5:$K$504,"In progress"))</f>
        <v/>
      </c>
      <c r="Z937" s="27" t="n"/>
    </row>
    <row r="938">
      <c r="A938" s="27" t="n"/>
      <c r="B938" s="27" t="n"/>
      <c r="C938" s="27" t="n"/>
      <c r="D938" s="28">
        <f>IF($C938="","",IFERROR(INDEX('Topic Plan'!$C$5:$C$115,MATCH($C938,'Topic Plan'!$B$5:$B$115,0)),"UNKNOWN TOPIC ID"))</f>
        <v/>
      </c>
      <c r="E938" s="28">
        <f>IF($C938="","",IFERROR(INDEX('Topic Plan'!$D$5:$D$115,MATCH($C938,'Topic Plan'!$B$5:$B$115,0)),""))</f>
        <v/>
      </c>
      <c r="F938" s="28">
        <f>IF($C938="","",IFERROR(INDEX('Topic Plan'!$E$5:$E$115,MATCH($C938,'Topic Plan'!$B$5:$B$115,0)),""))</f>
        <v/>
      </c>
      <c r="G938" s="23" t="n"/>
      <c r="H938" s="27" t="n"/>
      <c r="I938" s="27" t="n"/>
      <c r="J938" s="27" t="n"/>
      <c r="K938" s="27" t="n"/>
      <c r="L938" s="27" t="n"/>
      <c r="M938" s="27" t="n"/>
      <c r="N938" s="23" t="n"/>
      <c r="O938" s="29" t="n"/>
      <c r="P938" s="29" t="n"/>
      <c r="Q938" s="29" t="n"/>
      <c r="R938" s="29" t="n"/>
      <c r="S938" s="29" t="n"/>
      <c r="T938" s="29" t="n"/>
      <c r="U938" s="29" t="n"/>
      <c r="V938" s="30">
        <f>IF(OR($A938="",$U938=""),"",IF($S938&lt;&gt;"",MAX(0,$S938-$U938),MAX(0,TODAY()-$U938)))</f>
        <v/>
      </c>
      <c r="W938" s="30">
        <f>IF($A938="","",IF(OR($N938="Live",$N938="Retired"),"",TODAY()-MAX($O938,$P938,$Q938,$R938)))</f>
        <v/>
      </c>
      <c r="X938" s="23" t="n"/>
      <c r="Y938" s="30">
        <f>IF($A938="","",COUNTIFS('Issues Log'!$C$5:$C$504,$A938,'Issues Log'!$K$5:$K$504,"Open")+COUNTIFS('Issues Log'!$C$5:$C$504,$A938,'Issues Log'!$K$5:$K$504,"In progress"))</f>
        <v/>
      </c>
      <c r="Z938" s="27" t="n"/>
    </row>
    <row r="939">
      <c r="A939" s="27" t="n"/>
      <c r="B939" s="27" t="n"/>
      <c r="C939" s="27" t="n"/>
      <c r="D939" s="28">
        <f>IF($C939="","",IFERROR(INDEX('Topic Plan'!$C$5:$C$115,MATCH($C939,'Topic Plan'!$B$5:$B$115,0)),"UNKNOWN TOPIC ID"))</f>
        <v/>
      </c>
      <c r="E939" s="28">
        <f>IF($C939="","",IFERROR(INDEX('Topic Plan'!$D$5:$D$115,MATCH($C939,'Topic Plan'!$B$5:$B$115,0)),""))</f>
        <v/>
      </c>
      <c r="F939" s="28">
        <f>IF($C939="","",IFERROR(INDEX('Topic Plan'!$E$5:$E$115,MATCH($C939,'Topic Plan'!$B$5:$B$115,0)),""))</f>
        <v/>
      </c>
      <c r="G939" s="23" t="n"/>
      <c r="H939" s="27" t="n"/>
      <c r="I939" s="27" t="n"/>
      <c r="J939" s="27" t="n"/>
      <c r="K939" s="27" t="n"/>
      <c r="L939" s="27" t="n"/>
      <c r="M939" s="27" t="n"/>
      <c r="N939" s="23" t="n"/>
      <c r="O939" s="29" t="n"/>
      <c r="P939" s="29" t="n"/>
      <c r="Q939" s="29" t="n"/>
      <c r="R939" s="29" t="n"/>
      <c r="S939" s="29" t="n"/>
      <c r="T939" s="29" t="n"/>
      <c r="U939" s="29" t="n"/>
      <c r="V939" s="30">
        <f>IF(OR($A939="",$U939=""),"",IF($S939&lt;&gt;"",MAX(0,$S939-$U939),MAX(0,TODAY()-$U939)))</f>
        <v/>
      </c>
      <c r="W939" s="30">
        <f>IF($A939="","",IF(OR($N939="Live",$N939="Retired"),"",TODAY()-MAX($O939,$P939,$Q939,$R939)))</f>
        <v/>
      </c>
      <c r="X939" s="23" t="n"/>
      <c r="Y939" s="30">
        <f>IF($A939="","",COUNTIFS('Issues Log'!$C$5:$C$504,$A939,'Issues Log'!$K$5:$K$504,"Open")+COUNTIFS('Issues Log'!$C$5:$C$504,$A939,'Issues Log'!$K$5:$K$504,"In progress"))</f>
        <v/>
      </c>
      <c r="Z939" s="27" t="n"/>
    </row>
    <row r="940">
      <c r="A940" s="27" t="n"/>
      <c r="B940" s="27" t="n"/>
      <c r="C940" s="27" t="n"/>
      <c r="D940" s="28">
        <f>IF($C940="","",IFERROR(INDEX('Topic Plan'!$C$5:$C$115,MATCH($C940,'Topic Plan'!$B$5:$B$115,0)),"UNKNOWN TOPIC ID"))</f>
        <v/>
      </c>
      <c r="E940" s="28">
        <f>IF($C940="","",IFERROR(INDEX('Topic Plan'!$D$5:$D$115,MATCH($C940,'Topic Plan'!$B$5:$B$115,0)),""))</f>
        <v/>
      </c>
      <c r="F940" s="28">
        <f>IF($C940="","",IFERROR(INDEX('Topic Plan'!$E$5:$E$115,MATCH($C940,'Topic Plan'!$B$5:$B$115,0)),""))</f>
        <v/>
      </c>
      <c r="G940" s="23" t="n"/>
      <c r="H940" s="27" t="n"/>
      <c r="I940" s="27" t="n"/>
      <c r="J940" s="27" t="n"/>
      <c r="K940" s="27" t="n"/>
      <c r="L940" s="27" t="n"/>
      <c r="M940" s="27" t="n"/>
      <c r="N940" s="23" t="n"/>
      <c r="O940" s="29" t="n"/>
      <c r="P940" s="29" t="n"/>
      <c r="Q940" s="29" t="n"/>
      <c r="R940" s="29" t="n"/>
      <c r="S940" s="29" t="n"/>
      <c r="T940" s="29" t="n"/>
      <c r="U940" s="29" t="n"/>
      <c r="V940" s="30">
        <f>IF(OR($A940="",$U940=""),"",IF($S940&lt;&gt;"",MAX(0,$S940-$U940),MAX(0,TODAY()-$U940)))</f>
        <v/>
      </c>
      <c r="W940" s="30">
        <f>IF($A940="","",IF(OR($N940="Live",$N940="Retired"),"",TODAY()-MAX($O940,$P940,$Q940,$R940)))</f>
        <v/>
      </c>
      <c r="X940" s="23" t="n"/>
      <c r="Y940" s="30">
        <f>IF($A940="","",COUNTIFS('Issues Log'!$C$5:$C$504,$A940,'Issues Log'!$K$5:$K$504,"Open")+COUNTIFS('Issues Log'!$C$5:$C$504,$A940,'Issues Log'!$K$5:$K$504,"In progress"))</f>
        <v/>
      </c>
      <c r="Z940" s="27" t="n"/>
    </row>
    <row r="941">
      <c r="A941" s="27" t="n"/>
      <c r="B941" s="27" t="n"/>
      <c r="C941" s="27" t="n"/>
      <c r="D941" s="28">
        <f>IF($C941="","",IFERROR(INDEX('Topic Plan'!$C$5:$C$115,MATCH($C941,'Topic Plan'!$B$5:$B$115,0)),"UNKNOWN TOPIC ID"))</f>
        <v/>
      </c>
      <c r="E941" s="28">
        <f>IF($C941="","",IFERROR(INDEX('Topic Plan'!$D$5:$D$115,MATCH($C941,'Topic Plan'!$B$5:$B$115,0)),""))</f>
        <v/>
      </c>
      <c r="F941" s="28">
        <f>IF($C941="","",IFERROR(INDEX('Topic Plan'!$E$5:$E$115,MATCH($C941,'Topic Plan'!$B$5:$B$115,0)),""))</f>
        <v/>
      </c>
      <c r="G941" s="23" t="n"/>
      <c r="H941" s="27" t="n"/>
      <c r="I941" s="27" t="n"/>
      <c r="J941" s="27" t="n"/>
      <c r="K941" s="27" t="n"/>
      <c r="L941" s="27" t="n"/>
      <c r="M941" s="27" t="n"/>
      <c r="N941" s="23" t="n"/>
      <c r="O941" s="29" t="n"/>
      <c r="P941" s="29" t="n"/>
      <c r="Q941" s="29" t="n"/>
      <c r="R941" s="29" t="n"/>
      <c r="S941" s="29" t="n"/>
      <c r="T941" s="29" t="n"/>
      <c r="U941" s="29" t="n"/>
      <c r="V941" s="30">
        <f>IF(OR($A941="",$U941=""),"",IF($S941&lt;&gt;"",MAX(0,$S941-$U941),MAX(0,TODAY()-$U941)))</f>
        <v/>
      </c>
      <c r="W941" s="30">
        <f>IF($A941="","",IF(OR($N941="Live",$N941="Retired"),"",TODAY()-MAX($O941,$P941,$Q941,$R941)))</f>
        <v/>
      </c>
      <c r="X941" s="23" t="n"/>
      <c r="Y941" s="30">
        <f>IF($A941="","",COUNTIFS('Issues Log'!$C$5:$C$504,$A941,'Issues Log'!$K$5:$K$504,"Open")+COUNTIFS('Issues Log'!$C$5:$C$504,$A941,'Issues Log'!$K$5:$K$504,"In progress"))</f>
        <v/>
      </c>
      <c r="Z941" s="27" t="n"/>
    </row>
    <row r="942">
      <c r="A942" s="27" t="n"/>
      <c r="B942" s="27" t="n"/>
      <c r="C942" s="27" t="n"/>
      <c r="D942" s="28">
        <f>IF($C942="","",IFERROR(INDEX('Topic Plan'!$C$5:$C$115,MATCH($C942,'Topic Plan'!$B$5:$B$115,0)),"UNKNOWN TOPIC ID"))</f>
        <v/>
      </c>
      <c r="E942" s="28">
        <f>IF($C942="","",IFERROR(INDEX('Topic Plan'!$D$5:$D$115,MATCH($C942,'Topic Plan'!$B$5:$B$115,0)),""))</f>
        <v/>
      </c>
      <c r="F942" s="28">
        <f>IF($C942="","",IFERROR(INDEX('Topic Plan'!$E$5:$E$115,MATCH($C942,'Topic Plan'!$B$5:$B$115,0)),""))</f>
        <v/>
      </c>
      <c r="G942" s="23" t="n"/>
      <c r="H942" s="27" t="n"/>
      <c r="I942" s="27" t="n"/>
      <c r="J942" s="27" t="n"/>
      <c r="K942" s="27" t="n"/>
      <c r="L942" s="27" t="n"/>
      <c r="M942" s="27" t="n"/>
      <c r="N942" s="23" t="n"/>
      <c r="O942" s="29" t="n"/>
      <c r="P942" s="29" t="n"/>
      <c r="Q942" s="29" t="n"/>
      <c r="R942" s="29" t="n"/>
      <c r="S942" s="29" t="n"/>
      <c r="T942" s="29" t="n"/>
      <c r="U942" s="29" t="n"/>
      <c r="V942" s="30">
        <f>IF(OR($A942="",$U942=""),"",IF($S942&lt;&gt;"",MAX(0,$S942-$U942),MAX(0,TODAY()-$U942)))</f>
        <v/>
      </c>
      <c r="W942" s="30">
        <f>IF($A942="","",IF(OR($N942="Live",$N942="Retired"),"",TODAY()-MAX($O942,$P942,$Q942,$R942)))</f>
        <v/>
      </c>
      <c r="X942" s="23" t="n"/>
      <c r="Y942" s="30">
        <f>IF($A942="","",COUNTIFS('Issues Log'!$C$5:$C$504,$A942,'Issues Log'!$K$5:$K$504,"Open")+COUNTIFS('Issues Log'!$C$5:$C$504,$A942,'Issues Log'!$K$5:$K$504,"In progress"))</f>
        <v/>
      </c>
      <c r="Z942" s="27" t="n"/>
    </row>
    <row r="943">
      <c r="A943" s="27" t="n"/>
      <c r="B943" s="27" t="n"/>
      <c r="C943" s="27" t="n"/>
      <c r="D943" s="28">
        <f>IF($C943="","",IFERROR(INDEX('Topic Plan'!$C$5:$C$115,MATCH($C943,'Topic Plan'!$B$5:$B$115,0)),"UNKNOWN TOPIC ID"))</f>
        <v/>
      </c>
      <c r="E943" s="28">
        <f>IF($C943="","",IFERROR(INDEX('Topic Plan'!$D$5:$D$115,MATCH($C943,'Topic Plan'!$B$5:$B$115,0)),""))</f>
        <v/>
      </c>
      <c r="F943" s="28">
        <f>IF($C943="","",IFERROR(INDEX('Topic Plan'!$E$5:$E$115,MATCH($C943,'Topic Plan'!$B$5:$B$115,0)),""))</f>
        <v/>
      </c>
      <c r="G943" s="23" t="n"/>
      <c r="H943" s="27" t="n"/>
      <c r="I943" s="27" t="n"/>
      <c r="J943" s="27" t="n"/>
      <c r="K943" s="27" t="n"/>
      <c r="L943" s="27" t="n"/>
      <c r="M943" s="27" t="n"/>
      <c r="N943" s="23" t="n"/>
      <c r="O943" s="29" t="n"/>
      <c r="P943" s="29" t="n"/>
      <c r="Q943" s="29" t="n"/>
      <c r="R943" s="29" t="n"/>
      <c r="S943" s="29" t="n"/>
      <c r="T943" s="29" t="n"/>
      <c r="U943" s="29" t="n"/>
      <c r="V943" s="30">
        <f>IF(OR($A943="",$U943=""),"",IF($S943&lt;&gt;"",MAX(0,$S943-$U943),MAX(0,TODAY()-$U943)))</f>
        <v/>
      </c>
      <c r="W943" s="30">
        <f>IF($A943="","",IF(OR($N943="Live",$N943="Retired"),"",TODAY()-MAX($O943,$P943,$Q943,$R943)))</f>
        <v/>
      </c>
      <c r="X943" s="23" t="n"/>
      <c r="Y943" s="30">
        <f>IF($A943="","",COUNTIFS('Issues Log'!$C$5:$C$504,$A943,'Issues Log'!$K$5:$K$504,"Open")+COUNTIFS('Issues Log'!$C$5:$C$504,$A943,'Issues Log'!$K$5:$K$504,"In progress"))</f>
        <v/>
      </c>
      <c r="Z943" s="27" t="n"/>
    </row>
    <row r="944">
      <c r="A944" s="27" t="n"/>
      <c r="B944" s="27" t="n"/>
      <c r="C944" s="27" t="n"/>
      <c r="D944" s="28">
        <f>IF($C944="","",IFERROR(INDEX('Topic Plan'!$C$5:$C$115,MATCH($C944,'Topic Plan'!$B$5:$B$115,0)),"UNKNOWN TOPIC ID"))</f>
        <v/>
      </c>
      <c r="E944" s="28">
        <f>IF($C944="","",IFERROR(INDEX('Topic Plan'!$D$5:$D$115,MATCH($C944,'Topic Plan'!$B$5:$B$115,0)),""))</f>
        <v/>
      </c>
      <c r="F944" s="28">
        <f>IF($C944="","",IFERROR(INDEX('Topic Plan'!$E$5:$E$115,MATCH($C944,'Topic Plan'!$B$5:$B$115,0)),""))</f>
        <v/>
      </c>
      <c r="G944" s="23" t="n"/>
      <c r="H944" s="27" t="n"/>
      <c r="I944" s="27" t="n"/>
      <c r="J944" s="27" t="n"/>
      <c r="K944" s="27" t="n"/>
      <c r="L944" s="27" t="n"/>
      <c r="M944" s="27" t="n"/>
      <c r="N944" s="23" t="n"/>
      <c r="O944" s="29" t="n"/>
      <c r="P944" s="29" t="n"/>
      <c r="Q944" s="29" t="n"/>
      <c r="R944" s="29" t="n"/>
      <c r="S944" s="29" t="n"/>
      <c r="T944" s="29" t="n"/>
      <c r="U944" s="29" t="n"/>
      <c r="V944" s="30">
        <f>IF(OR($A944="",$U944=""),"",IF($S944&lt;&gt;"",MAX(0,$S944-$U944),MAX(0,TODAY()-$U944)))</f>
        <v/>
      </c>
      <c r="W944" s="30">
        <f>IF($A944="","",IF(OR($N944="Live",$N944="Retired"),"",TODAY()-MAX($O944,$P944,$Q944,$R944)))</f>
        <v/>
      </c>
      <c r="X944" s="23" t="n"/>
      <c r="Y944" s="30">
        <f>IF($A944="","",COUNTIFS('Issues Log'!$C$5:$C$504,$A944,'Issues Log'!$K$5:$K$504,"Open")+COUNTIFS('Issues Log'!$C$5:$C$504,$A944,'Issues Log'!$K$5:$K$504,"In progress"))</f>
        <v/>
      </c>
      <c r="Z944" s="27" t="n"/>
    </row>
    <row r="945">
      <c r="A945" s="27" t="n"/>
      <c r="B945" s="27" t="n"/>
      <c r="C945" s="27" t="n"/>
      <c r="D945" s="28">
        <f>IF($C945="","",IFERROR(INDEX('Topic Plan'!$C$5:$C$115,MATCH($C945,'Topic Plan'!$B$5:$B$115,0)),"UNKNOWN TOPIC ID"))</f>
        <v/>
      </c>
      <c r="E945" s="28">
        <f>IF($C945="","",IFERROR(INDEX('Topic Plan'!$D$5:$D$115,MATCH($C945,'Topic Plan'!$B$5:$B$115,0)),""))</f>
        <v/>
      </c>
      <c r="F945" s="28">
        <f>IF($C945="","",IFERROR(INDEX('Topic Plan'!$E$5:$E$115,MATCH($C945,'Topic Plan'!$B$5:$B$115,0)),""))</f>
        <v/>
      </c>
      <c r="G945" s="23" t="n"/>
      <c r="H945" s="27" t="n"/>
      <c r="I945" s="27" t="n"/>
      <c r="J945" s="27" t="n"/>
      <c r="K945" s="27" t="n"/>
      <c r="L945" s="27" t="n"/>
      <c r="M945" s="27" t="n"/>
      <c r="N945" s="23" t="n"/>
      <c r="O945" s="29" t="n"/>
      <c r="P945" s="29" t="n"/>
      <c r="Q945" s="29" t="n"/>
      <c r="R945" s="29" t="n"/>
      <c r="S945" s="29" t="n"/>
      <c r="T945" s="29" t="n"/>
      <c r="U945" s="29" t="n"/>
      <c r="V945" s="30">
        <f>IF(OR($A945="",$U945=""),"",IF($S945&lt;&gt;"",MAX(0,$S945-$U945),MAX(0,TODAY()-$U945)))</f>
        <v/>
      </c>
      <c r="W945" s="30">
        <f>IF($A945="","",IF(OR($N945="Live",$N945="Retired"),"",TODAY()-MAX($O945,$P945,$Q945,$R945)))</f>
        <v/>
      </c>
      <c r="X945" s="23" t="n"/>
      <c r="Y945" s="30">
        <f>IF($A945="","",COUNTIFS('Issues Log'!$C$5:$C$504,$A945,'Issues Log'!$K$5:$K$504,"Open")+COUNTIFS('Issues Log'!$C$5:$C$504,$A945,'Issues Log'!$K$5:$K$504,"In progress"))</f>
        <v/>
      </c>
      <c r="Z945" s="27" t="n"/>
    </row>
    <row r="946">
      <c r="A946" s="27" t="n"/>
      <c r="B946" s="27" t="n"/>
      <c r="C946" s="27" t="n"/>
      <c r="D946" s="28">
        <f>IF($C946="","",IFERROR(INDEX('Topic Plan'!$C$5:$C$115,MATCH($C946,'Topic Plan'!$B$5:$B$115,0)),"UNKNOWN TOPIC ID"))</f>
        <v/>
      </c>
      <c r="E946" s="28">
        <f>IF($C946="","",IFERROR(INDEX('Topic Plan'!$D$5:$D$115,MATCH($C946,'Topic Plan'!$B$5:$B$115,0)),""))</f>
        <v/>
      </c>
      <c r="F946" s="28">
        <f>IF($C946="","",IFERROR(INDEX('Topic Plan'!$E$5:$E$115,MATCH($C946,'Topic Plan'!$B$5:$B$115,0)),""))</f>
        <v/>
      </c>
      <c r="G946" s="23" t="n"/>
      <c r="H946" s="27" t="n"/>
      <c r="I946" s="27" t="n"/>
      <c r="J946" s="27" t="n"/>
      <c r="K946" s="27" t="n"/>
      <c r="L946" s="27" t="n"/>
      <c r="M946" s="27" t="n"/>
      <c r="N946" s="23" t="n"/>
      <c r="O946" s="29" t="n"/>
      <c r="P946" s="29" t="n"/>
      <c r="Q946" s="29" t="n"/>
      <c r="R946" s="29" t="n"/>
      <c r="S946" s="29" t="n"/>
      <c r="T946" s="29" t="n"/>
      <c r="U946" s="29" t="n"/>
      <c r="V946" s="30">
        <f>IF(OR($A946="",$U946=""),"",IF($S946&lt;&gt;"",MAX(0,$S946-$U946),MAX(0,TODAY()-$U946)))</f>
        <v/>
      </c>
      <c r="W946" s="30">
        <f>IF($A946="","",IF(OR($N946="Live",$N946="Retired"),"",TODAY()-MAX($O946,$P946,$Q946,$R946)))</f>
        <v/>
      </c>
      <c r="X946" s="23" t="n"/>
      <c r="Y946" s="30">
        <f>IF($A946="","",COUNTIFS('Issues Log'!$C$5:$C$504,$A946,'Issues Log'!$K$5:$K$504,"Open")+COUNTIFS('Issues Log'!$C$5:$C$504,$A946,'Issues Log'!$K$5:$K$504,"In progress"))</f>
        <v/>
      </c>
      <c r="Z946" s="27" t="n"/>
    </row>
    <row r="947">
      <c r="A947" s="27" t="n"/>
      <c r="B947" s="27" t="n"/>
      <c r="C947" s="27" t="n"/>
      <c r="D947" s="28">
        <f>IF($C947="","",IFERROR(INDEX('Topic Plan'!$C$5:$C$115,MATCH($C947,'Topic Plan'!$B$5:$B$115,0)),"UNKNOWN TOPIC ID"))</f>
        <v/>
      </c>
      <c r="E947" s="28">
        <f>IF($C947="","",IFERROR(INDEX('Topic Plan'!$D$5:$D$115,MATCH($C947,'Topic Plan'!$B$5:$B$115,0)),""))</f>
        <v/>
      </c>
      <c r="F947" s="28">
        <f>IF($C947="","",IFERROR(INDEX('Topic Plan'!$E$5:$E$115,MATCH($C947,'Topic Plan'!$B$5:$B$115,0)),""))</f>
        <v/>
      </c>
      <c r="G947" s="23" t="n"/>
      <c r="H947" s="27" t="n"/>
      <c r="I947" s="27" t="n"/>
      <c r="J947" s="27" t="n"/>
      <c r="K947" s="27" t="n"/>
      <c r="L947" s="27" t="n"/>
      <c r="M947" s="27" t="n"/>
      <c r="N947" s="23" t="n"/>
      <c r="O947" s="29" t="n"/>
      <c r="P947" s="29" t="n"/>
      <c r="Q947" s="29" t="n"/>
      <c r="R947" s="29" t="n"/>
      <c r="S947" s="29" t="n"/>
      <c r="T947" s="29" t="n"/>
      <c r="U947" s="29" t="n"/>
      <c r="V947" s="30">
        <f>IF(OR($A947="",$U947=""),"",IF($S947&lt;&gt;"",MAX(0,$S947-$U947),MAX(0,TODAY()-$U947)))</f>
        <v/>
      </c>
      <c r="W947" s="30">
        <f>IF($A947="","",IF(OR($N947="Live",$N947="Retired"),"",TODAY()-MAX($O947,$P947,$Q947,$R947)))</f>
        <v/>
      </c>
      <c r="X947" s="23" t="n"/>
      <c r="Y947" s="30">
        <f>IF($A947="","",COUNTIFS('Issues Log'!$C$5:$C$504,$A947,'Issues Log'!$K$5:$K$504,"Open")+COUNTIFS('Issues Log'!$C$5:$C$504,$A947,'Issues Log'!$K$5:$K$504,"In progress"))</f>
        <v/>
      </c>
      <c r="Z947" s="27" t="n"/>
    </row>
    <row r="948">
      <c r="A948" s="27" t="n"/>
      <c r="B948" s="27" t="n"/>
      <c r="C948" s="27" t="n"/>
      <c r="D948" s="28">
        <f>IF($C948="","",IFERROR(INDEX('Topic Plan'!$C$5:$C$115,MATCH($C948,'Topic Plan'!$B$5:$B$115,0)),"UNKNOWN TOPIC ID"))</f>
        <v/>
      </c>
      <c r="E948" s="28">
        <f>IF($C948="","",IFERROR(INDEX('Topic Plan'!$D$5:$D$115,MATCH($C948,'Topic Plan'!$B$5:$B$115,0)),""))</f>
        <v/>
      </c>
      <c r="F948" s="28">
        <f>IF($C948="","",IFERROR(INDEX('Topic Plan'!$E$5:$E$115,MATCH($C948,'Topic Plan'!$B$5:$B$115,0)),""))</f>
        <v/>
      </c>
      <c r="G948" s="23" t="n"/>
      <c r="H948" s="27" t="n"/>
      <c r="I948" s="27" t="n"/>
      <c r="J948" s="27" t="n"/>
      <c r="K948" s="27" t="n"/>
      <c r="L948" s="27" t="n"/>
      <c r="M948" s="27" t="n"/>
      <c r="N948" s="23" t="n"/>
      <c r="O948" s="29" t="n"/>
      <c r="P948" s="29" t="n"/>
      <c r="Q948" s="29" t="n"/>
      <c r="R948" s="29" t="n"/>
      <c r="S948" s="29" t="n"/>
      <c r="T948" s="29" t="n"/>
      <c r="U948" s="29" t="n"/>
      <c r="V948" s="30">
        <f>IF(OR($A948="",$U948=""),"",IF($S948&lt;&gt;"",MAX(0,$S948-$U948),MAX(0,TODAY()-$U948)))</f>
        <v/>
      </c>
      <c r="W948" s="30">
        <f>IF($A948="","",IF(OR($N948="Live",$N948="Retired"),"",TODAY()-MAX($O948,$P948,$Q948,$R948)))</f>
        <v/>
      </c>
      <c r="X948" s="23" t="n"/>
      <c r="Y948" s="30">
        <f>IF($A948="","",COUNTIFS('Issues Log'!$C$5:$C$504,$A948,'Issues Log'!$K$5:$K$504,"Open")+COUNTIFS('Issues Log'!$C$5:$C$504,$A948,'Issues Log'!$K$5:$K$504,"In progress"))</f>
        <v/>
      </c>
      <c r="Z948" s="27" t="n"/>
    </row>
    <row r="949">
      <c r="A949" s="27" t="n"/>
      <c r="B949" s="27" t="n"/>
      <c r="C949" s="27" t="n"/>
      <c r="D949" s="28">
        <f>IF($C949="","",IFERROR(INDEX('Topic Plan'!$C$5:$C$115,MATCH($C949,'Topic Plan'!$B$5:$B$115,0)),"UNKNOWN TOPIC ID"))</f>
        <v/>
      </c>
      <c r="E949" s="28">
        <f>IF($C949="","",IFERROR(INDEX('Topic Plan'!$D$5:$D$115,MATCH($C949,'Topic Plan'!$B$5:$B$115,0)),""))</f>
        <v/>
      </c>
      <c r="F949" s="28">
        <f>IF($C949="","",IFERROR(INDEX('Topic Plan'!$E$5:$E$115,MATCH($C949,'Topic Plan'!$B$5:$B$115,0)),""))</f>
        <v/>
      </c>
      <c r="G949" s="23" t="n"/>
      <c r="H949" s="27" t="n"/>
      <c r="I949" s="27" t="n"/>
      <c r="J949" s="27" t="n"/>
      <c r="K949" s="27" t="n"/>
      <c r="L949" s="27" t="n"/>
      <c r="M949" s="27" t="n"/>
      <c r="N949" s="23" t="n"/>
      <c r="O949" s="29" t="n"/>
      <c r="P949" s="29" t="n"/>
      <c r="Q949" s="29" t="n"/>
      <c r="R949" s="29" t="n"/>
      <c r="S949" s="29" t="n"/>
      <c r="T949" s="29" t="n"/>
      <c r="U949" s="29" t="n"/>
      <c r="V949" s="30">
        <f>IF(OR($A949="",$U949=""),"",IF($S949&lt;&gt;"",MAX(0,$S949-$U949),MAX(0,TODAY()-$U949)))</f>
        <v/>
      </c>
      <c r="W949" s="30">
        <f>IF($A949="","",IF(OR($N949="Live",$N949="Retired"),"",TODAY()-MAX($O949,$P949,$Q949,$R949)))</f>
        <v/>
      </c>
      <c r="X949" s="23" t="n"/>
      <c r="Y949" s="30">
        <f>IF($A949="","",COUNTIFS('Issues Log'!$C$5:$C$504,$A949,'Issues Log'!$K$5:$K$504,"Open")+COUNTIFS('Issues Log'!$C$5:$C$504,$A949,'Issues Log'!$K$5:$K$504,"In progress"))</f>
        <v/>
      </c>
      <c r="Z949" s="27" t="n"/>
    </row>
    <row r="950">
      <c r="A950" s="27" t="n"/>
      <c r="B950" s="27" t="n"/>
      <c r="C950" s="27" t="n"/>
      <c r="D950" s="28">
        <f>IF($C950="","",IFERROR(INDEX('Topic Plan'!$C$5:$C$115,MATCH($C950,'Topic Plan'!$B$5:$B$115,0)),"UNKNOWN TOPIC ID"))</f>
        <v/>
      </c>
      <c r="E950" s="28">
        <f>IF($C950="","",IFERROR(INDEX('Topic Plan'!$D$5:$D$115,MATCH($C950,'Topic Plan'!$B$5:$B$115,0)),""))</f>
        <v/>
      </c>
      <c r="F950" s="28">
        <f>IF($C950="","",IFERROR(INDEX('Topic Plan'!$E$5:$E$115,MATCH($C950,'Topic Plan'!$B$5:$B$115,0)),""))</f>
        <v/>
      </c>
      <c r="G950" s="23" t="n"/>
      <c r="H950" s="27" t="n"/>
      <c r="I950" s="27" t="n"/>
      <c r="J950" s="27" t="n"/>
      <c r="K950" s="27" t="n"/>
      <c r="L950" s="27" t="n"/>
      <c r="M950" s="27" t="n"/>
      <c r="N950" s="23" t="n"/>
      <c r="O950" s="29" t="n"/>
      <c r="P950" s="29" t="n"/>
      <c r="Q950" s="29" t="n"/>
      <c r="R950" s="29" t="n"/>
      <c r="S950" s="29" t="n"/>
      <c r="T950" s="29" t="n"/>
      <c r="U950" s="29" t="n"/>
      <c r="V950" s="30">
        <f>IF(OR($A950="",$U950=""),"",IF($S950&lt;&gt;"",MAX(0,$S950-$U950),MAX(0,TODAY()-$U950)))</f>
        <v/>
      </c>
      <c r="W950" s="30">
        <f>IF($A950="","",IF(OR($N950="Live",$N950="Retired"),"",TODAY()-MAX($O950,$P950,$Q950,$R950)))</f>
        <v/>
      </c>
      <c r="X950" s="23" t="n"/>
      <c r="Y950" s="30">
        <f>IF($A950="","",COUNTIFS('Issues Log'!$C$5:$C$504,$A950,'Issues Log'!$K$5:$K$504,"Open")+COUNTIFS('Issues Log'!$C$5:$C$504,$A950,'Issues Log'!$K$5:$K$504,"In progress"))</f>
        <v/>
      </c>
      <c r="Z950" s="27" t="n"/>
    </row>
    <row r="951">
      <c r="A951" s="27" t="n"/>
      <c r="B951" s="27" t="n"/>
      <c r="C951" s="27" t="n"/>
      <c r="D951" s="28">
        <f>IF($C951="","",IFERROR(INDEX('Topic Plan'!$C$5:$C$115,MATCH($C951,'Topic Plan'!$B$5:$B$115,0)),"UNKNOWN TOPIC ID"))</f>
        <v/>
      </c>
      <c r="E951" s="28">
        <f>IF($C951="","",IFERROR(INDEX('Topic Plan'!$D$5:$D$115,MATCH($C951,'Topic Plan'!$B$5:$B$115,0)),""))</f>
        <v/>
      </c>
      <c r="F951" s="28">
        <f>IF($C951="","",IFERROR(INDEX('Topic Plan'!$E$5:$E$115,MATCH($C951,'Topic Plan'!$B$5:$B$115,0)),""))</f>
        <v/>
      </c>
      <c r="G951" s="23" t="n"/>
      <c r="H951" s="27" t="n"/>
      <c r="I951" s="27" t="n"/>
      <c r="J951" s="27" t="n"/>
      <c r="K951" s="27" t="n"/>
      <c r="L951" s="27" t="n"/>
      <c r="M951" s="27" t="n"/>
      <c r="N951" s="23" t="n"/>
      <c r="O951" s="29" t="n"/>
      <c r="P951" s="29" t="n"/>
      <c r="Q951" s="29" t="n"/>
      <c r="R951" s="29" t="n"/>
      <c r="S951" s="29" t="n"/>
      <c r="T951" s="29" t="n"/>
      <c r="U951" s="29" t="n"/>
      <c r="V951" s="30">
        <f>IF(OR($A951="",$U951=""),"",IF($S951&lt;&gt;"",MAX(0,$S951-$U951),MAX(0,TODAY()-$U951)))</f>
        <v/>
      </c>
      <c r="W951" s="30">
        <f>IF($A951="","",IF(OR($N951="Live",$N951="Retired"),"",TODAY()-MAX($O951,$P951,$Q951,$R951)))</f>
        <v/>
      </c>
      <c r="X951" s="23" t="n"/>
      <c r="Y951" s="30">
        <f>IF($A951="","",COUNTIFS('Issues Log'!$C$5:$C$504,$A951,'Issues Log'!$K$5:$K$504,"Open")+COUNTIFS('Issues Log'!$C$5:$C$504,$A951,'Issues Log'!$K$5:$K$504,"In progress"))</f>
        <v/>
      </c>
      <c r="Z951" s="27" t="n"/>
    </row>
    <row r="952">
      <c r="A952" s="27" t="n"/>
      <c r="B952" s="27" t="n"/>
      <c r="C952" s="27" t="n"/>
      <c r="D952" s="28">
        <f>IF($C952="","",IFERROR(INDEX('Topic Plan'!$C$5:$C$115,MATCH($C952,'Topic Plan'!$B$5:$B$115,0)),"UNKNOWN TOPIC ID"))</f>
        <v/>
      </c>
      <c r="E952" s="28">
        <f>IF($C952="","",IFERROR(INDEX('Topic Plan'!$D$5:$D$115,MATCH($C952,'Topic Plan'!$B$5:$B$115,0)),""))</f>
        <v/>
      </c>
      <c r="F952" s="28">
        <f>IF($C952="","",IFERROR(INDEX('Topic Plan'!$E$5:$E$115,MATCH($C952,'Topic Plan'!$B$5:$B$115,0)),""))</f>
        <v/>
      </c>
      <c r="G952" s="23" t="n"/>
      <c r="H952" s="27" t="n"/>
      <c r="I952" s="27" t="n"/>
      <c r="J952" s="27" t="n"/>
      <c r="K952" s="27" t="n"/>
      <c r="L952" s="27" t="n"/>
      <c r="M952" s="27" t="n"/>
      <c r="N952" s="23" t="n"/>
      <c r="O952" s="29" t="n"/>
      <c r="P952" s="29" t="n"/>
      <c r="Q952" s="29" t="n"/>
      <c r="R952" s="29" t="n"/>
      <c r="S952" s="29" t="n"/>
      <c r="T952" s="29" t="n"/>
      <c r="U952" s="29" t="n"/>
      <c r="V952" s="30">
        <f>IF(OR($A952="",$U952=""),"",IF($S952&lt;&gt;"",MAX(0,$S952-$U952),MAX(0,TODAY()-$U952)))</f>
        <v/>
      </c>
      <c r="W952" s="30">
        <f>IF($A952="","",IF(OR($N952="Live",$N952="Retired"),"",TODAY()-MAX($O952,$P952,$Q952,$R952)))</f>
        <v/>
      </c>
      <c r="X952" s="23" t="n"/>
      <c r="Y952" s="30">
        <f>IF($A952="","",COUNTIFS('Issues Log'!$C$5:$C$504,$A952,'Issues Log'!$K$5:$K$504,"Open")+COUNTIFS('Issues Log'!$C$5:$C$504,$A952,'Issues Log'!$K$5:$K$504,"In progress"))</f>
        <v/>
      </c>
      <c r="Z952" s="27" t="n"/>
    </row>
    <row r="953">
      <c r="A953" s="27" t="n"/>
      <c r="B953" s="27" t="n"/>
      <c r="C953" s="27" t="n"/>
      <c r="D953" s="28">
        <f>IF($C953="","",IFERROR(INDEX('Topic Plan'!$C$5:$C$115,MATCH($C953,'Topic Plan'!$B$5:$B$115,0)),"UNKNOWN TOPIC ID"))</f>
        <v/>
      </c>
      <c r="E953" s="28">
        <f>IF($C953="","",IFERROR(INDEX('Topic Plan'!$D$5:$D$115,MATCH($C953,'Topic Plan'!$B$5:$B$115,0)),""))</f>
        <v/>
      </c>
      <c r="F953" s="28">
        <f>IF($C953="","",IFERROR(INDEX('Topic Plan'!$E$5:$E$115,MATCH($C953,'Topic Plan'!$B$5:$B$115,0)),""))</f>
        <v/>
      </c>
      <c r="G953" s="23" t="n"/>
      <c r="H953" s="27" t="n"/>
      <c r="I953" s="27" t="n"/>
      <c r="J953" s="27" t="n"/>
      <c r="K953" s="27" t="n"/>
      <c r="L953" s="27" t="n"/>
      <c r="M953" s="27" t="n"/>
      <c r="N953" s="23" t="n"/>
      <c r="O953" s="29" t="n"/>
      <c r="P953" s="29" t="n"/>
      <c r="Q953" s="29" t="n"/>
      <c r="R953" s="29" t="n"/>
      <c r="S953" s="29" t="n"/>
      <c r="T953" s="29" t="n"/>
      <c r="U953" s="29" t="n"/>
      <c r="V953" s="30">
        <f>IF(OR($A953="",$U953=""),"",IF($S953&lt;&gt;"",MAX(0,$S953-$U953),MAX(0,TODAY()-$U953)))</f>
        <v/>
      </c>
      <c r="W953" s="30">
        <f>IF($A953="","",IF(OR($N953="Live",$N953="Retired"),"",TODAY()-MAX($O953,$P953,$Q953,$R953)))</f>
        <v/>
      </c>
      <c r="X953" s="23" t="n"/>
      <c r="Y953" s="30">
        <f>IF($A953="","",COUNTIFS('Issues Log'!$C$5:$C$504,$A953,'Issues Log'!$K$5:$K$504,"Open")+COUNTIFS('Issues Log'!$C$5:$C$504,$A953,'Issues Log'!$K$5:$K$504,"In progress"))</f>
        <v/>
      </c>
      <c r="Z953" s="27" t="n"/>
    </row>
    <row r="954">
      <c r="A954" s="27" t="n"/>
      <c r="B954" s="27" t="n"/>
      <c r="C954" s="27" t="n"/>
      <c r="D954" s="28">
        <f>IF($C954="","",IFERROR(INDEX('Topic Plan'!$C$5:$C$115,MATCH($C954,'Topic Plan'!$B$5:$B$115,0)),"UNKNOWN TOPIC ID"))</f>
        <v/>
      </c>
      <c r="E954" s="28">
        <f>IF($C954="","",IFERROR(INDEX('Topic Plan'!$D$5:$D$115,MATCH($C954,'Topic Plan'!$B$5:$B$115,0)),""))</f>
        <v/>
      </c>
      <c r="F954" s="28">
        <f>IF($C954="","",IFERROR(INDEX('Topic Plan'!$E$5:$E$115,MATCH($C954,'Topic Plan'!$B$5:$B$115,0)),""))</f>
        <v/>
      </c>
      <c r="G954" s="23" t="n"/>
      <c r="H954" s="27" t="n"/>
      <c r="I954" s="27" t="n"/>
      <c r="J954" s="27" t="n"/>
      <c r="K954" s="27" t="n"/>
      <c r="L954" s="27" t="n"/>
      <c r="M954" s="27" t="n"/>
      <c r="N954" s="23" t="n"/>
      <c r="O954" s="29" t="n"/>
      <c r="P954" s="29" t="n"/>
      <c r="Q954" s="29" t="n"/>
      <c r="R954" s="29" t="n"/>
      <c r="S954" s="29" t="n"/>
      <c r="T954" s="29" t="n"/>
      <c r="U954" s="29" t="n"/>
      <c r="V954" s="30">
        <f>IF(OR($A954="",$U954=""),"",IF($S954&lt;&gt;"",MAX(0,$S954-$U954),MAX(0,TODAY()-$U954)))</f>
        <v/>
      </c>
      <c r="W954" s="30">
        <f>IF($A954="","",IF(OR($N954="Live",$N954="Retired"),"",TODAY()-MAX($O954,$P954,$Q954,$R954)))</f>
        <v/>
      </c>
      <c r="X954" s="23" t="n"/>
      <c r="Y954" s="30">
        <f>IF($A954="","",COUNTIFS('Issues Log'!$C$5:$C$504,$A954,'Issues Log'!$K$5:$K$504,"Open")+COUNTIFS('Issues Log'!$C$5:$C$504,$A954,'Issues Log'!$K$5:$K$504,"In progress"))</f>
        <v/>
      </c>
      <c r="Z954" s="27" t="n"/>
    </row>
    <row r="955">
      <c r="A955" s="27" t="n"/>
      <c r="B955" s="27" t="n"/>
      <c r="C955" s="27" t="n"/>
      <c r="D955" s="28">
        <f>IF($C955="","",IFERROR(INDEX('Topic Plan'!$C$5:$C$115,MATCH($C955,'Topic Plan'!$B$5:$B$115,0)),"UNKNOWN TOPIC ID"))</f>
        <v/>
      </c>
      <c r="E955" s="28">
        <f>IF($C955="","",IFERROR(INDEX('Topic Plan'!$D$5:$D$115,MATCH($C955,'Topic Plan'!$B$5:$B$115,0)),""))</f>
        <v/>
      </c>
      <c r="F955" s="28">
        <f>IF($C955="","",IFERROR(INDEX('Topic Plan'!$E$5:$E$115,MATCH($C955,'Topic Plan'!$B$5:$B$115,0)),""))</f>
        <v/>
      </c>
      <c r="G955" s="23" t="n"/>
      <c r="H955" s="27" t="n"/>
      <c r="I955" s="27" t="n"/>
      <c r="J955" s="27" t="n"/>
      <c r="K955" s="27" t="n"/>
      <c r="L955" s="27" t="n"/>
      <c r="M955" s="27" t="n"/>
      <c r="N955" s="23" t="n"/>
      <c r="O955" s="29" t="n"/>
      <c r="P955" s="29" t="n"/>
      <c r="Q955" s="29" t="n"/>
      <c r="R955" s="29" t="n"/>
      <c r="S955" s="29" t="n"/>
      <c r="T955" s="29" t="n"/>
      <c r="U955" s="29" t="n"/>
      <c r="V955" s="30">
        <f>IF(OR($A955="",$U955=""),"",IF($S955&lt;&gt;"",MAX(0,$S955-$U955),MAX(0,TODAY()-$U955)))</f>
        <v/>
      </c>
      <c r="W955" s="30">
        <f>IF($A955="","",IF(OR($N955="Live",$N955="Retired"),"",TODAY()-MAX($O955,$P955,$Q955,$R955)))</f>
        <v/>
      </c>
      <c r="X955" s="23" t="n"/>
      <c r="Y955" s="30">
        <f>IF($A955="","",COUNTIFS('Issues Log'!$C$5:$C$504,$A955,'Issues Log'!$K$5:$K$504,"Open")+COUNTIFS('Issues Log'!$C$5:$C$504,$A955,'Issues Log'!$K$5:$K$504,"In progress"))</f>
        <v/>
      </c>
      <c r="Z955" s="27" t="n"/>
    </row>
    <row r="956">
      <c r="A956" s="27" t="n"/>
      <c r="B956" s="27" t="n"/>
      <c r="C956" s="27" t="n"/>
      <c r="D956" s="28">
        <f>IF($C956="","",IFERROR(INDEX('Topic Plan'!$C$5:$C$115,MATCH($C956,'Topic Plan'!$B$5:$B$115,0)),"UNKNOWN TOPIC ID"))</f>
        <v/>
      </c>
      <c r="E956" s="28">
        <f>IF($C956="","",IFERROR(INDEX('Topic Plan'!$D$5:$D$115,MATCH($C956,'Topic Plan'!$B$5:$B$115,0)),""))</f>
        <v/>
      </c>
      <c r="F956" s="28">
        <f>IF($C956="","",IFERROR(INDEX('Topic Plan'!$E$5:$E$115,MATCH($C956,'Topic Plan'!$B$5:$B$115,0)),""))</f>
        <v/>
      </c>
      <c r="G956" s="23" t="n"/>
      <c r="H956" s="27" t="n"/>
      <c r="I956" s="27" t="n"/>
      <c r="J956" s="27" t="n"/>
      <c r="K956" s="27" t="n"/>
      <c r="L956" s="27" t="n"/>
      <c r="M956" s="27" t="n"/>
      <c r="N956" s="23" t="n"/>
      <c r="O956" s="29" t="n"/>
      <c r="P956" s="29" t="n"/>
      <c r="Q956" s="29" t="n"/>
      <c r="R956" s="29" t="n"/>
      <c r="S956" s="29" t="n"/>
      <c r="T956" s="29" t="n"/>
      <c r="U956" s="29" t="n"/>
      <c r="V956" s="30">
        <f>IF(OR($A956="",$U956=""),"",IF($S956&lt;&gt;"",MAX(0,$S956-$U956),MAX(0,TODAY()-$U956)))</f>
        <v/>
      </c>
      <c r="W956" s="30">
        <f>IF($A956="","",IF(OR($N956="Live",$N956="Retired"),"",TODAY()-MAX($O956,$P956,$Q956,$R956)))</f>
        <v/>
      </c>
      <c r="X956" s="23" t="n"/>
      <c r="Y956" s="30">
        <f>IF($A956="","",COUNTIFS('Issues Log'!$C$5:$C$504,$A956,'Issues Log'!$K$5:$K$504,"Open")+COUNTIFS('Issues Log'!$C$5:$C$504,$A956,'Issues Log'!$K$5:$K$504,"In progress"))</f>
        <v/>
      </c>
      <c r="Z956" s="27" t="n"/>
    </row>
    <row r="957">
      <c r="A957" s="27" t="n"/>
      <c r="B957" s="27" t="n"/>
      <c r="C957" s="27" t="n"/>
      <c r="D957" s="28">
        <f>IF($C957="","",IFERROR(INDEX('Topic Plan'!$C$5:$C$115,MATCH($C957,'Topic Plan'!$B$5:$B$115,0)),"UNKNOWN TOPIC ID"))</f>
        <v/>
      </c>
      <c r="E957" s="28">
        <f>IF($C957="","",IFERROR(INDEX('Topic Plan'!$D$5:$D$115,MATCH($C957,'Topic Plan'!$B$5:$B$115,0)),""))</f>
        <v/>
      </c>
      <c r="F957" s="28">
        <f>IF($C957="","",IFERROR(INDEX('Topic Plan'!$E$5:$E$115,MATCH($C957,'Topic Plan'!$B$5:$B$115,0)),""))</f>
        <v/>
      </c>
      <c r="G957" s="23" t="n"/>
      <c r="H957" s="27" t="n"/>
      <c r="I957" s="27" t="n"/>
      <c r="J957" s="27" t="n"/>
      <c r="K957" s="27" t="n"/>
      <c r="L957" s="27" t="n"/>
      <c r="M957" s="27" t="n"/>
      <c r="N957" s="23" t="n"/>
      <c r="O957" s="29" t="n"/>
      <c r="P957" s="29" t="n"/>
      <c r="Q957" s="29" t="n"/>
      <c r="R957" s="29" t="n"/>
      <c r="S957" s="29" t="n"/>
      <c r="T957" s="29" t="n"/>
      <c r="U957" s="29" t="n"/>
      <c r="V957" s="30">
        <f>IF(OR($A957="",$U957=""),"",IF($S957&lt;&gt;"",MAX(0,$S957-$U957),MAX(0,TODAY()-$U957)))</f>
        <v/>
      </c>
      <c r="W957" s="30">
        <f>IF($A957="","",IF(OR($N957="Live",$N957="Retired"),"",TODAY()-MAX($O957,$P957,$Q957,$R957)))</f>
        <v/>
      </c>
      <c r="X957" s="23" t="n"/>
      <c r="Y957" s="30">
        <f>IF($A957="","",COUNTIFS('Issues Log'!$C$5:$C$504,$A957,'Issues Log'!$K$5:$K$504,"Open")+COUNTIFS('Issues Log'!$C$5:$C$504,$A957,'Issues Log'!$K$5:$K$504,"In progress"))</f>
        <v/>
      </c>
      <c r="Z957" s="27" t="n"/>
    </row>
    <row r="958">
      <c r="A958" s="27" t="n"/>
      <c r="B958" s="27" t="n"/>
      <c r="C958" s="27" t="n"/>
      <c r="D958" s="28">
        <f>IF($C958="","",IFERROR(INDEX('Topic Plan'!$C$5:$C$115,MATCH($C958,'Topic Plan'!$B$5:$B$115,0)),"UNKNOWN TOPIC ID"))</f>
        <v/>
      </c>
      <c r="E958" s="28">
        <f>IF($C958="","",IFERROR(INDEX('Topic Plan'!$D$5:$D$115,MATCH($C958,'Topic Plan'!$B$5:$B$115,0)),""))</f>
        <v/>
      </c>
      <c r="F958" s="28">
        <f>IF($C958="","",IFERROR(INDEX('Topic Plan'!$E$5:$E$115,MATCH($C958,'Topic Plan'!$B$5:$B$115,0)),""))</f>
        <v/>
      </c>
      <c r="G958" s="23" t="n"/>
      <c r="H958" s="27" t="n"/>
      <c r="I958" s="27" t="n"/>
      <c r="J958" s="27" t="n"/>
      <c r="K958" s="27" t="n"/>
      <c r="L958" s="27" t="n"/>
      <c r="M958" s="27" t="n"/>
      <c r="N958" s="23" t="n"/>
      <c r="O958" s="29" t="n"/>
      <c r="P958" s="29" t="n"/>
      <c r="Q958" s="29" t="n"/>
      <c r="R958" s="29" t="n"/>
      <c r="S958" s="29" t="n"/>
      <c r="T958" s="29" t="n"/>
      <c r="U958" s="29" t="n"/>
      <c r="V958" s="30">
        <f>IF(OR($A958="",$U958=""),"",IF($S958&lt;&gt;"",MAX(0,$S958-$U958),MAX(0,TODAY()-$U958)))</f>
        <v/>
      </c>
      <c r="W958" s="30">
        <f>IF($A958="","",IF(OR($N958="Live",$N958="Retired"),"",TODAY()-MAX($O958,$P958,$Q958,$R958)))</f>
        <v/>
      </c>
      <c r="X958" s="23" t="n"/>
      <c r="Y958" s="30">
        <f>IF($A958="","",COUNTIFS('Issues Log'!$C$5:$C$504,$A958,'Issues Log'!$K$5:$K$504,"Open")+COUNTIFS('Issues Log'!$C$5:$C$504,$A958,'Issues Log'!$K$5:$K$504,"In progress"))</f>
        <v/>
      </c>
      <c r="Z958" s="27" t="n"/>
    </row>
    <row r="959">
      <c r="A959" s="27" t="n"/>
      <c r="B959" s="27" t="n"/>
      <c r="C959" s="27" t="n"/>
      <c r="D959" s="28">
        <f>IF($C959="","",IFERROR(INDEX('Topic Plan'!$C$5:$C$115,MATCH($C959,'Topic Plan'!$B$5:$B$115,0)),"UNKNOWN TOPIC ID"))</f>
        <v/>
      </c>
      <c r="E959" s="28">
        <f>IF($C959="","",IFERROR(INDEX('Topic Plan'!$D$5:$D$115,MATCH($C959,'Topic Plan'!$B$5:$B$115,0)),""))</f>
        <v/>
      </c>
      <c r="F959" s="28">
        <f>IF($C959="","",IFERROR(INDEX('Topic Plan'!$E$5:$E$115,MATCH($C959,'Topic Plan'!$B$5:$B$115,0)),""))</f>
        <v/>
      </c>
      <c r="G959" s="23" t="n"/>
      <c r="H959" s="27" t="n"/>
      <c r="I959" s="27" t="n"/>
      <c r="J959" s="27" t="n"/>
      <c r="K959" s="27" t="n"/>
      <c r="L959" s="27" t="n"/>
      <c r="M959" s="27" t="n"/>
      <c r="N959" s="23" t="n"/>
      <c r="O959" s="29" t="n"/>
      <c r="P959" s="29" t="n"/>
      <c r="Q959" s="29" t="n"/>
      <c r="R959" s="29" t="n"/>
      <c r="S959" s="29" t="n"/>
      <c r="T959" s="29" t="n"/>
      <c r="U959" s="29" t="n"/>
      <c r="V959" s="30">
        <f>IF(OR($A959="",$U959=""),"",IF($S959&lt;&gt;"",MAX(0,$S959-$U959),MAX(0,TODAY()-$U959)))</f>
        <v/>
      </c>
      <c r="W959" s="30">
        <f>IF($A959="","",IF(OR($N959="Live",$N959="Retired"),"",TODAY()-MAX($O959,$P959,$Q959,$R959)))</f>
        <v/>
      </c>
      <c r="X959" s="23" t="n"/>
      <c r="Y959" s="30">
        <f>IF($A959="","",COUNTIFS('Issues Log'!$C$5:$C$504,$A959,'Issues Log'!$K$5:$K$504,"Open")+COUNTIFS('Issues Log'!$C$5:$C$504,$A959,'Issues Log'!$K$5:$K$504,"In progress"))</f>
        <v/>
      </c>
      <c r="Z959" s="27" t="n"/>
    </row>
    <row r="960">
      <c r="A960" s="27" t="n"/>
      <c r="B960" s="27" t="n"/>
      <c r="C960" s="27" t="n"/>
      <c r="D960" s="28">
        <f>IF($C960="","",IFERROR(INDEX('Topic Plan'!$C$5:$C$115,MATCH($C960,'Topic Plan'!$B$5:$B$115,0)),"UNKNOWN TOPIC ID"))</f>
        <v/>
      </c>
      <c r="E960" s="28">
        <f>IF($C960="","",IFERROR(INDEX('Topic Plan'!$D$5:$D$115,MATCH($C960,'Topic Plan'!$B$5:$B$115,0)),""))</f>
        <v/>
      </c>
      <c r="F960" s="28">
        <f>IF($C960="","",IFERROR(INDEX('Topic Plan'!$E$5:$E$115,MATCH($C960,'Topic Plan'!$B$5:$B$115,0)),""))</f>
        <v/>
      </c>
      <c r="G960" s="23" t="n"/>
      <c r="H960" s="27" t="n"/>
      <c r="I960" s="27" t="n"/>
      <c r="J960" s="27" t="n"/>
      <c r="K960" s="27" t="n"/>
      <c r="L960" s="27" t="n"/>
      <c r="M960" s="27" t="n"/>
      <c r="N960" s="23" t="n"/>
      <c r="O960" s="29" t="n"/>
      <c r="P960" s="29" t="n"/>
      <c r="Q960" s="29" t="n"/>
      <c r="R960" s="29" t="n"/>
      <c r="S960" s="29" t="n"/>
      <c r="T960" s="29" t="n"/>
      <c r="U960" s="29" t="n"/>
      <c r="V960" s="30">
        <f>IF(OR($A960="",$U960=""),"",IF($S960&lt;&gt;"",MAX(0,$S960-$U960),MAX(0,TODAY()-$U960)))</f>
        <v/>
      </c>
      <c r="W960" s="30">
        <f>IF($A960="","",IF(OR($N960="Live",$N960="Retired"),"",TODAY()-MAX($O960,$P960,$Q960,$R960)))</f>
        <v/>
      </c>
      <c r="X960" s="23" t="n"/>
      <c r="Y960" s="30">
        <f>IF($A960="","",COUNTIFS('Issues Log'!$C$5:$C$504,$A960,'Issues Log'!$K$5:$K$504,"Open")+COUNTIFS('Issues Log'!$C$5:$C$504,$A960,'Issues Log'!$K$5:$K$504,"In progress"))</f>
        <v/>
      </c>
      <c r="Z960" s="27" t="n"/>
    </row>
    <row r="961">
      <c r="A961" s="27" t="n"/>
      <c r="B961" s="27" t="n"/>
      <c r="C961" s="27" t="n"/>
      <c r="D961" s="28">
        <f>IF($C961="","",IFERROR(INDEX('Topic Plan'!$C$5:$C$115,MATCH($C961,'Topic Plan'!$B$5:$B$115,0)),"UNKNOWN TOPIC ID"))</f>
        <v/>
      </c>
      <c r="E961" s="28">
        <f>IF($C961="","",IFERROR(INDEX('Topic Plan'!$D$5:$D$115,MATCH($C961,'Topic Plan'!$B$5:$B$115,0)),""))</f>
        <v/>
      </c>
      <c r="F961" s="28">
        <f>IF($C961="","",IFERROR(INDEX('Topic Plan'!$E$5:$E$115,MATCH($C961,'Topic Plan'!$B$5:$B$115,0)),""))</f>
        <v/>
      </c>
      <c r="G961" s="23" t="n"/>
      <c r="H961" s="27" t="n"/>
      <c r="I961" s="27" t="n"/>
      <c r="J961" s="27" t="n"/>
      <c r="K961" s="27" t="n"/>
      <c r="L961" s="27" t="n"/>
      <c r="M961" s="27" t="n"/>
      <c r="N961" s="23" t="n"/>
      <c r="O961" s="29" t="n"/>
      <c r="P961" s="29" t="n"/>
      <c r="Q961" s="29" t="n"/>
      <c r="R961" s="29" t="n"/>
      <c r="S961" s="29" t="n"/>
      <c r="T961" s="29" t="n"/>
      <c r="U961" s="29" t="n"/>
      <c r="V961" s="30">
        <f>IF(OR($A961="",$U961=""),"",IF($S961&lt;&gt;"",MAX(0,$S961-$U961),MAX(0,TODAY()-$U961)))</f>
        <v/>
      </c>
      <c r="W961" s="30">
        <f>IF($A961="","",IF(OR($N961="Live",$N961="Retired"),"",TODAY()-MAX($O961,$P961,$Q961,$R961)))</f>
        <v/>
      </c>
      <c r="X961" s="23" t="n"/>
      <c r="Y961" s="30">
        <f>IF($A961="","",COUNTIFS('Issues Log'!$C$5:$C$504,$A961,'Issues Log'!$K$5:$K$504,"Open")+COUNTIFS('Issues Log'!$C$5:$C$504,$A961,'Issues Log'!$K$5:$K$504,"In progress"))</f>
        <v/>
      </c>
      <c r="Z961" s="27" t="n"/>
    </row>
    <row r="962">
      <c r="A962" s="27" t="n"/>
      <c r="B962" s="27" t="n"/>
      <c r="C962" s="27" t="n"/>
      <c r="D962" s="28">
        <f>IF($C962="","",IFERROR(INDEX('Topic Plan'!$C$5:$C$115,MATCH($C962,'Topic Plan'!$B$5:$B$115,0)),"UNKNOWN TOPIC ID"))</f>
        <v/>
      </c>
      <c r="E962" s="28">
        <f>IF($C962="","",IFERROR(INDEX('Topic Plan'!$D$5:$D$115,MATCH($C962,'Topic Plan'!$B$5:$B$115,0)),""))</f>
        <v/>
      </c>
      <c r="F962" s="28">
        <f>IF($C962="","",IFERROR(INDEX('Topic Plan'!$E$5:$E$115,MATCH($C962,'Topic Plan'!$B$5:$B$115,0)),""))</f>
        <v/>
      </c>
      <c r="G962" s="23" t="n"/>
      <c r="H962" s="27" t="n"/>
      <c r="I962" s="27" t="n"/>
      <c r="J962" s="27" t="n"/>
      <c r="K962" s="27" t="n"/>
      <c r="L962" s="27" t="n"/>
      <c r="M962" s="27" t="n"/>
      <c r="N962" s="23" t="n"/>
      <c r="O962" s="29" t="n"/>
      <c r="P962" s="29" t="n"/>
      <c r="Q962" s="29" t="n"/>
      <c r="R962" s="29" t="n"/>
      <c r="S962" s="29" t="n"/>
      <c r="T962" s="29" t="n"/>
      <c r="U962" s="29" t="n"/>
      <c r="V962" s="30">
        <f>IF(OR($A962="",$U962=""),"",IF($S962&lt;&gt;"",MAX(0,$S962-$U962),MAX(0,TODAY()-$U962)))</f>
        <v/>
      </c>
      <c r="W962" s="30">
        <f>IF($A962="","",IF(OR($N962="Live",$N962="Retired"),"",TODAY()-MAX($O962,$P962,$Q962,$R962)))</f>
        <v/>
      </c>
      <c r="X962" s="23" t="n"/>
      <c r="Y962" s="30">
        <f>IF($A962="","",COUNTIFS('Issues Log'!$C$5:$C$504,$A962,'Issues Log'!$K$5:$K$504,"Open")+COUNTIFS('Issues Log'!$C$5:$C$504,$A962,'Issues Log'!$K$5:$K$504,"In progress"))</f>
        <v/>
      </c>
      <c r="Z962" s="27" t="n"/>
    </row>
    <row r="963">
      <c r="A963" s="27" t="n"/>
      <c r="B963" s="27" t="n"/>
      <c r="C963" s="27" t="n"/>
      <c r="D963" s="28">
        <f>IF($C963="","",IFERROR(INDEX('Topic Plan'!$C$5:$C$115,MATCH($C963,'Topic Plan'!$B$5:$B$115,0)),"UNKNOWN TOPIC ID"))</f>
        <v/>
      </c>
      <c r="E963" s="28">
        <f>IF($C963="","",IFERROR(INDEX('Topic Plan'!$D$5:$D$115,MATCH($C963,'Topic Plan'!$B$5:$B$115,0)),""))</f>
        <v/>
      </c>
      <c r="F963" s="28">
        <f>IF($C963="","",IFERROR(INDEX('Topic Plan'!$E$5:$E$115,MATCH($C963,'Topic Plan'!$B$5:$B$115,0)),""))</f>
        <v/>
      </c>
      <c r="G963" s="23" t="n"/>
      <c r="H963" s="27" t="n"/>
      <c r="I963" s="27" t="n"/>
      <c r="J963" s="27" t="n"/>
      <c r="K963" s="27" t="n"/>
      <c r="L963" s="27" t="n"/>
      <c r="M963" s="27" t="n"/>
      <c r="N963" s="23" t="n"/>
      <c r="O963" s="29" t="n"/>
      <c r="P963" s="29" t="n"/>
      <c r="Q963" s="29" t="n"/>
      <c r="R963" s="29" t="n"/>
      <c r="S963" s="29" t="n"/>
      <c r="T963" s="29" t="n"/>
      <c r="U963" s="29" t="n"/>
      <c r="V963" s="30">
        <f>IF(OR($A963="",$U963=""),"",IF($S963&lt;&gt;"",MAX(0,$S963-$U963),MAX(0,TODAY()-$U963)))</f>
        <v/>
      </c>
      <c r="W963" s="30">
        <f>IF($A963="","",IF(OR($N963="Live",$N963="Retired"),"",TODAY()-MAX($O963,$P963,$Q963,$R963)))</f>
        <v/>
      </c>
      <c r="X963" s="23" t="n"/>
      <c r="Y963" s="30">
        <f>IF($A963="","",COUNTIFS('Issues Log'!$C$5:$C$504,$A963,'Issues Log'!$K$5:$K$504,"Open")+COUNTIFS('Issues Log'!$C$5:$C$504,$A963,'Issues Log'!$K$5:$K$504,"In progress"))</f>
        <v/>
      </c>
      <c r="Z963" s="27" t="n"/>
    </row>
    <row r="964">
      <c r="A964" s="27" t="n"/>
      <c r="B964" s="27" t="n"/>
      <c r="C964" s="27" t="n"/>
      <c r="D964" s="28">
        <f>IF($C964="","",IFERROR(INDEX('Topic Plan'!$C$5:$C$115,MATCH($C964,'Topic Plan'!$B$5:$B$115,0)),"UNKNOWN TOPIC ID"))</f>
        <v/>
      </c>
      <c r="E964" s="28">
        <f>IF($C964="","",IFERROR(INDEX('Topic Plan'!$D$5:$D$115,MATCH($C964,'Topic Plan'!$B$5:$B$115,0)),""))</f>
        <v/>
      </c>
      <c r="F964" s="28">
        <f>IF($C964="","",IFERROR(INDEX('Topic Plan'!$E$5:$E$115,MATCH($C964,'Topic Plan'!$B$5:$B$115,0)),""))</f>
        <v/>
      </c>
      <c r="G964" s="23" t="n"/>
      <c r="H964" s="27" t="n"/>
      <c r="I964" s="27" t="n"/>
      <c r="J964" s="27" t="n"/>
      <c r="K964" s="27" t="n"/>
      <c r="L964" s="27" t="n"/>
      <c r="M964" s="27" t="n"/>
      <c r="N964" s="23" t="n"/>
      <c r="O964" s="29" t="n"/>
      <c r="P964" s="29" t="n"/>
      <c r="Q964" s="29" t="n"/>
      <c r="R964" s="29" t="n"/>
      <c r="S964" s="29" t="n"/>
      <c r="T964" s="29" t="n"/>
      <c r="U964" s="29" t="n"/>
      <c r="V964" s="30">
        <f>IF(OR($A964="",$U964=""),"",IF($S964&lt;&gt;"",MAX(0,$S964-$U964),MAX(0,TODAY()-$U964)))</f>
        <v/>
      </c>
      <c r="W964" s="30">
        <f>IF($A964="","",IF(OR($N964="Live",$N964="Retired"),"",TODAY()-MAX($O964,$P964,$Q964,$R964)))</f>
        <v/>
      </c>
      <c r="X964" s="23" t="n"/>
      <c r="Y964" s="30">
        <f>IF($A964="","",COUNTIFS('Issues Log'!$C$5:$C$504,$A964,'Issues Log'!$K$5:$K$504,"Open")+COUNTIFS('Issues Log'!$C$5:$C$504,$A964,'Issues Log'!$K$5:$K$504,"In progress"))</f>
        <v/>
      </c>
      <c r="Z964" s="27" t="n"/>
    </row>
    <row r="965">
      <c r="A965" s="27" t="n"/>
      <c r="B965" s="27" t="n"/>
      <c r="C965" s="27" t="n"/>
      <c r="D965" s="28">
        <f>IF($C965="","",IFERROR(INDEX('Topic Plan'!$C$5:$C$115,MATCH($C965,'Topic Plan'!$B$5:$B$115,0)),"UNKNOWN TOPIC ID"))</f>
        <v/>
      </c>
      <c r="E965" s="28">
        <f>IF($C965="","",IFERROR(INDEX('Topic Plan'!$D$5:$D$115,MATCH($C965,'Topic Plan'!$B$5:$B$115,0)),""))</f>
        <v/>
      </c>
      <c r="F965" s="28">
        <f>IF($C965="","",IFERROR(INDEX('Topic Plan'!$E$5:$E$115,MATCH($C965,'Topic Plan'!$B$5:$B$115,0)),""))</f>
        <v/>
      </c>
      <c r="G965" s="23" t="n"/>
      <c r="H965" s="27" t="n"/>
      <c r="I965" s="27" t="n"/>
      <c r="J965" s="27" t="n"/>
      <c r="K965" s="27" t="n"/>
      <c r="L965" s="27" t="n"/>
      <c r="M965" s="27" t="n"/>
      <c r="N965" s="23" t="n"/>
      <c r="O965" s="29" t="n"/>
      <c r="P965" s="29" t="n"/>
      <c r="Q965" s="29" t="n"/>
      <c r="R965" s="29" t="n"/>
      <c r="S965" s="29" t="n"/>
      <c r="T965" s="29" t="n"/>
      <c r="U965" s="29" t="n"/>
      <c r="V965" s="30">
        <f>IF(OR($A965="",$U965=""),"",IF($S965&lt;&gt;"",MAX(0,$S965-$U965),MAX(0,TODAY()-$U965)))</f>
        <v/>
      </c>
      <c r="W965" s="30">
        <f>IF($A965="","",IF(OR($N965="Live",$N965="Retired"),"",TODAY()-MAX($O965,$P965,$Q965,$R965)))</f>
        <v/>
      </c>
      <c r="X965" s="23" t="n"/>
      <c r="Y965" s="30">
        <f>IF($A965="","",COUNTIFS('Issues Log'!$C$5:$C$504,$A965,'Issues Log'!$K$5:$K$504,"Open")+COUNTIFS('Issues Log'!$C$5:$C$504,$A965,'Issues Log'!$K$5:$K$504,"In progress"))</f>
        <v/>
      </c>
      <c r="Z965" s="27" t="n"/>
    </row>
    <row r="966">
      <c r="A966" s="27" t="n"/>
      <c r="B966" s="27" t="n"/>
      <c r="C966" s="27" t="n"/>
      <c r="D966" s="28">
        <f>IF($C966="","",IFERROR(INDEX('Topic Plan'!$C$5:$C$115,MATCH($C966,'Topic Plan'!$B$5:$B$115,0)),"UNKNOWN TOPIC ID"))</f>
        <v/>
      </c>
      <c r="E966" s="28">
        <f>IF($C966="","",IFERROR(INDEX('Topic Plan'!$D$5:$D$115,MATCH($C966,'Topic Plan'!$B$5:$B$115,0)),""))</f>
        <v/>
      </c>
      <c r="F966" s="28">
        <f>IF($C966="","",IFERROR(INDEX('Topic Plan'!$E$5:$E$115,MATCH($C966,'Topic Plan'!$B$5:$B$115,0)),""))</f>
        <v/>
      </c>
      <c r="G966" s="23" t="n"/>
      <c r="H966" s="27" t="n"/>
      <c r="I966" s="27" t="n"/>
      <c r="J966" s="27" t="n"/>
      <c r="K966" s="27" t="n"/>
      <c r="L966" s="27" t="n"/>
      <c r="M966" s="27" t="n"/>
      <c r="N966" s="23" t="n"/>
      <c r="O966" s="29" t="n"/>
      <c r="P966" s="29" t="n"/>
      <c r="Q966" s="29" t="n"/>
      <c r="R966" s="29" t="n"/>
      <c r="S966" s="29" t="n"/>
      <c r="T966" s="29" t="n"/>
      <c r="U966" s="29" t="n"/>
      <c r="V966" s="30">
        <f>IF(OR($A966="",$U966=""),"",IF($S966&lt;&gt;"",MAX(0,$S966-$U966),MAX(0,TODAY()-$U966)))</f>
        <v/>
      </c>
      <c r="W966" s="30">
        <f>IF($A966="","",IF(OR($N966="Live",$N966="Retired"),"",TODAY()-MAX($O966,$P966,$Q966,$R966)))</f>
        <v/>
      </c>
      <c r="X966" s="23" t="n"/>
      <c r="Y966" s="30">
        <f>IF($A966="","",COUNTIFS('Issues Log'!$C$5:$C$504,$A966,'Issues Log'!$K$5:$K$504,"Open")+COUNTIFS('Issues Log'!$C$5:$C$504,$A966,'Issues Log'!$K$5:$K$504,"In progress"))</f>
        <v/>
      </c>
      <c r="Z966" s="27" t="n"/>
    </row>
    <row r="967">
      <c r="A967" s="27" t="n"/>
      <c r="B967" s="27" t="n"/>
      <c r="C967" s="27" t="n"/>
      <c r="D967" s="28">
        <f>IF($C967="","",IFERROR(INDEX('Topic Plan'!$C$5:$C$115,MATCH($C967,'Topic Plan'!$B$5:$B$115,0)),"UNKNOWN TOPIC ID"))</f>
        <v/>
      </c>
      <c r="E967" s="28">
        <f>IF($C967="","",IFERROR(INDEX('Topic Plan'!$D$5:$D$115,MATCH($C967,'Topic Plan'!$B$5:$B$115,0)),""))</f>
        <v/>
      </c>
      <c r="F967" s="28">
        <f>IF($C967="","",IFERROR(INDEX('Topic Plan'!$E$5:$E$115,MATCH($C967,'Topic Plan'!$B$5:$B$115,0)),""))</f>
        <v/>
      </c>
      <c r="G967" s="23" t="n"/>
      <c r="H967" s="27" t="n"/>
      <c r="I967" s="27" t="n"/>
      <c r="J967" s="27" t="n"/>
      <c r="K967" s="27" t="n"/>
      <c r="L967" s="27" t="n"/>
      <c r="M967" s="27" t="n"/>
      <c r="N967" s="23" t="n"/>
      <c r="O967" s="29" t="n"/>
      <c r="P967" s="29" t="n"/>
      <c r="Q967" s="29" t="n"/>
      <c r="R967" s="29" t="n"/>
      <c r="S967" s="29" t="n"/>
      <c r="T967" s="29" t="n"/>
      <c r="U967" s="29" t="n"/>
      <c r="V967" s="30">
        <f>IF(OR($A967="",$U967=""),"",IF($S967&lt;&gt;"",MAX(0,$S967-$U967),MAX(0,TODAY()-$U967)))</f>
        <v/>
      </c>
      <c r="W967" s="30">
        <f>IF($A967="","",IF(OR($N967="Live",$N967="Retired"),"",TODAY()-MAX($O967,$P967,$Q967,$R967)))</f>
        <v/>
      </c>
      <c r="X967" s="23" t="n"/>
      <c r="Y967" s="30">
        <f>IF($A967="","",COUNTIFS('Issues Log'!$C$5:$C$504,$A967,'Issues Log'!$K$5:$K$504,"Open")+COUNTIFS('Issues Log'!$C$5:$C$504,$A967,'Issues Log'!$K$5:$K$504,"In progress"))</f>
        <v/>
      </c>
      <c r="Z967" s="27" t="n"/>
    </row>
    <row r="968">
      <c r="A968" s="27" t="n"/>
      <c r="B968" s="27" t="n"/>
      <c r="C968" s="27" t="n"/>
      <c r="D968" s="28">
        <f>IF($C968="","",IFERROR(INDEX('Topic Plan'!$C$5:$C$115,MATCH($C968,'Topic Plan'!$B$5:$B$115,0)),"UNKNOWN TOPIC ID"))</f>
        <v/>
      </c>
      <c r="E968" s="28">
        <f>IF($C968="","",IFERROR(INDEX('Topic Plan'!$D$5:$D$115,MATCH($C968,'Topic Plan'!$B$5:$B$115,0)),""))</f>
        <v/>
      </c>
      <c r="F968" s="28">
        <f>IF($C968="","",IFERROR(INDEX('Topic Plan'!$E$5:$E$115,MATCH($C968,'Topic Plan'!$B$5:$B$115,0)),""))</f>
        <v/>
      </c>
      <c r="G968" s="23" t="n"/>
      <c r="H968" s="27" t="n"/>
      <c r="I968" s="27" t="n"/>
      <c r="J968" s="27" t="n"/>
      <c r="K968" s="27" t="n"/>
      <c r="L968" s="27" t="n"/>
      <c r="M968" s="27" t="n"/>
      <c r="N968" s="23" t="n"/>
      <c r="O968" s="29" t="n"/>
      <c r="P968" s="29" t="n"/>
      <c r="Q968" s="29" t="n"/>
      <c r="R968" s="29" t="n"/>
      <c r="S968" s="29" t="n"/>
      <c r="T968" s="29" t="n"/>
      <c r="U968" s="29" t="n"/>
      <c r="V968" s="30">
        <f>IF(OR($A968="",$U968=""),"",IF($S968&lt;&gt;"",MAX(0,$S968-$U968),MAX(0,TODAY()-$U968)))</f>
        <v/>
      </c>
      <c r="W968" s="30">
        <f>IF($A968="","",IF(OR($N968="Live",$N968="Retired"),"",TODAY()-MAX($O968,$P968,$Q968,$R968)))</f>
        <v/>
      </c>
      <c r="X968" s="23" t="n"/>
      <c r="Y968" s="30">
        <f>IF($A968="","",COUNTIFS('Issues Log'!$C$5:$C$504,$A968,'Issues Log'!$K$5:$K$504,"Open")+COUNTIFS('Issues Log'!$C$5:$C$504,$A968,'Issues Log'!$K$5:$K$504,"In progress"))</f>
        <v/>
      </c>
      <c r="Z968" s="27" t="n"/>
    </row>
    <row r="969">
      <c r="A969" s="27" t="n"/>
      <c r="B969" s="27" t="n"/>
      <c r="C969" s="27" t="n"/>
      <c r="D969" s="28">
        <f>IF($C969="","",IFERROR(INDEX('Topic Plan'!$C$5:$C$115,MATCH($C969,'Topic Plan'!$B$5:$B$115,0)),"UNKNOWN TOPIC ID"))</f>
        <v/>
      </c>
      <c r="E969" s="28">
        <f>IF($C969="","",IFERROR(INDEX('Topic Plan'!$D$5:$D$115,MATCH($C969,'Topic Plan'!$B$5:$B$115,0)),""))</f>
        <v/>
      </c>
      <c r="F969" s="28">
        <f>IF($C969="","",IFERROR(INDEX('Topic Plan'!$E$5:$E$115,MATCH($C969,'Topic Plan'!$B$5:$B$115,0)),""))</f>
        <v/>
      </c>
      <c r="G969" s="23" t="n"/>
      <c r="H969" s="27" t="n"/>
      <c r="I969" s="27" t="n"/>
      <c r="J969" s="27" t="n"/>
      <c r="K969" s="27" t="n"/>
      <c r="L969" s="27" t="n"/>
      <c r="M969" s="27" t="n"/>
      <c r="N969" s="23" t="n"/>
      <c r="O969" s="29" t="n"/>
      <c r="P969" s="29" t="n"/>
      <c r="Q969" s="29" t="n"/>
      <c r="R969" s="29" t="n"/>
      <c r="S969" s="29" t="n"/>
      <c r="T969" s="29" t="n"/>
      <c r="U969" s="29" t="n"/>
      <c r="V969" s="30">
        <f>IF(OR($A969="",$U969=""),"",IF($S969&lt;&gt;"",MAX(0,$S969-$U969),MAX(0,TODAY()-$U969)))</f>
        <v/>
      </c>
      <c r="W969" s="30">
        <f>IF($A969="","",IF(OR($N969="Live",$N969="Retired"),"",TODAY()-MAX($O969,$P969,$Q969,$R969)))</f>
        <v/>
      </c>
      <c r="X969" s="23" t="n"/>
      <c r="Y969" s="30">
        <f>IF($A969="","",COUNTIFS('Issues Log'!$C$5:$C$504,$A969,'Issues Log'!$K$5:$K$504,"Open")+COUNTIFS('Issues Log'!$C$5:$C$504,$A969,'Issues Log'!$K$5:$K$504,"In progress"))</f>
        <v/>
      </c>
      <c r="Z969" s="27" t="n"/>
    </row>
    <row r="970">
      <c r="A970" s="27" t="n"/>
      <c r="B970" s="27" t="n"/>
      <c r="C970" s="27" t="n"/>
      <c r="D970" s="28">
        <f>IF($C970="","",IFERROR(INDEX('Topic Plan'!$C$5:$C$115,MATCH($C970,'Topic Plan'!$B$5:$B$115,0)),"UNKNOWN TOPIC ID"))</f>
        <v/>
      </c>
      <c r="E970" s="28">
        <f>IF($C970="","",IFERROR(INDEX('Topic Plan'!$D$5:$D$115,MATCH($C970,'Topic Plan'!$B$5:$B$115,0)),""))</f>
        <v/>
      </c>
      <c r="F970" s="28">
        <f>IF($C970="","",IFERROR(INDEX('Topic Plan'!$E$5:$E$115,MATCH($C970,'Topic Plan'!$B$5:$B$115,0)),""))</f>
        <v/>
      </c>
      <c r="G970" s="23" t="n"/>
      <c r="H970" s="27" t="n"/>
      <c r="I970" s="27" t="n"/>
      <c r="J970" s="27" t="n"/>
      <c r="K970" s="27" t="n"/>
      <c r="L970" s="27" t="n"/>
      <c r="M970" s="27" t="n"/>
      <c r="N970" s="23" t="n"/>
      <c r="O970" s="29" t="n"/>
      <c r="P970" s="29" t="n"/>
      <c r="Q970" s="29" t="n"/>
      <c r="R970" s="29" t="n"/>
      <c r="S970" s="29" t="n"/>
      <c r="T970" s="29" t="n"/>
      <c r="U970" s="29" t="n"/>
      <c r="V970" s="30">
        <f>IF(OR($A970="",$U970=""),"",IF($S970&lt;&gt;"",MAX(0,$S970-$U970),MAX(0,TODAY()-$U970)))</f>
        <v/>
      </c>
      <c r="W970" s="30">
        <f>IF($A970="","",IF(OR($N970="Live",$N970="Retired"),"",TODAY()-MAX($O970,$P970,$Q970,$R970)))</f>
        <v/>
      </c>
      <c r="X970" s="23" t="n"/>
      <c r="Y970" s="30">
        <f>IF($A970="","",COUNTIFS('Issues Log'!$C$5:$C$504,$A970,'Issues Log'!$K$5:$K$504,"Open")+COUNTIFS('Issues Log'!$C$5:$C$504,$A970,'Issues Log'!$K$5:$K$504,"In progress"))</f>
        <v/>
      </c>
      <c r="Z970" s="27" t="n"/>
    </row>
    <row r="971">
      <c r="A971" s="27" t="n"/>
      <c r="B971" s="27" t="n"/>
      <c r="C971" s="27" t="n"/>
      <c r="D971" s="28">
        <f>IF($C971="","",IFERROR(INDEX('Topic Plan'!$C$5:$C$115,MATCH($C971,'Topic Plan'!$B$5:$B$115,0)),"UNKNOWN TOPIC ID"))</f>
        <v/>
      </c>
      <c r="E971" s="28">
        <f>IF($C971="","",IFERROR(INDEX('Topic Plan'!$D$5:$D$115,MATCH($C971,'Topic Plan'!$B$5:$B$115,0)),""))</f>
        <v/>
      </c>
      <c r="F971" s="28">
        <f>IF($C971="","",IFERROR(INDEX('Topic Plan'!$E$5:$E$115,MATCH($C971,'Topic Plan'!$B$5:$B$115,0)),""))</f>
        <v/>
      </c>
      <c r="G971" s="23" t="n"/>
      <c r="H971" s="27" t="n"/>
      <c r="I971" s="27" t="n"/>
      <c r="J971" s="27" t="n"/>
      <c r="K971" s="27" t="n"/>
      <c r="L971" s="27" t="n"/>
      <c r="M971" s="27" t="n"/>
      <c r="N971" s="23" t="n"/>
      <c r="O971" s="29" t="n"/>
      <c r="P971" s="29" t="n"/>
      <c r="Q971" s="29" t="n"/>
      <c r="R971" s="29" t="n"/>
      <c r="S971" s="29" t="n"/>
      <c r="T971" s="29" t="n"/>
      <c r="U971" s="29" t="n"/>
      <c r="V971" s="30">
        <f>IF(OR($A971="",$U971=""),"",IF($S971&lt;&gt;"",MAX(0,$S971-$U971),MAX(0,TODAY()-$U971)))</f>
        <v/>
      </c>
      <c r="W971" s="30">
        <f>IF($A971="","",IF(OR($N971="Live",$N971="Retired"),"",TODAY()-MAX($O971,$P971,$Q971,$R971)))</f>
        <v/>
      </c>
      <c r="X971" s="23" t="n"/>
      <c r="Y971" s="30">
        <f>IF($A971="","",COUNTIFS('Issues Log'!$C$5:$C$504,$A971,'Issues Log'!$K$5:$K$504,"Open")+COUNTIFS('Issues Log'!$C$5:$C$504,$A971,'Issues Log'!$K$5:$K$504,"In progress"))</f>
        <v/>
      </c>
      <c r="Z971" s="27" t="n"/>
    </row>
    <row r="972">
      <c r="A972" s="27" t="n"/>
      <c r="B972" s="27" t="n"/>
      <c r="C972" s="27" t="n"/>
      <c r="D972" s="28">
        <f>IF($C972="","",IFERROR(INDEX('Topic Plan'!$C$5:$C$115,MATCH($C972,'Topic Plan'!$B$5:$B$115,0)),"UNKNOWN TOPIC ID"))</f>
        <v/>
      </c>
      <c r="E972" s="28">
        <f>IF($C972="","",IFERROR(INDEX('Topic Plan'!$D$5:$D$115,MATCH($C972,'Topic Plan'!$B$5:$B$115,0)),""))</f>
        <v/>
      </c>
      <c r="F972" s="28">
        <f>IF($C972="","",IFERROR(INDEX('Topic Plan'!$E$5:$E$115,MATCH($C972,'Topic Plan'!$B$5:$B$115,0)),""))</f>
        <v/>
      </c>
      <c r="G972" s="23" t="n"/>
      <c r="H972" s="27" t="n"/>
      <c r="I972" s="27" t="n"/>
      <c r="J972" s="27" t="n"/>
      <c r="K972" s="27" t="n"/>
      <c r="L972" s="27" t="n"/>
      <c r="M972" s="27" t="n"/>
      <c r="N972" s="23" t="n"/>
      <c r="O972" s="29" t="n"/>
      <c r="P972" s="29" t="n"/>
      <c r="Q972" s="29" t="n"/>
      <c r="R972" s="29" t="n"/>
      <c r="S972" s="29" t="n"/>
      <c r="T972" s="29" t="n"/>
      <c r="U972" s="29" t="n"/>
      <c r="V972" s="30">
        <f>IF(OR($A972="",$U972=""),"",IF($S972&lt;&gt;"",MAX(0,$S972-$U972),MAX(0,TODAY()-$U972)))</f>
        <v/>
      </c>
      <c r="W972" s="30">
        <f>IF($A972="","",IF(OR($N972="Live",$N972="Retired"),"",TODAY()-MAX($O972,$P972,$Q972,$R972)))</f>
        <v/>
      </c>
      <c r="X972" s="23" t="n"/>
      <c r="Y972" s="30">
        <f>IF($A972="","",COUNTIFS('Issues Log'!$C$5:$C$504,$A972,'Issues Log'!$K$5:$K$504,"Open")+COUNTIFS('Issues Log'!$C$5:$C$504,$A972,'Issues Log'!$K$5:$K$504,"In progress"))</f>
        <v/>
      </c>
      <c r="Z972" s="27" t="n"/>
    </row>
    <row r="973">
      <c r="A973" s="27" t="n"/>
      <c r="B973" s="27" t="n"/>
      <c r="C973" s="27" t="n"/>
      <c r="D973" s="28">
        <f>IF($C973="","",IFERROR(INDEX('Topic Plan'!$C$5:$C$115,MATCH($C973,'Topic Plan'!$B$5:$B$115,0)),"UNKNOWN TOPIC ID"))</f>
        <v/>
      </c>
      <c r="E973" s="28">
        <f>IF($C973="","",IFERROR(INDEX('Topic Plan'!$D$5:$D$115,MATCH($C973,'Topic Plan'!$B$5:$B$115,0)),""))</f>
        <v/>
      </c>
      <c r="F973" s="28">
        <f>IF($C973="","",IFERROR(INDEX('Topic Plan'!$E$5:$E$115,MATCH($C973,'Topic Plan'!$B$5:$B$115,0)),""))</f>
        <v/>
      </c>
      <c r="G973" s="23" t="n"/>
      <c r="H973" s="27" t="n"/>
      <c r="I973" s="27" t="n"/>
      <c r="J973" s="27" t="n"/>
      <c r="K973" s="27" t="n"/>
      <c r="L973" s="27" t="n"/>
      <c r="M973" s="27" t="n"/>
      <c r="N973" s="23" t="n"/>
      <c r="O973" s="29" t="n"/>
      <c r="P973" s="29" t="n"/>
      <c r="Q973" s="29" t="n"/>
      <c r="R973" s="29" t="n"/>
      <c r="S973" s="29" t="n"/>
      <c r="T973" s="29" t="n"/>
      <c r="U973" s="29" t="n"/>
      <c r="V973" s="30">
        <f>IF(OR($A973="",$U973=""),"",IF($S973&lt;&gt;"",MAX(0,$S973-$U973),MAX(0,TODAY()-$U973)))</f>
        <v/>
      </c>
      <c r="W973" s="30">
        <f>IF($A973="","",IF(OR($N973="Live",$N973="Retired"),"",TODAY()-MAX($O973,$P973,$Q973,$R973)))</f>
        <v/>
      </c>
      <c r="X973" s="23" t="n"/>
      <c r="Y973" s="30">
        <f>IF($A973="","",COUNTIFS('Issues Log'!$C$5:$C$504,$A973,'Issues Log'!$K$5:$K$504,"Open")+COUNTIFS('Issues Log'!$C$5:$C$504,$A973,'Issues Log'!$K$5:$K$504,"In progress"))</f>
        <v/>
      </c>
      <c r="Z973" s="27" t="n"/>
    </row>
    <row r="974">
      <c r="A974" s="27" t="n"/>
      <c r="B974" s="27" t="n"/>
      <c r="C974" s="27" t="n"/>
      <c r="D974" s="28">
        <f>IF($C974="","",IFERROR(INDEX('Topic Plan'!$C$5:$C$115,MATCH($C974,'Topic Plan'!$B$5:$B$115,0)),"UNKNOWN TOPIC ID"))</f>
        <v/>
      </c>
      <c r="E974" s="28">
        <f>IF($C974="","",IFERROR(INDEX('Topic Plan'!$D$5:$D$115,MATCH($C974,'Topic Plan'!$B$5:$B$115,0)),""))</f>
        <v/>
      </c>
      <c r="F974" s="28">
        <f>IF($C974="","",IFERROR(INDEX('Topic Plan'!$E$5:$E$115,MATCH($C974,'Topic Plan'!$B$5:$B$115,0)),""))</f>
        <v/>
      </c>
      <c r="G974" s="23" t="n"/>
      <c r="H974" s="27" t="n"/>
      <c r="I974" s="27" t="n"/>
      <c r="J974" s="27" t="n"/>
      <c r="K974" s="27" t="n"/>
      <c r="L974" s="27" t="n"/>
      <c r="M974" s="27" t="n"/>
      <c r="N974" s="23" t="n"/>
      <c r="O974" s="29" t="n"/>
      <c r="P974" s="29" t="n"/>
      <c r="Q974" s="29" t="n"/>
      <c r="R974" s="29" t="n"/>
      <c r="S974" s="29" t="n"/>
      <c r="T974" s="29" t="n"/>
      <c r="U974" s="29" t="n"/>
      <c r="V974" s="30">
        <f>IF(OR($A974="",$U974=""),"",IF($S974&lt;&gt;"",MAX(0,$S974-$U974),MAX(0,TODAY()-$U974)))</f>
        <v/>
      </c>
      <c r="W974" s="30">
        <f>IF($A974="","",IF(OR($N974="Live",$N974="Retired"),"",TODAY()-MAX($O974,$P974,$Q974,$R974)))</f>
        <v/>
      </c>
      <c r="X974" s="23" t="n"/>
      <c r="Y974" s="30">
        <f>IF($A974="","",COUNTIFS('Issues Log'!$C$5:$C$504,$A974,'Issues Log'!$K$5:$K$504,"Open")+COUNTIFS('Issues Log'!$C$5:$C$504,$A974,'Issues Log'!$K$5:$K$504,"In progress"))</f>
        <v/>
      </c>
      <c r="Z974" s="27" t="n"/>
    </row>
    <row r="975">
      <c r="A975" s="27" t="n"/>
      <c r="B975" s="27" t="n"/>
      <c r="C975" s="27" t="n"/>
      <c r="D975" s="28">
        <f>IF($C975="","",IFERROR(INDEX('Topic Plan'!$C$5:$C$115,MATCH($C975,'Topic Plan'!$B$5:$B$115,0)),"UNKNOWN TOPIC ID"))</f>
        <v/>
      </c>
      <c r="E975" s="28">
        <f>IF($C975="","",IFERROR(INDEX('Topic Plan'!$D$5:$D$115,MATCH($C975,'Topic Plan'!$B$5:$B$115,0)),""))</f>
        <v/>
      </c>
      <c r="F975" s="28">
        <f>IF($C975="","",IFERROR(INDEX('Topic Plan'!$E$5:$E$115,MATCH($C975,'Topic Plan'!$B$5:$B$115,0)),""))</f>
        <v/>
      </c>
      <c r="G975" s="23" t="n"/>
      <c r="H975" s="27" t="n"/>
      <c r="I975" s="27" t="n"/>
      <c r="J975" s="27" t="n"/>
      <c r="K975" s="27" t="n"/>
      <c r="L975" s="27" t="n"/>
      <c r="M975" s="27" t="n"/>
      <c r="N975" s="23" t="n"/>
      <c r="O975" s="29" t="n"/>
      <c r="P975" s="29" t="n"/>
      <c r="Q975" s="29" t="n"/>
      <c r="R975" s="29" t="n"/>
      <c r="S975" s="29" t="n"/>
      <c r="T975" s="29" t="n"/>
      <c r="U975" s="29" t="n"/>
      <c r="V975" s="30">
        <f>IF(OR($A975="",$U975=""),"",IF($S975&lt;&gt;"",MAX(0,$S975-$U975),MAX(0,TODAY()-$U975)))</f>
        <v/>
      </c>
      <c r="W975" s="30">
        <f>IF($A975="","",IF(OR($N975="Live",$N975="Retired"),"",TODAY()-MAX($O975,$P975,$Q975,$R975)))</f>
        <v/>
      </c>
      <c r="X975" s="23" t="n"/>
      <c r="Y975" s="30">
        <f>IF($A975="","",COUNTIFS('Issues Log'!$C$5:$C$504,$A975,'Issues Log'!$K$5:$K$504,"Open")+COUNTIFS('Issues Log'!$C$5:$C$504,$A975,'Issues Log'!$K$5:$K$504,"In progress"))</f>
        <v/>
      </c>
      <c r="Z975" s="27" t="n"/>
    </row>
    <row r="976">
      <c r="A976" s="27" t="n"/>
      <c r="B976" s="27" t="n"/>
      <c r="C976" s="27" t="n"/>
      <c r="D976" s="28">
        <f>IF($C976="","",IFERROR(INDEX('Topic Plan'!$C$5:$C$115,MATCH($C976,'Topic Plan'!$B$5:$B$115,0)),"UNKNOWN TOPIC ID"))</f>
        <v/>
      </c>
      <c r="E976" s="28">
        <f>IF($C976="","",IFERROR(INDEX('Topic Plan'!$D$5:$D$115,MATCH($C976,'Topic Plan'!$B$5:$B$115,0)),""))</f>
        <v/>
      </c>
      <c r="F976" s="28">
        <f>IF($C976="","",IFERROR(INDEX('Topic Plan'!$E$5:$E$115,MATCH($C976,'Topic Plan'!$B$5:$B$115,0)),""))</f>
        <v/>
      </c>
      <c r="G976" s="23" t="n"/>
      <c r="H976" s="27" t="n"/>
      <c r="I976" s="27" t="n"/>
      <c r="J976" s="27" t="n"/>
      <c r="K976" s="27" t="n"/>
      <c r="L976" s="27" t="n"/>
      <c r="M976" s="27" t="n"/>
      <c r="N976" s="23" t="n"/>
      <c r="O976" s="29" t="n"/>
      <c r="P976" s="29" t="n"/>
      <c r="Q976" s="29" t="n"/>
      <c r="R976" s="29" t="n"/>
      <c r="S976" s="29" t="n"/>
      <c r="T976" s="29" t="n"/>
      <c r="U976" s="29" t="n"/>
      <c r="V976" s="30">
        <f>IF(OR($A976="",$U976=""),"",IF($S976&lt;&gt;"",MAX(0,$S976-$U976),MAX(0,TODAY()-$U976)))</f>
        <v/>
      </c>
      <c r="W976" s="30">
        <f>IF($A976="","",IF(OR($N976="Live",$N976="Retired"),"",TODAY()-MAX($O976,$P976,$Q976,$R976)))</f>
        <v/>
      </c>
      <c r="X976" s="23" t="n"/>
      <c r="Y976" s="30">
        <f>IF($A976="","",COUNTIFS('Issues Log'!$C$5:$C$504,$A976,'Issues Log'!$K$5:$K$504,"Open")+COUNTIFS('Issues Log'!$C$5:$C$504,$A976,'Issues Log'!$K$5:$K$504,"In progress"))</f>
        <v/>
      </c>
      <c r="Z976" s="27" t="n"/>
    </row>
    <row r="977">
      <c r="A977" s="27" t="n"/>
      <c r="B977" s="27" t="n"/>
      <c r="C977" s="27" t="n"/>
      <c r="D977" s="28">
        <f>IF($C977="","",IFERROR(INDEX('Topic Plan'!$C$5:$C$115,MATCH($C977,'Topic Plan'!$B$5:$B$115,0)),"UNKNOWN TOPIC ID"))</f>
        <v/>
      </c>
      <c r="E977" s="28">
        <f>IF($C977="","",IFERROR(INDEX('Topic Plan'!$D$5:$D$115,MATCH($C977,'Topic Plan'!$B$5:$B$115,0)),""))</f>
        <v/>
      </c>
      <c r="F977" s="28">
        <f>IF($C977="","",IFERROR(INDEX('Topic Plan'!$E$5:$E$115,MATCH($C977,'Topic Plan'!$B$5:$B$115,0)),""))</f>
        <v/>
      </c>
      <c r="G977" s="23" t="n"/>
      <c r="H977" s="27" t="n"/>
      <c r="I977" s="27" t="n"/>
      <c r="J977" s="27" t="n"/>
      <c r="K977" s="27" t="n"/>
      <c r="L977" s="27" t="n"/>
      <c r="M977" s="27" t="n"/>
      <c r="N977" s="23" t="n"/>
      <c r="O977" s="29" t="n"/>
      <c r="P977" s="29" t="n"/>
      <c r="Q977" s="29" t="n"/>
      <c r="R977" s="29" t="n"/>
      <c r="S977" s="29" t="n"/>
      <c r="T977" s="29" t="n"/>
      <c r="U977" s="29" t="n"/>
      <c r="V977" s="30">
        <f>IF(OR($A977="",$U977=""),"",IF($S977&lt;&gt;"",MAX(0,$S977-$U977),MAX(0,TODAY()-$U977)))</f>
        <v/>
      </c>
      <c r="W977" s="30">
        <f>IF($A977="","",IF(OR($N977="Live",$N977="Retired"),"",TODAY()-MAX($O977,$P977,$Q977,$R977)))</f>
        <v/>
      </c>
      <c r="X977" s="23" t="n"/>
      <c r="Y977" s="30">
        <f>IF($A977="","",COUNTIFS('Issues Log'!$C$5:$C$504,$A977,'Issues Log'!$K$5:$K$504,"Open")+COUNTIFS('Issues Log'!$C$5:$C$504,$A977,'Issues Log'!$K$5:$K$504,"In progress"))</f>
        <v/>
      </c>
      <c r="Z977" s="27" t="n"/>
    </row>
    <row r="978">
      <c r="A978" s="27" t="n"/>
      <c r="B978" s="27" t="n"/>
      <c r="C978" s="27" t="n"/>
      <c r="D978" s="28">
        <f>IF($C978="","",IFERROR(INDEX('Topic Plan'!$C$5:$C$115,MATCH($C978,'Topic Plan'!$B$5:$B$115,0)),"UNKNOWN TOPIC ID"))</f>
        <v/>
      </c>
      <c r="E978" s="28">
        <f>IF($C978="","",IFERROR(INDEX('Topic Plan'!$D$5:$D$115,MATCH($C978,'Topic Plan'!$B$5:$B$115,0)),""))</f>
        <v/>
      </c>
      <c r="F978" s="28">
        <f>IF($C978="","",IFERROR(INDEX('Topic Plan'!$E$5:$E$115,MATCH($C978,'Topic Plan'!$B$5:$B$115,0)),""))</f>
        <v/>
      </c>
      <c r="G978" s="23" t="n"/>
      <c r="H978" s="27" t="n"/>
      <c r="I978" s="27" t="n"/>
      <c r="J978" s="27" t="n"/>
      <c r="K978" s="27" t="n"/>
      <c r="L978" s="27" t="n"/>
      <c r="M978" s="27" t="n"/>
      <c r="N978" s="23" t="n"/>
      <c r="O978" s="29" t="n"/>
      <c r="P978" s="29" t="n"/>
      <c r="Q978" s="29" t="n"/>
      <c r="R978" s="29" t="n"/>
      <c r="S978" s="29" t="n"/>
      <c r="T978" s="29" t="n"/>
      <c r="U978" s="29" t="n"/>
      <c r="V978" s="30">
        <f>IF(OR($A978="",$U978=""),"",IF($S978&lt;&gt;"",MAX(0,$S978-$U978),MAX(0,TODAY()-$U978)))</f>
        <v/>
      </c>
      <c r="W978" s="30">
        <f>IF($A978="","",IF(OR($N978="Live",$N978="Retired"),"",TODAY()-MAX($O978,$P978,$Q978,$R978)))</f>
        <v/>
      </c>
      <c r="X978" s="23" t="n"/>
      <c r="Y978" s="30">
        <f>IF($A978="","",COUNTIFS('Issues Log'!$C$5:$C$504,$A978,'Issues Log'!$K$5:$K$504,"Open")+COUNTIFS('Issues Log'!$C$5:$C$504,$A978,'Issues Log'!$K$5:$K$504,"In progress"))</f>
        <v/>
      </c>
      <c r="Z978" s="27" t="n"/>
    </row>
    <row r="979">
      <c r="A979" s="27" t="n"/>
      <c r="B979" s="27" t="n"/>
      <c r="C979" s="27" t="n"/>
      <c r="D979" s="28">
        <f>IF($C979="","",IFERROR(INDEX('Topic Plan'!$C$5:$C$115,MATCH($C979,'Topic Plan'!$B$5:$B$115,0)),"UNKNOWN TOPIC ID"))</f>
        <v/>
      </c>
      <c r="E979" s="28">
        <f>IF($C979="","",IFERROR(INDEX('Topic Plan'!$D$5:$D$115,MATCH($C979,'Topic Plan'!$B$5:$B$115,0)),""))</f>
        <v/>
      </c>
      <c r="F979" s="28">
        <f>IF($C979="","",IFERROR(INDEX('Topic Plan'!$E$5:$E$115,MATCH($C979,'Topic Plan'!$B$5:$B$115,0)),""))</f>
        <v/>
      </c>
      <c r="G979" s="23" t="n"/>
      <c r="H979" s="27" t="n"/>
      <c r="I979" s="27" t="n"/>
      <c r="J979" s="27" t="n"/>
      <c r="K979" s="27" t="n"/>
      <c r="L979" s="27" t="n"/>
      <c r="M979" s="27" t="n"/>
      <c r="N979" s="23" t="n"/>
      <c r="O979" s="29" t="n"/>
      <c r="P979" s="29" t="n"/>
      <c r="Q979" s="29" t="n"/>
      <c r="R979" s="29" t="n"/>
      <c r="S979" s="29" t="n"/>
      <c r="T979" s="29" t="n"/>
      <c r="U979" s="29" t="n"/>
      <c r="V979" s="30">
        <f>IF(OR($A979="",$U979=""),"",IF($S979&lt;&gt;"",MAX(0,$S979-$U979),MAX(0,TODAY()-$U979)))</f>
        <v/>
      </c>
      <c r="W979" s="30">
        <f>IF($A979="","",IF(OR($N979="Live",$N979="Retired"),"",TODAY()-MAX($O979,$P979,$Q979,$R979)))</f>
        <v/>
      </c>
      <c r="X979" s="23" t="n"/>
      <c r="Y979" s="30">
        <f>IF($A979="","",COUNTIFS('Issues Log'!$C$5:$C$504,$A979,'Issues Log'!$K$5:$K$504,"Open")+COUNTIFS('Issues Log'!$C$5:$C$504,$A979,'Issues Log'!$K$5:$K$504,"In progress"))</f>
        <v/>
      </c>
      <c r="Z979" s="27" t="n"/>
    </row>
    <row r="980">
      <c r="A980" s="27" t="n"/>
      <c r="B980" s="27" t="n"/>
      <c r="C980" s="27" t="n"/>
      <c r="D980" s="28">
        <f>IF($C980="","",IFERROR(INDEX('Topic Plan'!$C$5:$C$115,MATCH($C980,'Topic Plan'!$B$5:$B$115,0)),"UNKNOWN TOPIC ID"))</f>
        <v/>
      </c>
      <c r="E980" s="28">
        <f>IF($C980="","",IFERROR(INDEX('Topic Plan'!$D$5:$D$115,MATCH($C980,'Topic Plan'!$B$5:$B$115,0)),""))</f>
        <v/>
      </c>
      <c r="F980" s="28">
        <f>IF($C980="","",IFERROR(INDEX('Topic Plan'!$E$5:$E$115,MATCH($C980,'Topic Plan'!$B$5:$B$115,0)),""))</f>
        <v/>
      </c>
      <c r="G980" s="23" t="n"/>
      <c r="H980" s="27" t="n"/>
      <c r="I980" s="27" t="n"/>
      <c r="J980" s="27" t="n"/>
      <c r="K980" s="27" t="n"/>
      <c r="L980" s="27" t="n"/>
      <c r="M980" s="27" t="n"/>
      <c r="N980" s="23" t="n"/>
      <c r="O980" s="29" t="n"/>
      <c r="P980" s="29" t="n"/>
      <c r="Q980" s="29" t="n"/>
      <c r="R980" s="29" t="n"/>
      <c r="S980" s="29" t="n"/>
      <c r="T980" s="29" t="n"/>
      <c r="U980" s="29" t="n"/>
      <c r="V980" s="30">
        <f>IF(OR($A980="",$U980=""),"",IF($S980&lt;&gt;"",MAX(0,$S980-$U980),MAX(0,TODAY()-$U980)))</f>
        <v/>
      </c>
      <c r="W980" s="30">
        <f>IF($A980="","",IF(OR($N980="Live",$N980="Retired"),"",TODAY()-MAX($O980,$P980,$Q980,$R980)))</f>
        <v/>
      </c>
      <c r="X980" s="23" t="n"/>
      <c r="Y980" s="30">
        <f>IF($A980="","",COUNTIFS('Issues Log'!$C$5:$C$504,$A980,'Issues Log'!$K$5:$K$504,"Open")+COUNTIFS('Issues Log'!$C$5:$C$504,$A980,'Issues Log'!$K$5:$K$504,"In progress"))</f>
        <v/>
      </c>
      <c r="Z980" s="27" t="n"/>
    </row>
    <row r="981">
      <c r="A981" s="27" t="n"/>
      <c r="B981" s="27" t="n"/>
      <c r="C981" s="27" t="n"/>
      <c r="D981" s="28">
        <f>IF($C981="","",IFERROR(INDEX('Topic Plan'!$C$5:$C$115,MATCH($C981,'Topic Plan'!$B$5:$B$115,0)),"UNKNOWN TOPIC ID"))</f>
        <v/>
      </c>
      <c r="E981" s="28">
        <f>IF($C981="","",IFERROR(INDEX('Topic Plan'!$D$5:$D$115,MATCH($C981,'Topic Plan'!$B$5:$B$115,0)),""))</f>
        <v/>
      </c>
      <c r="F981" s="28">
        <f>IF($C981="","",IFERROR(INDEX('Topic Plan'!$E$5:$E$115,MATCH($C981,'Topic Plan'!$B$5:$B$115,0)),""))</f>
        <v/>
      </c>
      <c r="G981" s="23" t="n"/>
      <c r="H981" s="27" t="n"/>
      <c r="I981" s="27" t="n"/>
      <c r="J981" s="27" t="n"/>
      <c r="K981" s="27" t="n"/>
      <c r="L981" s="27" t="n"/>
      <c r="M981" s="27" t="n"/>
      <c r="N981" s="23" t="n"/>
      <c r="O981" s="29" t="n"/>
      <c r="P981" s="29" t="n"/>
      <c r="Q981" s="29" t="n"/>
      <c r="R981" s="29" t="n"/>
      <c r="S981" s="29" t="n"/>
      <c r="T981" s="29" t="n"/>
      <c r="U981" s="29" t="n"/>
      <c r="V981" s="30">
        <f>IF(OR($A981="",$U981=""),"",IF($S981&lt;&gt;"",MAX(0,$S981-$U981),MAX(0,TODAY()-$U981)))</f>
        <v/>
      </c>
      <c r="W981" s="30">
        <f>IF($A981="","",IF(OR($N981="Live",$N981="Retired"),"",TODAY()-MAX($O981,$P981,$Q981,$R981)))</f>
        <v/>
      </c>
      <c r="X981" s="23" t="n"/>
      <c r="Y981" s="30">
        <f>IF($A981="","",COUNTIFS('Issues Log'!$C$5:$C$504,$A981,'Issues Log'!$K$5:$K$504,"Open")+COUNTIFS('Issues Log'!$C$5:$C$504,$A981,'Issues Log'!$K$5:$K$504,"In progress"))</f>
        <v/>
      </c>
      <c r="Z981" s="27" t="n"/>
    </row>
    <row r="982">
      <c r="A982" s="27" t="n"/>
      <c r="B982" s="27" t="n"/>
      <c r="C982" s="27" t="n"/>
      <c r="D982" s="28">
        <f>IF($C982="","",IFERROR(INDEX('Topic Plan'!$C$5:$C$115,MATCH($C982,'Topic Plan'!$B$5:$B$115,0)),"UNKNOWN TOPIC ID"))</f>
        <v/>
      </c>
      <c r="E982" s="28">
        <f>IF($C982="","",IFERROR(INDEX('Topic Plan'!$D$5:$D$115,MATCH($C982,'Topic Plan'!$B$5:$B$115,0)),""))</f>
        <v/>
      </c>
      <c r="F982" s="28">
        <f>IF($C982="","",IFERROR(INDEX('Topic Plan'!$E$5:$E$115,MATCH($C982,'Topic Plan'!$B$5:$B$115,0)),""))</f>
        <v/>
      </c>
      <c r="G982" s="23" t="n"/>
      <c r="H982" s="27" t="n"/>
      <c r="I982" s="27" t="n"/>
      <c r="J982" s="27" t="n"/>
      <c r="K982" s="27" t="n"/>
      <c r="L982" s="27" t="n"/>
      <c r="M982" s="27" t="n"/>
      <c r="N982" s="23" t="n"/>
      <c r="O982" s="29" t="n"/>
      <c r="P982" s="29" t="n"/>
      <c r="Q982" s="29" t="n"/>
      <c r="R982" s="29" t="n"/>
      <c r="S982" s="29" t="n"/>
      <c r="T982" s="29" t="n"/>
      <c r="U982" s="29" t="n"/>
      <c r="V982" s="30">
        <f>IF(OR($A982="",$U982=""),"",IF($S982&lt;&gt;"",MAX(0,$S982-$U982),MAX(0,TODAY()-$U982)))</f>
        <v/>
      </c>
      <c r="W982" s="30">
        <f>IF($A982="","",IF(OR($N982="Live",$N982="Retired"),"",TODAY()-MAX($O982,$P982,$Q982,$R982)))</f>
        <v/>
      </c>
      <c r="X982" s="23" t="n"/>
      <c r="Y982" s="30">
        <f>IF($A982="","",COUNTIFS('Issues Log'!$C$5:$C$504,$A982,'Issues Log'!$K$5:$K$504,"Open")+COUNTIFS('Issues Log'!$C$5:$C$504,$A982,'Issues Log'!$K$5:$K$504,"In progress"))</f>
        <v/>
      </c>
      <c r="Z982" s="27" t="n"/>
    </row>
    <row r="983">
      <c r="A983" s="27" t="n"/>
      <c r="B983" s="27" t="n"/>
      <c r="C983" s="27" t="n"/>
      <c r="D983" s="28">
        <f>IF($C983="","",IFERROR(INDEX('Topic Plan'!$C$5:$C$115,MATCH($C983,'Topic Plan'!$B$5:$B$115,0)),"UNKNOWN TOPIC ID"))</f>
        <v/>
      </c>
      <c r="E983" s="28">
        <f>IF($C983="","",IFERROR(INDEX('Topic Plan'!$D$5:$D$115,MATCH($C983,'Topic Plan'!$B$5:$B$115,0)),""))</f>
        <v/>
      </c>
      <c r="F983" s="28">
        <f>IF($C983="","",IFERROR(INDEX('Topic Plan'!$E$5:$E$115,MATCH($C983,'Topic Plan'!$B$5:$B$115,0)),""))</f>
        <v/>
      </c>
      <c r="G983" s="23" t="n"/>
      <c r="H983" s="27" t="n"/>
      <c r="I983" s="27" t="n"/>
      <c r="J983" s="27" t="n"/>
      <c r="K983" s="27" t="n"/>
      <c r="L983" s="27" t="n"/>
      <c r="M983" s="27" t="n"/>
      <c r="N983" s="23" t="n"/>
      <c r="O983" s="29" t="n"/>
      <c r="P983" s="29" t="n"/>
      <c r="Q983" s="29" t="n"/>
      <c r="R983" s="29" t="n"/>
      <c r="S983" s="29" t="n"/>
      <c r="T983" s="29" t="n"/>
      <c r="U983" s="29" t="n"/>
      <c r="V983" s="30">
        <f>IF(OR($A983="",$U983=""),"",IF($S983&lt;&gt;"",MAX(0,$S983-$U983),MAX(0,TODAY()-$U983)))</f>
        <v/>
      </c>
      <c r="W983" s="30">
        <f>IF($A983="","",IF(OR($N983="Live",$N983="Retired"),"",TODAY()-MAX($O983,$P983,$Q983,$R983)))</f>
        <v/>
      </c>
      <c r="X983" s="23" t="n"/>
      <c r="Y983" s="30">
        <f>IF($A983="","",COUNTIFS('Issues Log'!$C$5:$C$504,$A983,'Issues Log'!$K$5:$K$504,"Open")+COUNTIFS('Issues Log'!$C$5:$C$504,$A983,'Issues Log'!$K$5:$K$504,"In progress"))</f>
        <v/>
      </c>
      <c r="Z983" s="27" t="n"/>
    </row>
    <row r="984">
      <c r="A984" s="27" t="n"/>
      <c r="B984" s="27" t="n"/>
      <c r="C984" s="27" t="n"/>
      <c r="D984" s="28">
        <f>IF($C984="","",IFERROR(INDEX('Topic Plan'!$C$5:$C$115,MATCH($C984,'Topic Plan'!$B$5:$B$115,0)),"UNKNOWN TOPIC ID"))</f>
        <v/>
      </c>
      <c r="E984" s="28">
        <f>IF($C984="","",IFERROR(INDEX('Topic Plan'!$D$5:$D$115,MATCH($C984,'Topic Plan'!$B$5:$B$115,0)),""))</f>
        <v/>
      </c>
      <c r="F984" s="28">
        <f>IF($C984="","",IFERROR(INDEX('Topic Plan'!$E$5:$E$115,MATCH($C984,'Topic Plan'!$B$5:$B$115,0)),""))</f>
        <v/>
      </c>
      <c r="G984" s="23" t="n"/>
      <c r="H984" s="27" t="n"/>
      <c r="I984" s="27" t="n"/>
      <c r="J984" s="27" t="n"/>
      <c r="K984" s="27" t="n"/>
      <c r="L984" s="27" t="n"/>
      <c r="M984" s="27" t="n"/>
      <c r="N984" s="23" t="n"/>
      <c r="O984" s="29" t="n"/>
      <c r="P984" s="29" t="n"/>
      <c r="Q984" s="29" t="n"/>
      <c r="R984" s="29" t="n"/>
      <c r="S984" s="29" t="n"/>
      <c r="T984" s="29" t="n"/>
      <c r="U984" s="29" t="n"/>
      <c r="V984" s="30">
        <f>IF(OR($A984="",$U984=""),"",IF($S984&lt;&gt;"",MAX(0,$S984-$U984),MAX(0,TODAY()-$U984)))</f>
        <v/>
      </c>
      <c r="W984" s="30">
        <f>IF($A984="","",IF(OR($N984="Live",$N984="Retired"),"",TODAY()-MAX($O984,$P984,$Q984,$R984)))</f>
        <v/>
      </c>
      <c r="X984" s="23" t="n"/>
      <c r="Y984" s="30">
        <f>IF($A984="","",COUNTIFS('Issues Log'!$C$5:$C$504,$A984,'Issues Log'!$K$5:$K$504,"Open")+COUNTIFS('Issues Log'!$C$5:$C$504,$A984,'Issues Log'!$K$5:$K$504,"In progress"))</f>
        <v/>
      </c>
      <c r="Z984" s="27" t="n"/>
    </row>
    <row r="985">
      <c r="A985" s="27" t="n"/>
      <c r="B985" s="27" t="n"/>
      <c r="C985" s="27" t="n"/>
      <c r="D985" s="28">
        <f>IF($C985="","",IFERROR(INDEX('Topic Plan'!$C$5:$C$115,MATCH($C985,'Topic Plan'!$B$5:$B$115,0)),"UNKNOWN TOPIC ID"))</f>
        <v/>
      </c>
      <c r="E985" s="28">
        <f>IF($C985="","",IFERROR(INDEX('Topic Plan'!$D$5:$D$115,MATCH($C985,'Topic Plan'!$B$5:$B$115,0)),""))</f>
        <v/>
      </c>
      <c r="F985" s="28">
        <f>IF($C985="","",IFERROR(INDEX('Topic Plan'!$E$5:$E$115,MATCH($C985,'Topic Plan'!$B$5:$B$115,0)),""))</f>
        <v/>
      </c>
      <c r="G985" s="23" t="n"/>
      <c r="H985" s="27" t="n"/>
      <c r="I985" s="27" t="n"/>
      <c r="J985" s="27" t="n"/>
      <c r="K985" s="27" t="n"/>
      <c r="L985" s="27" t="n"/>
      <c r="M985" s="27" t="n"/>
      <c r="N985" s="23" t="n"/>
      <c r="O985" s="29" t="n"/>
      <c r="P985" s="29" t="n"/>
      <c r="Q985" s="29" t="n"/>
      <c r="R985" s="29" t="n"/>
      <c r="S985" s="29" t="n"/>
      <c r="T985" s="29" t="n"/>
      <c r="U985" s="29" t="n"/>
      <c r="V985" s="30">
        <f>IF(OR($A985="",$U985=""),"",IF($S985&lt;&gt;"",MAX(0,$S985-$U985),MAX(0,TODAY()-$U985)))</f>
        <v/>
      </c>
      <c r="W985" s="30">
        <f>IF($A985="","",IF(OR($N985="Live",$N985="Retired"),"",TODAY()-MAX($O985,$P985,$Q985,$R985)))</f>
        <v/>
      </c>
      <c r="X985" s="23" t="n"/>
      <c r="Y985" s="30">
        <f>IF($A985="","",COUNTIFS('Issues Log'!$C$5:$C$504,$A985,'Issues Log'!$K$5:$K$504,"Open")+COUNTIFS('Issues Log'!$C$5:$C$504,$A985,'Issues Log'!$K$5:$K$504,"In progress"))</f>
        <v/>
      </c>
      <c r="Z985" s="27" t="n"/>
    </row>
    <row r="986">
      <c r="A986" s="27" t="n"/>
      <c r="B986" s="27" t="n"/>
      <c r="C986" s="27" t="n"/>
      <c r="D986" s="28">
        <f>IF($C986="","",IFERROR(INDEX('Topic Plan'!$C$5:$C$115,MATCH($C986,'Topic Plan'!$B$5:$B$115,0)),"UNKNOWN TOPIC ID"))</f>
        <v/>
      </c>
      <c r="E986" s="28">
        <f>IF($C986="","",IFERROR(INDEX('Topic Plan'!$D$5:$D$115,MATCH($C986,'Topic Plan'!$B$5:$B$115,0)),""))</f>
        <v/>
      </c>
      <c r="F986" s="28">
        <f>IF($C986="","",IFERROR(INDEX('Topic Plan'!$E$5:$E$115,MATCH($C986,'Topic Plan'!$B$5:$B$115,0)),""))</f>
        <v/>
      </c>
      <c r="G986" s="23" t="n"/>
      <c r="H986" s="27" t="n"/>
      <c r="I986" s="27" t="n"/>
      <c r="J986" s="27" t="n"/>
      <c r="K986" s="27" t="n"/>
      <c r="L986" s="27" t="n"/>
      <c r="M986" s="27" t="n"/>
      <c r="N986" s="23" t="n"/>
      <c r="O986" s="29" t="n"/>
      <c r="P986" s="29" t="n"/>
      <c r="Q986" s="29" t="n"/>
      <c r="R986" s="29" t="n"/>
      <c r="S986" s="29" t="n"/>
      <c r="T986" s="29" t="n"/>
      <c r="U986" s="29" t="n"/>
      <c r="V986" s="30">
        <f>IF(OR($A986="",$U986=""),"",IF($S986&lt;&gt;"",MAX(0,$S986-$U986),MAX(0,TODAY()-$U986)))</f>
        <v/>
      </c>
      <c r="W986" s="30">
        <f>IF($A986="","",IF(OR($N986="Live",$N986="Retired"),"",TODAY()-MAX($O986,$P986,$Q986,$R986)))</f>
        <v/>
      </c>
      <c r="X986" s="23" t="n"/>
      <c r="Y986" s="30">
        <f>IF($A986="","",COUNTIFS('Issues Log'!$C$5:$C$504,$A986,'Issues Log'!$K$5:$K$504,"Open")+COUNTIFS('Issues Log'!$C$5:$C$504,$A986,'Issues Log'!$K$5:$K$504,"In progress"))</f>
        <v/>
      </c>
      <c r="Z986" s="27" t="n"/>
    </row>
    <row r="987">
      <c r="A987" s="27" t="n"/>
      <c r="B987" s="27" t="n"/>
      <c r="C987" s="27" t="n"/>
      <c r="D987" s="28">
        <f>IF($C987="","",IFERROR(INDEX('Topic Plan'!$C$5:$C$115,MATCH($C987,'Topic Plan'!$B$5:$B$115,0)),"UNKNOWN TOPIC ID"))</f>
        <v/>
      </c>
      <c r="E987" s="28">
        <f>IF($C987="","",IFERROR(INDEX('Topic Plan'!$D$5:$D$115,MATCH($C987,'Topic Plan'!$B$5:$B$115,0)),""))</f>
        <v/>
      </c>
      <c r="F987" s="28">
        <f>IF($C987="","",IFERROR(INDEX('Topic Plan'!$E$5:$E$115,MATCH($C987,'Topic Plan'!$B$5:$B$115,0)),""))</f>
        <v/>
      </c>
      <c r="G987" s="23" t="n"/>
      <c r="H987" s="27" t="n"/>
      <c r="I987" s="27" t="n"/>
      <c r="J987" s="27" t="n"/>
      <c r="K987" s="27" t="n"/>
      <c r="L987" s="27" t="n"/>
      <c r="M987" s="27" t="n"/>
      <c r="N987" s="23" t="n"/>
      <c r="O987" s="29" t="n"/>
      <c r="P987" s="29" t="n"/>
      <c r="Q987" s="29" t="n"/>
      <c r="R987" s="29" t="n"/>
      <c r="S987" s="29" t="n"/>
      <c r="T987" s="29" t="n"/>
      <c r="U987" s="29" t="n"/>
      <c r="V987" s="30">
        <f>IF(OR($A987="",$U987=""),"",IF($S987&lt;&gt;"",MAX(0,$S987-$U987),MAX(0,TODAY()-$U987)))</f>
        <v/>
      </c>
      <c r="W987" s="30">
        <f>IF($A987="","",IF(OR($N987="Live",$N987="Retired"),"",TODAY()-MAX($O987,$P987,$Q987,$R987)))</f>
        <v/>
      </c>
      <c r="X987" s="23" t="n"/>
      <c r="Y987" s="30">
        <f>IF($A987="","",COUNTIFS('Issues Log'!$C$5:$C$504,$A987,'Issues Log'!$K$5:$K$504,"Open")+COUNTIFS('Issues Log'!$C$5:$C$504,$A987,'Issues Log'!$K$5:$K$504,"In progress"))</f>
        <v/>
      </c>
      <c r="Z987" s="27" t="n"/>
    </row>
    <row r="988">
      <c r="A988" s="27" t="n"/>
      <c r="B988" s="27" t="n"/>
      <c r="C988" s="27" t="n"/>
      <c r="D988" s="28">
        <f>IF($C988="","",IFERROR(INDEX('Topic Plan'!$C$5:$C$115,MATCH($C988,'Topic Plan'!$B$5:$B$115,0)),"UNKNOWN TOPIC ID"))</f>
        <v/>
      </c>
      <c r="E988" s="28">
        <f>IF($C988="","",IFERROR(INDEX('Topic Plan'!$D$5:$D$115,MATCH($C988,'Topic Plan'!$B$5:$B$115,0)),""))</f>
        <v/>
      </c>
      <c r="F988" s="28">
        <f>IF($C988="","",IFERROR(INDEX('Topic Plan'!$E$5:$E$115,MATCH($C988,'Topic Plan'!$B$5:$B$115,0)),""))</f>
        <v/>
      </c>
      <c r="G988" s="23" t="n"/>
      <c r="H988" s="27" t="n"/>
      <c r="I988" s="27" t="n"/>
      <c r="J988" s="27" t="n"/>
      <c r="K988" s="27" t="n"/>
      <c r="L988" s="27" t="n"/>
      <c r="M988" s="27" t="n"/>
      <c r="N988" s="23" t="n"/>
      <c r="O988" s="29" t="n"/>
      <c r="P988" s="29" t="n"/>
      <c r="Q988" s="29" t="n"/>
      <c r="R988" s="29" t="n"/>
      <c r="S988" s="29" t="n"/>
      <c r="T988" s="29" t="n"/>
      <c r="U988" s="29" t="n"/>
      <c r="V988" s="30">
        <f>IF(OR($A988="",$U988=""),"",IF($S988&lt;&gt;"",MAX(0,$S988-$U988),MAX(0,TODAY()-$U988)))</f>
        <v/>
      </c>
      <c r="W988" s="30">
        <f>IF($A988="","",IF(OR($N988="Live",$N988="Retired"),"",TODAY()-MAX($O988,$P988,$Q988,$R988)))</f>
        <v/>
      </c>
      <c r="X988" s="23" t="n"/>
      <c r="Y988" s="30">
        <f>IF($A988="","",COUNTIFS('Issues Log'!$C$5:$C$504,$A988,'Issues Log'!$K$5:$K$504,"Open")+COUNTIFS('Issues Log'!$C$5:$C$504,$A988,'Issues Log'!$K$5:$K$504,"In progress"))</f>
        <v/>
      </c>
      <c r="Z988" s="27" t="n"/>
    </row>
    <row r="989">
      <c r="A989" s="27" t="n"/>
      <c r="B989" s="27" t="n"/>
      <c r="C989" s="27" t="n"/>
      <c r="D989" s="28">
        <f>IF($C989="","",IFERROR(INDEX('Topic Plan'!$C$5:$C$115,MATCH($C989,'Topic Plan'!$B$5:$B$115,0)),"UNKNOWN TOPIC ID"))</f>
        <v/>
      </c>
      <c r="E989" s="28">
        <f>IF($C989="","",IFERROR(INDEX('Topic Plan'!$D$5:$D$115,MATCH($C989,'Topic Plan'!$B$5:$B$115,0)),""))</f>
        <v/>
      </c>
      <c r="F989" s="28">
        <f>IF($C989="","",IFERROR(INDEX('Topic Plan'!$E$5:$E$115,MATCH($C989,'Topic Plan'!$B$5:$B$115,0)),""))</f>
        <v/>
      </c>
      <c r="G989" s="23" t="n"/>
      <c r="H989" s="27" t="n"/>
      <c r="I989" s="27" t="n"/>
      <c r="J989" s="27" t="n"/>
      <c r="K989" s="27" t="n"/>
      <c r="L989" s="27" t="n"/>
      <c r="M989" s="27" t="n"/>
      <c r="N989" s="23" t="n"/>
      <c r="O989" s="29" t="n"/>
      <c r="P989" s="29" t="n"/>
      <c r="Q989" s="29" t="n"/>
      <c r="R989" s="29" t="n"/>
      <c r="S989" s="29" t="n"/>
      <c r="T989" s="29" t="n"/>
      <c r="U989" s="29" t="n"/>
      <c r="V989" s="30">
        <f>IF(OR($A989="",$U989=""),"",IF($S989&lt;&gt;"",MAX(0,$S989-$U989),MAX(0,TODAY()-$U989)))</f>
        <v/>
      </c>
      <c r="W989" s="30">
        <f>IF($A989="","",IF(OR($N989="Live",$N989="Retired"),"",TODAY()-MAX($O989,$P989,$Q989,$R989)))</f>
        <v/>
      </c>
      <c r="X989" s="23" t="n"/>
      <c r="Y989" s="30">
        <f>IF($A989="","",COUNTIFS('Issues Log'!$C$5:$C$504,$A989,'Issues Log'!$K$5:$K$504,"Open")+COUNTIFS('Issues Log'!$C$5:$C$504,$A989,'Issues Log'!$K$5:$K$504,"In progress"))</f>
        <v/>
      </c>
      <c r="Z989" s="27" t="n"/>
    </row>
    <row r="990">
      <c r="A990" s="27" t="n"/>
      <c r="B990" s="27" t="n"/>
      <c r="C990" s="27" t="n"/>
      <c r="D990" s="28">
        <f>IF($C990="","",IFERROR(INDEX('Topic Plan'!$C$5:$C$115,MATCH($C990,'Topic Plan'!$B$5:$B$115,0)),"UNKNOWN TOPIC ID"))</f>
        <v/>
      </c>
      <c r="E990" s="28">
        <f>IF($C990="","",IFERROR(INDEX('Topic Plan'!$D$5:$D$115,MATCH($C990,'Topic Plan'!$B$5:$B$115,0)),""))</f>
        <v/>
      </c>
      <c r="F990" s="28">
        <f>IF($C990="","",IFERROR(INDEX('Topic Plan'!$E$5:$E$115,MATCH($C990,'Topic Plan'!$B$5:$B$115,0)),""))</f>
        <v/>
      </c>
      <c r="G990" s="23" t="n"/>
      <c r="H990" s="27" t="n"/>
      <c r="I990" s="27" t="n"/>
      <c r="J990" s="27" t="n"/>
      <c r="K990" s="27" t="n"/>
      <c r="L990" s="27" t="n"/>
      <c r="M990" s="27" t="n"/>
      <c r="N990" s="23" t="n"/>
      <c r="O990" s="29" t="n"/>
      <c r="P990" s="29" t="n"/>
      <c r="Q990" s="29" t="n"/>
      <c r="R990" s="29" t="n"/>
      <c r="S990" s="29" t="n"/>
      <c r="T990" s="29" t="n"/>
      <c r="U990" s="29" t="n"/>
      <c r="V990" s="30">
        <f>IF(OR($A990="",$U990=""),"",IF($S990&lt;&gt;"",MAX(0,$S990-$U990),MAX(0,TODAY()-$U990)))</f>
        <v/>
      </c>
      <c r="W990" s="30">
        <f>IF($A990="","",IF(OR($N990="Live",$N990="Retired"),"",TODAY()-MAX($O990,$P990,$Q990,$R990)))</f>
        <v/>
      </c>
      <c r="X990" s="23" t="n"/>
      <c r="Y990" s="30">
        <f>IF($A990="","",COUNTIFS('Issues Log'!$C$5:$C$504,$A990,'Issues Log'!$K$5:$K$504,"Open")+COUNTIFS('Issues Log'!$C$5:$C$504,$A990,'Issues Log'!$K$5:$K$504,"In progress"))</f>
        <v/>
      </c>
      <c r="Z990" s="27" t="n"/>
    </row>
    <row r="991">
      <c r="A991" s="27" t="n"/>
      <c r="B991" s="27" t="n"/>
      <c r="C991" s="27" t="n"/>
      <c r="D991" s="28">
        <f>IF($C991="","",IFERROR(INDEX('Topic Plan'!$C$5:$C$115,MATCH($C991,'Topic Plan'!$B$5:$B$115,0)),"UNKNOWN TOPIC ID"))</f>
        <v/>
      </c>
      <c r="E991" s="28">
        <f>IF($C991="","",IFERROR(INDEX('Topic Plan'!$D$5:$D$115,MATCH($C991,'Topic Plan'!$B$5:$B$115,0)),""))</f>
        <v/>
      </c>
      <c r="F991" s="28">
        <f>IF($C991="","",IFERROR(INDEX('Topic Plan'!$E$5:$E$115,MATCH($C991,'Topic Plan'!$B$5:$B$115,0)),""))</f>
        <v/>
      </c>
      <c r="G991" s="23" t="n"/>
      <c r="H991" s="27" t="n"/>
      <c r="I991" s="27" t="n"/>
      <c r="J991" s="27" t="n"/>
      <c r="K991" s="27" t="n"/>
      <c r="L991" s="27" t="n"/>
      <c r="M991" s="27" t="n"/>
      <c r="N991" s="23" t="n"/>
      <c r="O991" s="29" t="n"/>
      <c r="P991" s="29" t="n"/>
      <c r="Q991" s="29" t="n"/>
      <c r="R991" s="29" t="n"/>
      <c r="S991" s="29" t="n"/>
      <c r="T991" s="29" t="n"/>
      <c r="U991" s="29" t="n"/>
      <c r="V991" s="30">
        <f>IF(OR($A991="",$U991=""),"",IF($S991&lt;&gt;"",MAX(0,$S991-$U991),MAX(0,TODAY()-$U991)))</f>
        <v/>
      </c>
      <c r="W991" s="30">
        <f>IF($A991="","",IF(OR($N991="Live",$N991="Retired"),"",TODAY()-MAX($O991,$P991,$Q991,$R991)))</f>
        <v/>
      </c>
      <c r="X991" s="23" t="n"/>
      <c r="Y991" s="30">
        <f>IF($A991="","",COUNTIFS('Issues Log'!$C$5:$C$504,$A991,'Issues Log'!$K$5:$K$504,"Open")+COUNTIFS('Issues Log'!$C$5:$C$504,$A991,'Issues Log'!$K$5:$K$504,"In progress"))</f>
        <v/>
      </c>
      <c r="Z991" s="27" t="n"/>
    </row>
    <row r="992">
      <c r="A992" s="27" t="n"/>
      <c r="B992" s="27" t="n"/>
      <c r="C992" s="27" t="n"/>
      <c r="D992" s="28">
        <f>IF($C992="","",IFERROR(INDEX('Topic Plan'!$C$5:$C$115,MATCH($C992,'Topic Plan'!$B$5:$B$115,0)),"UNKNOWN TOPIC ID"))</f>
        <v/>
      </c>
      <c r="E992" s="28">
        <f>IF($C992="","",IFERROR(INDEX('Topic Plan'!$D$5:$D$115,MATCH($C992,'Topic Plan'!$B$5:$B$115,0)),""))</f>
        <v/>
      </c>
      <c r="F992" s="28">
        <f>IF($C992="","",IFERROR(INDEX('Topic Plan'!$E$5:$E$115,MATCH($C992,'Topic Plan'!$B$5:$B$115,0)),""))</f>
        <v/>
      </c>
      <c r="G992" s="23" t="n"/>
      <c r="H992" s="27" t="n"/>
      <c r="I992" s="27" t="n"/>
      <c r="J992" s="27" t="n"/>
      <c r="K992" s="27" t="n"/>
      <c r="L992" s="27" t="n"/>
      <c r="M992" s="27" t="n"/>
      <c r="N992" s="23" t="n"/>
      <c r="O992" s="29" t="n"/>
      <c r="P992" s="29" t="n"/>
      <c r="Q992" s="29" t="n"/>
      <c r="R992" s="29" t="n"/>
      <c r="S992" s="29" t="n"/>
      <c r="T992" s="29" t="n"/>
      <c r="U992" s="29" t="n"/>
      <c r="V992" s="30">
        <f>IF(OR($A992="",$U992=""),"",IF($S992&lt;&gt;"",MAX(0,$S992-$U992),MAX(0,TODAY()-$U992)))</f>
        <v/>
      </c>
      <c r="W992" s="30">
        <f>IF($A992="","",IF(OR($N992="Live",$N992="Retired"),"",TODAY()-MAX($O992,$P992,$Q992,$R992)))</f>
        <v/>
      </c>
      <c r="X992" s="23" t="n"/>
      <c r="Y992" s="30">
        <f>IF($A992="","",COUNTIFS('Issues Log'!$C$5:$C$504,$A992,'Issues Log'!$K$5:$K$504,"Open")+COUNTIFS('Issues Log'!$C$5:$C$504,$A992,'Issues Log'!$K$5:$K$504,"In progress"))</f>
        <v/>
      </c>
      <c r="Z992" s="27" t="n"/>
    </row>
    <row r="993">
      <c r="A993" s="27" t="n"/>
      <c r="B993" s="27" t="n"/>
      <c r="C993" s="27" t="n"/>
      <c r="D993" s="28">
        <f>IF($C993="","",IFERROR(INDEX('Topic Plan'!$C$5:$C$115,MATCH($C993,'Topic Plan'!$B$5:$B$115,0)),"UNKNOWN TOPIC ID"))</f>
        <v/>
      </c>
      <c r="E993" s="28">
        <f>IF($C993="","",IFERROR(INDEX('Topic Plan'!$D$5:$D$115,MATCH($C993,'Topic Plan'!$B$5:$B$115,0)),""))</f>
        <v/>
      </c>
      <c r="F993" s="28">
        <f>IF($C993="","",IFERROR(INDEX('Topic Plan'!$E$5:$E$115,MATCH($C993,'Topic Plan'!$B$5:$B$115,0)),""))</f>
        <v/>
      </c>
      <c r="G993" s="23" t="n"/>
      <c r="H993" s="27" t="n"/>
      <c r="I993" s="27" t="n"/>
      <c r="J993" s="27" t="n"/>
      <c r="K993" s="27" t="n"/>
      <c r="L993" s="27" t="n"/>
      <c r="M993" s="27" t="n"/>
      <c r="N993" s="23" t="n"/>
      <c r="O993" s="29" t="n"/>
      <c r="P993" s="29" t="n"/>
      <c r="Q993" s="29" t="n"/>
      <c r="R993" s="29" t="n"/>
      <c r="S993" s="29" t="n"/>
      <c r="T993" s="29" t="n"/>
      <c r="U993" s="29" t="n"/>
      <c r="V993" s="30">
        <f>IF(OR($A993="",$U993=""),"",IF($S993&lt;&gt;"",MAX(0,$S993-$U993),MAX(0,TODAY()-$U993)))</f>
        <v/>
      </c>
      <c r="W993" s="30">
        <f>IF($A993="","",IF(OR($N993="Live",$N993="Retired"),"",TODAY()-MAX($O993,$P993,$Q993,$R993)))</f>
        <v/>
      </c>
      <c r="X993" s="23" t="n"/>
      <c r="Y993" s="30">
        <f>IF($A993="","",COUNTIFS('Issues Log'!$C$5:$C$504,$A993,'Issues Log'!$K$5:$K$504,"Open")+COUNTIFS('Issues Log'!$C$5:$C$504,$A993,'Issues Log'!$K$5:$K$504,"In progress"))</f>
        <v/>
      </c>
      <c r="Z993" s="27" t="n"/>
    </row>
    <row r="994">
      <c r="A994" s="27" t="n"/>
      <c r="B994" s="27" t="n"/>
      <c r="C994" s="27" t="n"/>
      <c r="D994" s="28">
        <f>IF($C994="","",IFERROR(INDEX('Topic Plan'!$C$5:$C$115,MATCH($C994,'Topic Plan'!$B$5:$B$115,0)),"UNKNOWN TOPIC ID"))</f>
        <v/>
      </c>
      <c r="E994" s="28">
        <f>IF($C994="","",IFERROR(INDEX('Topic Plan'!$D$5:$D$115,MATCH($C994,'Topic Plan'!$B$5:$B$115,0)),""))</f>
        <v/>
      </c>
      <c r="F994" s="28">
        <f>IF($C994="","",IFERROR(INDEX('Topic Plan'!$E$5:$E$115,MATCH($C994,'Topic Plan'!$B$5:$B$115,0)),""))</f>
        <v/>
      </c>
      <c r="G994" s="23" t="n"/>
      <c r="H994" s="27" t="n"/>
      <c r="I994" s="27" t="n"/>
      <c r="J994" s="27" t="n"/>
      <c r="K994" s="27" t="n"/>
      <c r="L994" s="27" t="n"/>
      <c r="M994" s="27" t="n"/>
      <c r="N994" s="23" t="n"/>
      <c r="O994" s="29" t="n"/>
      <c r="P994" s="29" t="n"/>
      <c r="Q994" s="29" t="n"/>
      <c r="R994" s="29" t="n"/>
      <c r="S994" s="29" t="n"/>
      <c r="T994" s="29" t="n"/>
      <c r="U994" s="29" t="n"/>
      <c r="V994" s="30">
        <f>IF(OR($A994="",$U994=""),"",IF($S994&lt;&gt;"",MAX(0,$S994-$U994),MAX(0,TODAY()-$U994)))</f>
        <v/>
      </c>
      <c r="W994" s="30">
        <f>IF($A994="","",IF(OR($N994="Live",$N994="Retired"),"",TODAY()-MAX($O994,$P994,$Q994,$R994)))</f>
        <v/>
      </c>
      <c r="X994" s="23" t="n"/>
      <c r="Y994" s="30">
        <f>IF($A994="","",COUNTIFS('Issues Log'!$C$5:$C$504,$A994,'Issues Log'!$K$5:$K$504,"Open")+COUNTIFS('Issues Log'!$C$5:$C$504,$A994,'Issues Log'!$K$5:$K$504,"In progress"))</f>
        <v/>
      </c>
      <c r="Z994" s="27" t="n"/>
    </row>
    <row r="995">
      <c r="A995" s="27" t="n"/>
      <c r="B995" s="27" t="n"/>
      <c r="C995" s="27" t="n"/>
      <c r="D995" s="28">
        <f>IF($C995="","",IFERROR(INDEX('Topic Plan'!$C$5:$C$115,MATCH($C995,'Topic Plan'!$B$5:$B$115,0)),"UNKNOWN TOPIC ID"))</f>
        <v/>
      </c>
      <c r="E995" s="28">
        <f>IF($C995="","",IFERROR(INDEX('Topic Plan'!$D$5:$D$115,MATCH($C995,'Topic Plan'!$B$5:$B$115,0)),""))</f>
        <v/>
      </c>
      <c r="F995" s="28">
        <f>IF($C995="","",IFERROR(INDEX('Topic Plan'!$E$5:$E$115,MATCH($C995,'Topic Plan'!$B$5:$B$115,0)),""))</f>
        <v/>
      </c>
      <c r="G995" s="23" t="n"/>
      <c r="H995" s="27" t="n"/>
      <c r="I995" s="27" t="n"/>
      <c r="J995" s="27" t="n"/>
      <c r="K995" s="27" t="n"/>
      <c r="L995" s="27" t="n"/>
      <c r="M995" s="27" t="n"/>
      <c r="N995" s="23" t="n"/>
      <c r="O995" s="29" t="n"/>
      <c r="P995" s="29" t="n"/>
      <c r="Q995" s="29" t="n"/>
      <c r="R995" s="29" t="n"/>
      <c r="S995" s="29" t="n"/>
      <c r="T995" s="29" t="n"/>
      <c r="U995" s="29" t="n"/>
      <c r="V995" s="30">
        <f>IF(OR($A995="",$U995=""),"",IF($S995&lt;&gt;"",MAX(0,$S995-$U995),MAX(0,TODAY()-$U995)))</f>
        <v/>
      </c>
      <c r="W995" s="30">
        <f>IF($A995="","",IF(OR($N995="Live",$N995="Retired"),"",TODAY()-MAX($O995,$P995,$Q995,$R995)))</f>
        <v/>
      </c>
      <c r="X995" s="23" t="n"/>
      <c r="Y995" s="30">
        <f>IF($A995="","",COUNTIFS('Issues Log'!$C$5:$C$504,$A995,'Issues Log'!$K$5:$K$504,"Open")+COUNTIFS('Issues Log'!$C$5:$C$504,$A995,'Issues Log'!$K$5:$K$504,"In progress"))</f>
        <v/>
      </c>
      <c r="Z995" s="27" t="n"/>
    </row>
    <row r="996">
      <c r="A996" s="27" t="n"/>
      <c r="B996" s="27" t="n"/>
      <c r="C996" s="27" t="n"/>
      <c r="D996" s="28">
        <f>IF($C996="","",IFERROR(INDEX('Topic Plan'!$C$5:$C$115,MATCH($C996,'Topic Plan'!$B$5:$B$115,0)),"UNKNOWN TOPIC ID"))</f>
        <v/>
      </c>
      <c r="E996" s="28">
        <f>IF($C996="","",IFERROR(INDEX('Topic Plan'!$D$5:$D$115,MATCH($C996,'Topic Plan'!$B$5:$B$115,0)),""))</f>
        <v/>
      </c>
      <c r="F996" s="28">
        <f>IF($C996="","",IFERROR(INDEX('Topic Plan'!$E$5:$E$115,MATCH($C996,'Topic Plan'!$B$5:$B$115,0)),""))</f>
        <v/>
      </c>
      <c r="G996" s="23" t="n"/>
      <c r="H996" s="27" t="n"/>
      <c r="I996" s="27" t="n"/>
      <c r="J996" s="27" t="n"/>
      <c r="K996" s="27" t="n"/>
      <c r="L996" s="27" t="n"/>
      <c r="M996" s="27" t="n"/>
      <c r="N996" s="23" t="n"/>
      <c r="O996" s="29" t="n"/>
      <c r="P996" s="29" t="n"/>
      <c r="Q996" s="29" t="n"/>
      <c r="R996" s="29" t="n"/>
      <c r="S996" s="29" t="n"/>
      <c r="T996" s="29" t="n"/>
      <c r="U996" s="29" t="n"/>
      <c r="V996" s="30">
        <f>IF(OR($A996="",$U996=""),"",IF($S996&lt;&gt;"",MAX(0,$S996-$U996),MAX(0,TODAY()-$U996)))</f>
        <v/>
      </c>
      <c r="W996" s="30">
        <f>IF($A996="","",IF(OR($N996="Live",$N996="Retired"),"",TODAY()-MAX($O996,$P996,$Q996,$R996)))</f>
        <v/>
      </c>
      <c r="X996" s="23" t="n"/>
      <c r="Y996" s="30">
        <f>IF($A996="","",COUNTIFS('Issues Log'!$C$5:$C$504,$A996,'Issues Log'!$K$5:$K$504,"Open")+COUNTIFS('Issues Log'!$C$5:$C$504,$A996,'Issues Log'!$K$5:$K$504,"In progress"))</f>
        <v/>
      </c>
      <c r="Z996" s="27" t="n"/>
    </row>
    <row r="997">
      <c r="A997" s="27" t="n"/>
      <c r="B997" s="27" t="n"/>
      <c r="C997" s="27" t="n"/>
      <c r="D997" s="28">
        <f>IF($C997="","",IFERROR(INDEX('Topic Plan'!$C$5:$C$115,MATCH($C997,'Topic Plan'!$B$5:$B$115,0)),"UNKNOWN TOPIC ID"))</f>
        <v/>
      </c>
      <c r="E997" s="28">
        <f>IF($C997="","",IFERROR(INDEX('Topic Plan'!$D$5:$D$115,MATCH($C997,'Topic Plan'!$B$5:$B$115,0)),""))</f>
        <v/>
      </c>
      <c r="F997" s="28">
        <f>IF($C997="","",IFERROR(INDEX('Topic Plan'!$E$5:$E$115,MATCH($C997,'Topic Plan'!$B$5:$B$115,0)),""))</f>
        <v/>
      </c>
      <c r="G997" s="23" t="n"/>
      <c r="H997" s="27" t="n"/>
      <c r="I997" s="27" t="n"/>
      <c r="J997" s="27" t="n"/>
      <c r="K997" s="27" t="n"/>
      <c r="L997" s="27" t="n"/>
      <c r="M997" s="27" t="n"/>
      <c r="N997" s="23" t="n"/>
      <c r="O997" s="29" t="n"/>
      <c r="P997" s="29" t="n"/>
      <c r="Q997" s="29" t="n"/>
      <c r="R997" s="29" t="n"/>
      <c r="S997" s="29" t="n"/>
      <c r="T997" s="29" t="n"/>
      <c r="U997" s="29" t="n"/>
      <c r="V997" s="30">
        <f>IF(OR($A997="",$U997=""),"",IF($S997&lt;&gt;"",MAX(0,$S997-$U997),MAX(0,TODAY()-$U997)))</f>
        <v/>
      </c>
      <c r="W997" s="30">
        <f>IF($A997="","",IF(OR($N997="Live",$N997="Retired"),"",TODAY()-MAX($O997,$P997,$Q997,$R997)))</f>
        <v/>
      </c>
      <c r="X997" s="23" t="n"/>
      <c r="Y997" s="30">
        <f>IF($A997="","",COUNTIFS('Issues Log'!$C$5:$C$504,$A997,'Issues Log'!$K$5:$K$504,"Open")+COUNTIFS('Issues Log'!$C$5:$C$504,$A997,'Issues Log'!$K$5:$K$504,"In progress"))</f>
        <v/>
      </c>
      <c r="Z997" s="27" t="n"/>
    </row>
    <row r="998">
      <c r="A998" s="27" t="n"/>
      <c r="B998" s="27" t="n"/>
      <c r="C998" s="27" t="n"/>
      <c r="D998" s="28">
        <f>IF($C998="","",IFERROR(INDEX('Topic Plan'!$C$5:$C$115,MATCH($C998,'Topic Plan'!$B$5:$B$115,0)),"UNKNOWN TOPIC ID"))</f>
        <v/>
      </c>
      <c r="E998" s="28">
        <f>IF($C998="","",IFERROR(INDEX('Topic Plan'!$D$5:$D$115,MATCH($C998,'Topic Plan'!$B$5:$B$115,0)),""))</f>
        <v/>
      </c>
      <c r="F998" s="28">
        <f>IF($C998="","",IFERROR(INDEX('Topic Plan'!$E$5:$E$115,MATCH($C998,'Topic Plan'!$B$5:$B$115,0)),""))</f>
        <v/>
      </c>
      <c r="G998" s="23" t="n"/>
      <c r="H998" s="27" t="n"/>
      <c r="I998" s="27" t="n"/>
      <c r="J998" s="27" t="n"/>
      <c r="K998" s="27" t="n"/>
      <c r="L998" s="27" t="n"/>
      <c r="M998" s="27" t="n"/>
      <c r="N998" s="23" t="n"/>
      <c r="O998" s="29" t="n"/>
      <c r="P998" s="29" t="n"/>
      <c r="Q998" s="29" t="n"/>
      <c r="R998" s="29" t="n"/>
      <c r="S998" s="29" t="n"/>
      <c r="T998" s="29" t="n"/>
      <c r="U998" s="29" t="n"/>
      <c r="V998" s="30">
        <f>IF(OR($A998="",$U998=""),"",IF($S998&lt;&gt;"",MAX(0,$S998-$U998),MAX(0,TODAY()-$U998)))</f>
        <v/>
      </c>
      <c r="W998" s="30">
        <f>IF($A998="","",IF(OR($N998="Live",$N998="Retired"),"",TODAY()-MAX($O998,$P998,$Q998,$R998)))</f>
        <v/>
      </c>
      <c r="X998" s="23" t="n"/>
      <c r="Y998" s="30">
        <f>IF($A998="","",COUNTIFS('Issues Log'!$C$5:$C$504,$A998,'Issues Log'!$K$5:$K$504,"Open")+COUNTIFS('Issues Log'!$C$5:$C$504,$A998,'Issues Log'!$K$5:$K$504,"In progress"))</f>
        <v/>
      </c>
      <c r="Z998" s="27" t="n"/>
    </row>
    <row r="999">
      <c r="A999" s="27" t="n"/>
      <c r="B999" s="27" t="n"/>
      <c r="C999" s="27" t="n"/>
      <c r="D999" s="28">
        <f>IF($C999="","",IFERROR(INDEX('Topic Plan'!$C$5:$C$115,MATCH($C999,'Topic Plan'!$B$5:$B$115,0)),"UNKNOWN TOPIC ID"))</f>
        <v/>
      </c>
      <c r="E999" s="28">
        <f>IF($C999="","",IFERROR(INDEX('Topic Plan'!$D$5:$D$115,MATCH($C999,'Topic Plan'!$B$5:$B$115,0)),""))</f>
        <v/>
      </c>
      <c r="F999" s="28">
        <f>IF($C999="","",IFERROR(INDEX('Topic Plan'!$E$5:$E$115,MATCH($C999,'Topic Plan'!$B$5:$B$115,0)),""))</f>
        <v/>
      </c>
      <c r="G999" s="23" t="n"/>
      <c r="H999" s="27" t="n"/>
      <c r="I999" s="27" t="n"/>
      <c r="J999" s="27" t="n"/>
      <c r="K999" s="27" t="n"/>
      <c r="L999" s="27" t="n"/>
      <c r="M999" s="27" t="n"/>
      <c r="N999" s="23" t="n"/>
      <c r="O999" s="29" t="n"/>
      <c r="P999" s="29" t="n"/>
      <c r="Q999" s="29" t="n"/>
      <c r="R999" s="29" t="n"/>
      <c r="S999" s="29" t="n"/>
      <c r="T999" s="29" t="n"/>
      <c r="U999" s="29" t="n"/>
      <c r="V999" s="30">
        <f>IF(OR($A999="",$U999=""),"",IF($S999&lt;&gt;"",MAX(0,$S999-$U999),MAX(0,TODAY()-$U999)))</f>
        <v/>
      </c>
      <c r="W999" s="30">
        <f>IF($A999="","",IF(OR($N999="Live",$N999="Retired"),"",TODAY()-MAX($O999,$P999,$Q999,$R999)))</f>
        <v/>
      </c>
      <c r="X999" s="23" t="n"/>
      <c r="Y999" s="30">
        <f>IF($A999="","",COUNTIFS('Issues Log'!$C$5:$C$504,$A999,'Issues Log'!$K$5:$K$504,"Open")+COUNTIFS('Issues Log'!$C$5:$C$504,$A999,'Issues Log'!$K$5:$K$504,"In progress"))</f>
        <v/>
      </c>
      <c r="Z999" s="27" t="n"/>
    </row>
    <row r="1000">
      <c r="A1000" s="27" t="n"/>
      <c r="B1000" s="27" t="n"/>
      <c r="C1000" s="27" t="n"/>
      <c r="D1000" s="28">
        <f>IF($C1000="","",IFERROR(INDEX('Topic Plan'!$C$5:$C$115,MATCH($C1000,'Topic Plan'!$B$5:$B$115,0)),"UNKNOWN TOPIC ID"))</f>
        <v/>
      </c>
      <c r="E1000" s="28">
        <f>IF($C1000="","",IFERROR(INDEX('Topic Plan'!$D$5:$D$115,MATCH($C1000,'Topic Plan'!$B$5:$B$115,0)),""))</f>
        <v/>
      </c>
      <c r="F1000" s="28">
        <f>IF($C1000="","",IFERROR(INDEX('Topic Plan'!$E$5:$E$115,MATCH($C1000,'Topic Plan'!$B$5:$B$115,0)),""))</f>
        <v/>
      </c>
      <c r="G1000" s="23" t="n"/>
      <c r="H1000" s="27" t="n"/>
      <c r="I1000" s="27" t="n"/>
      <c r="J1000" s="27" t="n"/>
      <c r="K1000" s="27" t="n"/>
      <c r="L1000" s="27" t="n"/>
      <c r="M1000" s="27" t="n"/>
      <c r="N1000" s="23" t="n"/>
      <c r="O1000" s="29" t="n"/>
      <c r="P1000" s="29" t="n"/>
      <c r="Q1000" s="29" t="n"/>
      <c r="R1000" s="29" t="n"/>
      <c r="S1000" s="29" t="n"/>
      <c r="T1000" s="29" t="n"/>
      <c r="U1000" s="29" t="n"/>
      <c r="V1000" s="30">
        <f>IF(OR($A1000="",$U1000=""),"",IF($S1000&lt;&gt;"",MAX(0,$S1000-$U1000),MAX(0,TODAY()-$U1000)))</f>
        <v/>
      </c>
      <c r="W1000" s="30">
        <f>IF($A1000="","",IF(OR($N1000="Live",$N1000="Retired"),"",TODAY()-MAX($O1000,$P1000,$Q1000,$R1000)))</f>
        <v/>
      </c>
      <c r="X1000" s="23" t="n"/>
      <c r="Y1000" s="30">
        <f>IF($A1000="","",COUNTIFS('Issues Log'!$C$5:$C$504,$A1000,'Issues Log'!$K$5:$K$504,"Open")+COUNTIFS('Issues Log'!$C$5:$C$504,$A1000,'Issues Log'!$K$5:$K$504,"In progress"))</f>
        <v/>
      </c>
      <c r="Z1000" s="27" t="n"/>
    </row>
    <row r="1001">
      <c r="A1001" s="27" t="n"/>
      <c r="B1001" s="27" t="n"/>
      <c r="C1001" s="27" t="n"/>
      <c r="D1001" s="28">
        <f>IF($C1001="","",IFERROR(INDEX('Topic Plan'!$C$5:$C$115,MATCH($C1001,'Topic Plan'!$B$5:$B$115,0)),"UNKNOWN TOPIC ID"))</f>
        <v/>
      </c>
      <c r="E1001" s="28">
        <f>IF($C1001="","",IFERROR(INDEX('Topic Plan'!$D$5:$D$115,MATCH($C1001,'Topic Plan'!$B$5:$B$115,0)),""))</f>
        <v/>
      </c>
      <c r="F1001" s="28">
        <f>IF($C1001="","",IFERROR(INDEX('Topic Plan'!$E$5:$E$115,MATCH($C1001,'Topic Plan'!$B$5:$B$115,0)),""))</f>
        <v/>
      </c>
      <c r="G1001" s="23" t="n"/>
      <c r="H1001" s="27" t="n"/>
      <c r="I1001" s="27" t="n"/>
      <c r="J1001" s="27" t="n"/>
      <c r="K1001" s="27" t="n"/>
      <c r="L1001" s="27" t="n"/>
      <c r="M1001" s="27" t="n"/>
      <c r="N1001" s="23" t="n"/>
      <c r="O1001" s="29" t="n"/>
      <c r="P1001" s="29" t="n"/>
      <c r="Q1001" s="29" t="n"/>
      <c r="R1001" s="29" t="n"/>
      <c r="S1001" s="29" t="n"/>
      <c r="T1001" s="29" t="n"/>
      <c r="U1001" s="29" t="n"/>
      <c r="V1001" s="30">
        <f>IF(OR($A1001="",$U1001=""),"",IF($S1001&lt;&gt;"",MAX(0,$S1001-$U1001),MAX(0,TODAY()-$U1001)))</f>
        <v/>
      </c>
      <c r="W1001" s="30">
        <f>IF($A1001="","",IF(OR($N1001="Live",$N1001="Retired"),"",TODAY()-MAX($O1001,$P1001,$Q1001,$R1001)))</f>
        <v/>
      </c>
      <c r="X1001" s="23" t="n"/>
      <c r="Y1001" s="30">
        <f>IF($A1001="","",COUNTIFS('Issues Log'!$C$5:$C$504,$A1001,'Issues Log'!$K$5:$K$504,"Open")+COUNTIFS('Issues Log'!$C$5:$C$504,$A1001,'Issues Log'!$K$5:$K$504,"In progress"))</f>
        <v/>
      </c>
      <c r="Z1001" s="27" t="n"/>
    </row>
    <row r="1002">
      <c r="A1002" s="27" t="n"/>
      <c r="B1002" s="27" t="n"/>
      <c r="C1002" s="27" t="n"/>
      <c r="D1002" s="28">
        <f>IF($C1002="","",IFERROR(INDEX('Topic Plan'!$C$5:$C$115,MATCH($C1002,'Topic Plan'!$B$5:$B$115,0)),"UNKNOWN TOPIC ID"))</f>
        <v/>
      </c>
      <c r="E1002" s="28">
        <f>IF($C1002="","",IFERROR(INDEX('Topic Plan'!$D$5:$D$115,MATCH($C1002,'Topic Plan'!$B$5:$B$115,0)),""))</f>
        <v/>
      </c>
      <c r="F1002" s="28">
        <f>IF($C1002="","",IFERROR(INDEX('Topic Plan'!$E$5:$E$115,MATCH($C1002,'Topic Plan'!$B$5:$B$115,0)),""))</f>
        <v/>
      </c>
      <c r="G1002" s="23" t="n"/>
      <c r="H1002" s="27" t="n"/>
      <c r="I1002" s="27" t="n"/>
      <c r="J1002" s="27" t="n"/>
      <c r="K1002" s="27" t="n"/>
      <c r="L1002" s="27" t="n"/>
      <c r="M1002" s="27" t="n"/>
      <c r="N1002" s="23" t="n"/>
      <c r="O1002" s="29" t="n"/>
      <c r="P1002" s="29" t="n"/>
      <c r="Q1002" s="29" t="n"/>
      <c r="R1002" s="29" t="n"/>
      <c r="S1002" s="29" t="n"/>
      <c r="T1002" s="29" t="n"/>
      <c r="U1002" s="29" t="n"/>
      <c r="V1002" s="30">
        <f>IF(OR($A1002="",$U1002=""),"",IF($S1002&lt;&gt;"",MAX(0,$S1002-$U1002),MAX(0,TODAY()-$U1002)))</f>
        <v/>
      </c>
      <c r="W1002" s="30">
        <f>IF($A1002="","",IF(OR($N1002="Live",$N1002="Retired"),"",TODAY()-MAX($O1002,$P1002,$Q1002,$R1002)))</f>
        <v/>
      </c>
      <c r="X1002" s="23" t="n"/>
      <c r="Y1002" s="30">
        <f>IF($A1002="","",COUNTIFS('Issues Log'!$C$5:$C$504,$A1002,'Issues Log'!$K$5:$K$504,"Open")+COUNTIFS('Issues Log'!$C$5:$C$504,$A1002,'Issues Log'!$K$5:$K$504,"In progress"))</f>
        <v/>
      </c>
      <c r="Z1002" s="27" t="n"/>
    </row>
    <row r="1003">
      <c r="A1003" s="27" t="n"/>
      <c r="B1003" s="27" t="n"/>
      <c r="C1003" s="27" t="n"/>
      <c r="D1003" s="28">
        <f>IF($C1003="","",IFERROR(INDEX('Topic Plan'!$C$5:$C$115,MATCH($C1003,'Topic Plan'!$B$5:$B$115,0)),"UNKNOWN TOPIC ID"))</f>
        <v/>
      </c>
      <c r="E1003" s="28">
        <f>IF($C1003="","",IFERROR(INDEX('Topic Plan'!$D$5:$D$115,MATCH($C1003,'Topic Plan'!$B$5:$B$115,0)),""))</f>
        <v/>
      </c>
      <c r="F1003" s="28">
        <f>IF($C1003="","",IFERROR(INDEX('Topic Plan'!$E$5:$E$115,MATCH($C1003,'Topic Plan'!$B$5:$B$115,0)),""))</f>
        <v/>
      </c>
      <c r="G1003" s="23" t="n"/>
      <c r="H1003" s="27" t="n"/>
      <c r="I1003" s="27" t="n"/>
      <c r="J1003" s="27" t="n"/>
      <c r="K1003" s="27" t="n"/>
      <c r="L1003" s="27" t="n"/>
      <c r="M1003" s="27" t="n"/>
      <c r="N1003" s="23" t="n"/>
      <c r="O1003" s="29" t="n"/>
      <c r="P1003" s="29" t="n"/>
      <c r="Q1003" s="29" t="n"/>
      <c r="R1003" s="29" t="n"/>
      <c r="S1003" s="29" t="n"/>
      <c r="T1003" s="29" t="n"/>
      <c r="U1003" s="29" t="n"/>
      <c r="V1003" s="30">
        <f>IF(OR($A1003="",$U1003=""),"",IF($S1003&lt;&gt;"",MAX(0,$S1003-$U1003),MAX(0,TODAY()-$U1003)))</f>
        <v/>
      </c>
      <c r="W1003" s="30">
        <f>IF($A1003="","",IF(OR($N1003="Live",$N1003="Retired"),"",TODAY()-MAX($O1003,$P1003,$Q1003,$R1003)))</f>
        <v/>
      </c>
      <c r="X1003" s="23" t="n"/>
      <c r="Y1003" s="30">
        <f>IF($A1003="","",COUNTIFS('Issues Log'!$C$5:$C$504,$A1003,'Issues Log'!$K$5:$K$504,"Open")+COUNTIFS('Issues Log'!$C$5:$C$504,$A1003,'Issues Log'!$K$5:$K$504,"In progress"))</f>
        <v/>
      </c>
      <c r="Z1003" s="27" t="n"/>
    </row>
    <row r="1004">
      <c r="A1004" s="27" t="n"/>
      <c r="B1004" s="27" t="n"/>
      <c r="C1004" s="27" t="n"/>
      <c r="D1004" s="28">
        <f>IF($C1004="","",IFERROR(INDEX('Topic Plan'!$C$5:$C$115,MATCH($C1004,'Topic Plan'!$B$5:$B$115,0)),"UNKNOWN TOPIC ID"))</f>
        <v/>
      </c>
      <c r="E1004" s="28">
        <f>IF($C1004="","",IFERROR(INDEX('Topic Plan'!$D$5:$D$115,MATCH($C1004,'Topic Plan'!$B$5:$B$115,0)),""))</f>
        <v/>
      </c>
      <c r="F1004" s="28">
        <f>IF($C1004="","",IFERROR(INDEX('Topic Plan'!$E$5:$E$115,MATCH($C1004,'Topic Plan'!$B$5:$B$115,0)),""))</f>
        <v/>
      </c>
      <c r="G1004" s="23" t="n"/>
      <c r="H1004" s="27" t="n"/>
      <c r="I1004" s="27" t="n"/>
      <c r="J1004" s="27" t="n"/>
      <c r="K1004" s="27" t="n"/>
      <c r="L1004" s="27" t="n"/>
      <c r="M1004" s="27" t="n"/>
      <c r="N1004" s="23" t="n"/>
      <c r="O1004" s="29" t="n"/>
      <c r="P1004" s="29" t="n"/>
      <c r="Q1004" s="29" t="n"/>
      <c r="R1004" s="29" t="n"/>
      <c r="S1004" s="29" t="n"/>
      <c r="T1004" s="29" t="n"/>
      <c r="U1004" s="29" t="n"/>
      <c r="V1004" s="30">
        <f>IF(OR($A1004="",$U1004=""),"",IF($S1004&lt;&gt;"",MAX(0,$S1004-$U1004),MAX(0,TODAY()-$U1004)))</f>
        <v/>
      </c>
      <c r="W1004" s="30">
        <f>IF($A1004="","",IF(OR($N1004="Live",$N1004="Retired"),"",TODAY()-MAX($O1004,$P1004,$Q1004,$R1004)))</f>
        <v/>
      </c>
      <c r="X1004" s="23" t="n"/>
      <c r="Y1004" s="30">
        <f>IF($A1004="","",COUNTIFS('Issues Log'!$C$5:$C$504,$A1004,'Issues Log'!$K$5:$K$504,"Open")+COUNTIFS('Issues Log'!$C$5:$C$504,$A1004,'Issues Log'!$K$5:$K$504,"In progress"))</f>
        <v/>
      </c>
      <c r="Z1004" s="27" t="n"/>
    </row>
  </sheetData>
  <autoFilter ref="A4:Z1004"/>
  <mergeCells count="2">
    <mergeCell ref="A1:Z1"/>
    <mergeCell ref="A2:Z2"/>
  </mergeCells>
  <conditionalFormatting sqref="A5:Z1004">
    <cfRule type="expression" priority="1" dxfId="5">
      <formula>MOD(ROW(),2)=0</formula>
    </cfRule>
  </conditionalFormatting>
  <conditionalFormatting sqref="N5:N1004">
    <cfRule type="expression" priority="2" dxfId="6">
      <formula>$N5="Live"</formula>
    </cfRule>
    <cfRule type="expression" priority="3" dxfId="7">
      <formula>$N5="On hold"</formula>
    </cfRule>
    <cfRule type="expression" priority="4" dxfId="8">
      <formula>$N5="Retired"</formula>
    </cfRule>
    <cfRule type="expression" priority="5" dxfId="9">
      <formula>$N5="Identified"</formula>
    </cfRule>
    <cfRule type="expression" priority="6" dxfId="9">
      <formula>$N5="De-identified"</formula>
    </cfRule>
    <cfRule type="expression" priority="7" dxfId="9">
      <formula>$N5="Built"</formula>
    </cfRule>
    <cfRule type="expression" priority="8" dxfId="9">
      <formula>$N5="Validated"</formula>
    </cfRule>
  </conditionalFormatting>
  <conditionalFormatting sqref="D5:D1004">
    <cfRule type="expression" priority="9" dxfId="10">
      <formula>$D5="UNKNOWN TOPIC ID"</formula>
    </cfRule>
  </conditionalFormatting>
  <conditionalFormatting sqref="V5:V1004">
    <cfRule type="cellIs" priority="10" operator="greaterThan" dxfId="10">
      <formula>0</formula>
    </cfRule>
  </conditionalFormatting>
  <conditionalFormatting sqref="W5:W1004">
    <cfRule type="cellIs" priority="11" operator="greaterThan" dxfId="7">
      <formula>30</formula>
    </cfRule>
  </conditionalFormatting>
  <conditionalFormatting sqref="Y5:Y1004">
    <cfRule type="cellIs" priority="12" operator="greaterThan" dxfId="10">
      <formula>0</formula>
    </cfRule>
  </conditionalFormatting>
  <dataValidations count="6">
    <dataValidation sqref="B5:B1004" showDropDown="0" showInputMessage="0" showErrorMessage="0" allowBlank="1" errorTitle="Not on the list" error="Pick a value from the list. Add new values on the Lists sheet, not here." type="list">
      <formula1>=Lists!$A$5:$A$11</formula1>
    </dataValidation>
    <dataValidation sqref="C5:C1004" showDropDown="0" showInputMessage="0" showErrorMessage="0" allowBlank="1" errorTitle="Not on the list" error="Pick a value from the list. Add new values on the Lists sheet, not here." type="list">
      <formula1>=Lists!$B$5:$B$115</formula1>
    </dataValidation>
    <dataValidation sqref="G5:G1004" showDropDown="0" showInputMessage="0" showErrorMessage="0" allowBlank="1" errorTitle="Not on the list" error="Pick a value from the list. Add new values on the Lists sheet, not here." type="list">
      <formula1>=Lists!$D$5:$D$7</formula1>
    </dataValidation>
    <dataValidation sqref="H5:H1004" showDropDown="0" showInputMessage="0" showErrorMessage="0" allowBlank="1" errorTitle="Not on the list" error="Pick a value from the list. Add new values on the Lists sheet, not here." type="list">
      <formula1>=Lists!$E$5:$E$6</formula1>
    </dataValidation>
    <dataValidation sqref="J5:J1004" showDropDown="0" showInputMessage="0" showErrorMessage="0" allowBlank="1" errorTitle="Not on the list" error="Pick a value from the list. Add new values on the Lists sheet, not here." type="list">
      <formula1>=Lists!$F$5:$F$12</formula1>
    </dataValidation>
    <dataValidation sqref="N5:N1004" showDropDown="0" showInputMessage="0" showErrorMessage="0" allowBlank="1" errorTitle="Not on the list" error="Pick a value from the list. Add new values on the Lists sheet, not here." type="list">
      <formula1>=Lists!$C$5:$C$11</formula1>
    </dataValidation>
  </dataValidations>
  <pageMargins left="0.75" right="0.75" top="1" bottom="1" header="0.5" footer="0.5"/>
</worksheet>
</file>

<file path=xl/worksheets/sheet4.xml><?xml version="1.0" encoding="utf-8"?>
<worksheet xmlns="http://schemas.openxmlformats.org/spreadsheetml/2006/main">
  <sheetPr>
    <tabColor rgb="00A4262C"/>
    <outlinePr summaryBelow="1" summaryRight="1"/>
    <pageSetUpPr/>
  </sheetPr>
  <dimension ref="A1:P507"/>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3" customWidth="1" min="3" max="3"/>
    <col width="10" customWidth="1" min="4" max="4"/>
    <col width="16" customWidth="1" min="5" max="5"/>
    <col width="34" customWidth="1" min="6" max="6"/>
    <col width="11" customWidth="1" min="7" max="7"/>
    <col width="50" customWidth="1" min="8" max="8"/>
    <col width="15" customWidth="1" min="9" max="9"/>
    <col width="15" customWidth="1" min="10" max="10"/>
    <col width="14" customWidth="1" min="11" max="11"/>
    <col width="13" customWidth="1" min="12" max="12"/>
    <col width="12" customWidth="1" min="13" max="13"/>
    <col width="11" customWidth="1" min="14" max="14"/>
    <col width="13" customWidth="1" min="15" max="15"/>
    <col width="44" customWidth="1" min="16" max="16"/>
  </cols>
  <sheetData>
    <row r="1" ht="26" customHeight="1">
      <c r="A1" s="1" t="inlineStr">
        <is>
          <t>Issues Log</t>
        </is>
      </c>
    </row>
    <row r="2" ht="14" customHeight="1">
      <c r="A2" s="2" t="inlineStr">
        <is>
          <t>Anything that blocks a chart entering the pool or casts doubt on one already in it. An answer-key dispute belongs here the day it is raised, not after it is settled.</t>
        </is>
      </c>
    </row>
    <row r="3" ht="3" customHeight="1">
      <c r="A3" s="3" t="n"/>
      <c r="B3" s="3" t="n"/>
      <c r="C3" s="3" t="n"/>
      <c r="D3" s="3" t="n"/>
      <c r="E3" s="3" t="n"/>
      <c r="F3" s="3" t="n"/>
      <c r="G3" s="3" t="n"/>
      <c r="H3" s="3" t="n"/>
      <c r="I3" s="3" t="n"/>
      <c r="J3" s="3" t="n"/>
      <c r="K3" s="3" t="n"/>
      <c r="L3" s="3" t="n"/>
      <c r="M3" s="3" t="n"/>
      <c r="N3" s="3" t="n"/>
      <c r="O3" s="3" t="n"/>
      <c r="P3" s="3" t="n"/>
    </row>
    <row r="4" ht="42" customHeight="1">
      <c r="A4" s="21" t="inlineStr">
        <is>
          <t>Issue ID</t>
        </is>
      </c>
      <c r="B4" s="21" t="inlineStr">
        <is>
          <t>Date raised</t>
        </is>
      </c>
      <c r="C4" s="21" t="inlineStr">
        <is>
          <t>Chart ID</t>
        </is>
      </c>
      <c r="D4" s="21" t="inlineStr">
        <is>
          <t>Topic ID</t>
        </is>
      </c>
      <c r="E4" s="21" t="inlineStr">
        <is>
          <t>Specialty</t>
        </is>
      </c>
      <c r="F4" s="21" t="inlineStr">
        <is>
          <t>Issue type</t>
        </is>
      </c>
      <c r="G4" s="21" t="inlineStr">
        <is>
          <t>Severity</t>
        </is>
      </c>
      <c r="H4" s="21" t="inlineStr">
        <is>
          <t>Description</t>
        </is>
      </c>
      <c r="I4" s="21" t="inlineStr">
        <is>
          <t>Raised by</t>
        </is>
      </c>
      <c r="J4" s="21" t="inlineStr">
        <is>
          <t>Owner</t>
        </is>
      </c>
      <c r="K4" s="21" t="inlineStr">
        <is>
          <t>Status</t>
        </is>
      </c>
      <c r="L4" s="21" t="inlineStr">
        <is>
          <t>Target resolution</t>
        </is>
      </c>
      <c r="M4" s="21" t="inlineStr">
        <is>
          <t>Date resolved</t>
        </is>
      </c>
      <c r="N4" s="21" t="inlineStr">
        <is>
          <t>Days open (auto)</t>
        </is>
      </c>
      <c r="O4" s="21" t="inlineStr">
        <is>
          <t>Overdue (auto)</t>
        </is>
      </c>
      <c r="P4" s="21" t="inlineStr">
        <is>
          <t>Resolution</t>
        </is>
      </c>
    </row>
    <row r="5">
      <c r="A5" s="27" t="n"/>
      <c r="B5" s="29" t="n"/>
      <c r="C5" s="27" t="n"/>
      <c r="D5" s="27" t="n"/>
      <c r="E5" s="27" t="n"/>
      <c r="F5" s="27" t="n"/>
      <c r="G5" s="23" t="n"/>
      <c r="H5" s="27" t="n"/>
      <c r="I5" s="27" t="n"/>
      <c r="J5" s="27" t="n"/>
      <c r="K5" s="23" t="n"/>
      <c r="L5" s="29" t="n"/>
      <c r="M5" s="29" t="n"/>
      <c r="N5" s="30">
        <f>IF($A5="","",IF($M5="",TODAY()-$B5,$M5-$B5))</f>
        <v/>
      </c>
      <c r="O5" s="30">
        <f>IF(OR($A5="",$L5=""),"",IF(OR($K5="Resolved",$K5="Will not fix"),"Closed",IF(TODAY()&gt;$L5,"OVERDUE","On time")))</f>
        <v/>
      </c>
      <c r="P5" s="27" t="n"/>
    </row>
    <row r="6">
      <c r="A6" s="27" t="n"/>
      <c r="B6" s="29" t="n"/>
      <c r="C6" s="27" t="n"/>
      <c r="D6" s="27" t="n"/>
      <c r="E6" s="27" t="n"/>
      <c r="F6" s="27" t="n"/>
      <c r="G6" s="23" t="n"/>
      <c r="H6" s="27" t="n"/>
      <c r="I6" s="27" t="n"/>
      <c r="J6" s="27" t="n"/>
      <c r="K6" s="23" t="n"/>
      <c r="L6" s="29" t="n"/>
      <c r="M6" s="29" t="n"/>
      <c r="N6" s="30">
        <f>IF($A6="","",IF($M6="",TODAY()-$B6,$M6-$B6))</f>
        <v/>
      </c>
      <c r="O6" s="30">
        <f>IF(OR($A6="",$L6=""),"",IF(OR($K6="Resolved",$K6="Will not fix"),"Closed",IF(TODAY()&gt;$L6,"OVERDUE","On time")))</f>
        <v/>
      </c>
      <c r="P6" s="27" t="n"/>
    </row>
    <row r="7">
      <c r="A7" s="27" t="n"/>
      <c r="B7" s="29" t="n"/>
      <c r="C7" s="27" t="n"/>
      <c r="D7" s="27" t="n"/>
      <c r="E7" s="27" t="n"/>
      <c r="F7" s="27" t="n"/>
      <c r="G7" s="23" t="n"/>
      <c r="H7" s="27" t="n"/>
      <c r="I7" s="27" t="n"/>
      <c r="J7" s="27" t="n"/>
      <c r="K7" s="23" t="n"/>
      <c r="L7" s="29" t="n"/>
      <c r="M7" s="29" t="n"/>
      <c r="N7" s="30">
        <f>IF($A7="","",IF($M7="",TODAY()-$B7,$M7-$B7))</f>
        <v/>
      </c>
      <c r="O7" s="30">
        <f>IF(OR($A7="",$L7=""),"",IF(OR($K7="Resolved",$K7="Will not fix"),"Closed",IF(TODAY()&gt;$L7,"OVERDUE","On time")))</f>
        <v/>
      </c>
      <c r="P7" s="27" t="n"/>
    </row>
    <row r="8">
      <c r="A8" s="27" t="n"/>
      <c r="B8" s="29" t="n"/>
      <c r="C8" s="27" t="n"/>
      <c r="D8" s="27" t="n"/>
      <c r="E8" s="27" t="n"/>
      <c r="F8" s="27" t="n"/>
      <c r="G8" s="23" t="n"/>
      <c r="H8" s="27" t="n"/>
      <c r="I8" s="27" t="n"/>
      <c r="J8" s="27" t="n"/>
      <c r="K8" s="23" t="n"/>
      <c r="L8" s="29" t="n"/>
      <c r="M8" s="29" t="n"/>
      <c r="N8" s="30">
        <f>IF($A8="","",IF($M8="",TODAY()-$B8,$M8-$B8))</f>
        <v/>
      </c>
      <c r="O8" s="30">
        <f>IF(OR($A8="",$L8=""),"",IF(OR($K8="Resolved",$K8="Will not fix"),"Closed",IF(TODAY()&gt;$L8,"OVERDUE","On time")))</f>
        <v/>
      </c>
      <c r="P8" s="27" t="n"/>
    </row>
    <row r="9">
      <c r="A9" s="27" t="n"/>
      <c r="B9" s="29" t="n"/>
      <c r="C9" s="27" t="n"/>
      <c r="D9" s="27" t="n"/>
      <c r="E9" s="27" t="n"/>
      <c r="F9" s="27" t="n"/>
      <c r="G9" s="23" t="n"/>
      <c r="H9" s="27" t="n"/>
      <c r="I9" s="27" t="n"/>
      <c r="J9" s="27" t="n"/>
      <c r="K9" s="23" t="n"/>
      <c r="L9" s="29" t="n"/>
      <c r="M9" s="29" t="n"/>
      <c r="N9" s="30">
        <f>IF($A9="","",IF($M9="",TODAY()-$B9,$M9-$B9))</f>
        <v/>
      </c>
      <c r="O9" s="30">
        <f>IF(OR($A9="",$L9=""),"",IF(OR($K9="Resolved",$K9="Will not fix"),"Closed",IF(TODAY()&gt;$L9,"OVERDUE","On time")))</f>
        <v/>
      </c>
      <c r="P9" s="27" t="n"/>
    </row>
    <row r="10">
      <c r="A10" s="27" t="n"/>
      <c r="B10" s="29" t="n"/>
      <c r="C10" s="27" t="n"/>
      <c r="D10" s="27" t="n"/>
      <c r="E10" s="27" t="n"/>
      <c r="F10" s="27" t="n"/>
      <c r="G10" s="23" t="n"/>
      <c r="H10" s="27" t="n"/>
      <c r="I10" s="27" t="n"/>
      <c r="J10" s="27" t="n"/>
      <c r="K10" s="23" t="n"/>
      <c r="L10" s="29" t="n"/>
      <c r="M10" s="29" t="n"/>
      <c r="N10" s="30">
        <f>IF($A10="","",IF($M10="",TODAY()-$B10,$M10-$B10))</f>
        <v/>
      </c>
      <c r="O10" s="30">
        <f>IF(OR($A10="",$L10=""),"",IF(OR($K10="Resolved",$K10="Will not fix"),"Closed",IF(TODAY()&gt;$L10,"OVERDUE","On time")))</f>
        <v/>
      </c>
      <c r="P10" s="27" t="n"/>
    </row>
    <row r="11">
      <c r="A11" s="27" t="n"/>
      <c r="B11" s="29" t="n"/>
      <c r="C11" s="27" t="n"/>
      <c r="D11" s="27" t="n"/>
      <c r="E11" s="27" t="n"/>
      <c r="F11" s="27" t="n"/>
      <c r="G11" s="23" t="n"/>
      <c r="H11" s="27" t="n"/>
      <c r="I11" s="27" t="n"/>
      <c r="J11" s="27" t="n"/>
      <c r="K11" s="23" t="n"/>
      <c r="L11" s="29" t="n"/>
      <c r="M11" s="29" t="n"/>
      <c r="N11" s="30">
        <f>IF($A11="","",IF($M11="",TODAY()-$B11,$M11-$B11))</f>
        <v/>
      </c>
      <c r="O11" s="30">
        <f>IF(OR($A11="",$L11=""),"",IF(OR($K11="Resolved",$K11="Will not fix"),"Closed",IF(TODAY()&gt;$L11,"OVERDUE","On time")))</f>
        <v/>
      </c>
      <c r="P11" s="27" t="n"/>
    </row>
    <row r="12">
      <c r="A12" s="27" t="n"/>
      <c r="B12" s="29" t="n"/>
      <c r="C12" s="27" t="n"/>
      <c r="D12" s="27" t="n"/>
      <c r="E12" s="27" t="n"/>
      <c r="F12" s="27" t="n"/>
      <c r="G12" s="23" t="n"/>
      <c r="H12" s="27" t="n"/>
      <c r="I12" s="27" t="n"/>
      <c r="J12" s="27" t="n"/>
      <c r="K12" s="23" t="n"/>
      <c r="L12" s="29" t="n"/>
      <c r="M12" s="29" t="n"/>
      <c r="N12" s="30">
        <f>IF($A12="","",IF($M12="",TODAY()-$B12,$M12-$B12))</f>
        <v/>
      </c>
      <c r="O12" s="30">
        <f>IF(OR($A12="",$L12=""),"",IF(OR($K12="Resolved",$K12="Will not fix"),"Closed",IF(TODAY()&gt;$L12,"OVERDUE","On time")))</f>
        <v/>
      </c>
      <c r="P12" s="27" t="n"/>
    </row>
    <row r="13">
      <c r="A13" s="27" t="n"/>
      <c r="B13" s="29" t="n"/>
      <c r="C13" s="27" t="n"/>
      <c r="D13" s="27" t="n"/>
      <c r="E13" s="27" t="n"/>
      <c r="F13" s="27" t="n"/>
      <c r="G13" s="23" t="n"/>
      <c r="H13" s="27" t="n"/>
      <c r="I13" s="27" t="n"/>
      <c r="J13" s="27" t="n"/>
      <c r="K13" s="23" t="n"/>
      <c r="L13" s="29" t="n"/>
      <c r="M13" s="29" t="n"/>
      <c r="N13" s="30">
        <f>IF($A13="","",IF($M13="",TODAY()-$B13,$M13-$B13))</f>
        <v/>
      </c>
      <c r="O13" s="30">
        <f>IF(OR($A13="",$L13=""),"",IF(OR($K13="Resolved",$K13="Will not fix"),"Closed",IF(TODAY()&gt;$L13,"OVERDUE","On time")))</f>
        <v/>
      </c>
      <c r="P13" s="27" t="n"/>
    </row>
    <row r="14">
      <c r="A14" s="27" t="n"/>
      <c r="B14" s="29" t="n"/>
      <c r="C14" s="27" t="n"/>
      <c r="D14" s="27" t="n"/>
      <c r="E14" s="27" t="n"/>
      <c r="F14" s="27" t="n"/>
      <c r="G14" s="23" t="n"/>
      <c r="H14" s="27" t="n"/>
      <c r="I14" s="27" t="n"/>
      <c r="J14" s="27" t="n"/>
      <c r="K14" s="23" t="n"/>
      <c r="L14" s="29" t="n"/>
      <c r="M14" s="29" t="n"/>
      <c r="N14" s="30">
        <f>IF($A14="","",IF($M14="",TODAY()-$B14,$M14-$B14))</f>
        <v/>
      </c>
      <c r="O14" s="30">
        <f>IF(OR($A14="",$L14=""),"",IF(OR($K14="Resolved",$K14="Will not fix"),"Closed",IF(TODAY()&gt;$L14,"OVERDUE","On time")))</f>
        <v/>
      </c>
      <c r="P14" s="27" t="n"/>
    </row>
    <row r="15">
      <c r="A15" s="27" t="n"/>
      <c r="B15" s="29" t="n"/>
      <c r="C15" s="27" t="n"/>
      <c r="D15" s="27" t="n"/>
      <c r="E15" s="27" t="n"/>
      <c r="F15" s="27" t="n"/>
      <c r="G15" s="23" t="n"/>
      <c r="H15" s="27" t="n"/>
      <c r="I15" s="27" t="n"/>
      <c r="J15" s="27" t="n"/>
      <c r="K15" s="23" t="n"/>
      <c r="L15" s="29" t="n"/>
      <c r="M15" s="29" t="n"/>
      <c r="N15" s="30">
        <f>IF($A15="","",IF($M15="",TODAY()-$B15,$M15-$B15))</f>
        <v/>
      </c>
      <c r="O15" s="30">
        <f>IF(OR($A15="",$L15=""),"",IF(OR($K15="Resolved",$K15="Will not fix"),"Closed",IF(TODAY()&gt;$L15,"OVERDUE","On time")))</f>
        <v/>
      </c>
      <c r="P15" s="27" t="n"/>
    </row>
    <row r="16">
      <c r="A16" s="27" t="n"/>
      <c r="B16" s="29" t="n"/>
      <c r="C16" s="27" t="n"/>
      <c r="D16" s="27" t="n"/>
      <c r="E16" s="27" t="n"/>
      <c r="F16" s="27" t="n"/>
      <c r="G16" s="23" t="n"/>
      <c r="H16" s="27" t="n"/>
      <c r="I16" s="27" t="n"/>
      <c r="J16" s="27" t="n"/>
      <c r="K16" s="23" t="n"/>
      <c r="L16" s="29" t="n"/>
      <c r="M16" s="29" t="n"/>
      <c r="N16" s="30">
        <f>IF($A16="","",IF($M16="",TODAY()-$B16,$M16-$B16))</f>
        <v/>
      </c>
      <c r="O16" s="30">
        <f>IF(OR($A16="",$L16=""),"",IF(OR($K16="Resolved",$K16="Will not fix"),"Closed",IF(TODAY()&gt;$L16,"OVERDUE","On time")))</f>
        <v/>
      </c>
      <c r="P16" s="27" t="n"/>
    </row>
    <row r="17">
      <c r="A17" s="27" t="n"/>
      <c r="B17" s="29" t="n"/>
      <c r="C17" s="27" t="n"/>
      <c r="D17" s="27" t="n"/>
      <c r="E17" s="27" t="n"/>
      <c r="F17" s="27" t="n"/>
      <c r="G17" s="23" t="n"/>
      <c r="H17" s="27" t="n"/>
      <c r="I17" s="27" t="n"/>
      <c r="J17" s="27" t="n"/>
      <c r="K17" s="23" t="n"/>
      <c r="L17" s="29" t="n"/>
      <c r="M17" s="29" t="n"/>
      <c r="N17" s="30">
        <f>IF($A17="","",IF($M17="",TODAY()-$B17,$M17-$B17))</f>
        <v/>
      </c>
      <c r="O17" s="30">
        <f>IF(OR($A17="",$L17=""),"",IF(OR($K17="Resolved",$K17="Will not fix"),"Closed",IF(TODAY()&gt;$L17,"OVERDUE","On time")))</f>
        <v/>
      </c>
      <c r="P17" s="27" t="n"/>
    </row>
    <row r="18">
      <c r="A18" s="27" t="n"/>
      <c r="B18" s="29" t="n"/>
      <c r="C18" s="27" t="n"/>
      <c r="D18" s="27" t="n"/>
      <c r="E18" s="27" t="n"/>
      <c r="F18" s="27" t="n"/>
      <c r="G18" s="23" t="n"/>
      <c r="H18" s="27" t="n"/>
      <c r="I18" s="27" t="n"/>
      <c r="J18" s="27" t="n"/>
      <c r="K18" s="23" t="n"/>
      <c r="L18" s="29" t="n"/>
      <c r="M18" s="29" t="n"/>
      <c r="N18" s="30">
        <f>IF($A18="","",IF($M18="",TODAY()-$B18,$M18-$B18))</f>
        <v/>
      </c>
      <c r="O18" s="30">
        <f>IF(OR($A18="",$L18=""),"",IF(OR($K18="Resolved",$K18="Will not fix"),"Closed",IF(TODAY()&gt;$L18,"OVERDUE","On time")))</f>
        <v/>
      </c>
      <c r="P18" s="27" t="n"/>
    </row>
    <row r="19">
      <c r="A19" s="27" t="n"/>
      <c r="B19" s="29" t="n"/>
      <c r="C19" s="27" t="n"/>
      <c r="D19" s="27" t="n"/>
      <c r="E19" s="27" t="n"/>
      <c r="F19" s="27" t="n"/>
      <c r="G19" s="23" t="n"/>
      <c r="H19" s="27" t="n"/>
      <c r="I19" s="27" t="n"/>
      <c r="J19" s="27" t="n"/>
      <c r="K19" s="23" t="n"/>
      <c r="L19" s="29" t="n"/>
      <c r="M19" s="29" t="n"/>
      <c r="N19" s="30">
        <f>IF($A19="","",IF($M19="",TODAY()-$B19,$M19-$B19))</f>
        <v/>
      </c>
      <c r="O19" s="30">
        <f>IF(OR($A19="",$L19=""),"",IF(OR($K19="Resolved",$K19="Will not fix"),"Closed",IF(TODAY()&gt;$L19,"OVERDUE","On time")))</f>
        <v/>
      </c>
      <c r="P19" s="27" t="n"/>
    </row>
    <row r="20">
      <c r="A20" s="27" t="n"/>
      <c r="B20" s="29" t="n"/>
      <c r="C20" s="27" t="n"/>
      <c r="D20" s="27" t="n"/>
      <c r="E20" s="27" t="n"/>
      <c r="F20" s="27" t="n"/>
      <c r="G20" s="23" t="n"/>
      <c r="H20" s="27" t="n"/>
      <c r="I20" s="27" t="n"/>
      <c r="J20" s="27" t="n"/>
      <c r="K20" s="23" t="n"/>
      <c r="L20" s="29" t="n"/>
      <c r="M20" s="29" t="n"/>
      <c r="N20" s="30">
        <f>IF($A20="","",IF($M20="",TODAY()-$B20,$M20-$B20))</f>
        <v/>
      </c>
      <c r="O20" s="30">
        <f>IF(OR($A20="",$L20=""),"",IF(OR($K20="Resolved",$K20="Will not fix"),"Closed",IF(TODAY()&gt;$L20,"OVERDUE","On time")))</f>
        <v/>
      </c>
      <c r="P20" s="27" t="n"/>
    </row>
    <row r="21">
      <c r="A21" s="27" t="n"/>
      <c r="B21" s="29" t="n"/>
      <c r="C21" s="27" t="n"/>
      <c r="D21" s="27" t="n"/>
      <c r="E21" s="27" t="n"/>
      <c r="F21" s="27" t="n"/>
      <c r="G21" s="23" t="n"/>
      <c r="H21" s="27" t="n"/>
      <c r="I21" s="27" t="n"/>
      <c r="J21" s="27" t="n"/>
      <c r="K21" s="23" t="n"/>
      <c r="L21" s="29" t="n"/>
      <c r="M21" s="29" t="n"/>
      <c r="N21" s="30">
        <f>IF($A21="","",IF($M21="",TODAY()-$B21,$M21-$B21))</f>
        <v/>
      </c>
      <c r="O21" s="30">
        <f>IF(OR($A21="",$L21=""),"",IF(OR($K21="Resolved",$K21="Will not fix"),"Closed",IF(TODAY()&gt;$L21,"OVERDUE","On time")))</f>
        <v/>
      </c>
      <c r="P21" s="27" t="n"/>
    </row>
    <row r="22">
      <c r="A22" s="27" t="n"/>
      <c r="B22" s="29" t="n"/>
      <c r="C22" s="27" t="n"/>
      <c r="D22" s="27" t="n"/>
      <c r="E22" s="27" t="n"/>
      <c r="F22" s="27" t="n"/>
      <c r="G22" s="23" t="n"/>
      <c r="H22" s="27" t="n"/>
      <c r="I22" s="27" t="n"/>
      <c r="J22" s="27" t="n"/>
      <c r="K22" s="23" t="n"/>
      <c r="L22" s="29" t="n"/>
      <c r="M22" s="29" t="n"/>
      <c r="N22" s="30">
        <f>IF($A22="","",IF($M22="",TODAY()-$B22,$M22-$B22))</f>
        <v/>
      </c>
      <c r="O22" s="30">
        <f>IF(OR($A22="",$L22=""),"",IF(OR($K22="Resolved",$K22="Will not fix"),"Closed",IF(TODAY()&gt;$L22,"OVERDUE","On time")))</f>
        <v/>
      </c>
      <c r="P22" s="27" t="n"/>
    </row>
    <row r="23">
      <c r="A23" s="27" t="n"/>
      <c r="B23" s="29" t="n"/>
      <c r="C23" s="27" t="n"/>
      <c r="D23" s="27" t="n"/>
      <c r="E23" s="27" t="n"/>
      <c r="F23" s="27" t="n"/>
      <c r="G23" s="23" t="n"/>
      <c r="H23" s="27" t="n"/>
      <c r="I23" s="27" t="n"/>
      <c r="J23" s="27" t="n"/>
      <c r="K23" s="23" t="n"/>
      <c r="L23" s="29" t="n"/>
      <c r="M23" s="29" t="n"/>
      <c r="N23" s="30">
        <f>IF($A23="","",IF($M23="",TODAY()-$B23,$M23-$B23))</f>
        <v/>
      </c>
      <c r="O23" s="30">
        <f>IF(OR($A23="",$L23=""),"",IF(OR($K23="Resolved",$K23="Will not fix"),"Closed",IF(TODAY()&gt;$L23,"OVERDUE","On time")))</f>
        <v/>
      </c>
      <c r="P23" s="27" t="n"/>
    </row>
    <row r="24">
      <c r="A24" s="27" t="n"/>
      <c r="B24" s="29" t="n"/>
      <c r="C24" s="27" t="n"/>
      <c r="D24" s="27" t="n"/>
      <c r="E24" s="27" t="n"/>
      <c r="F24" s="27" t="n"/>
      <c r="G24" s="23" t="n"/>
      <c r="H24" s="27" t="n"/>
      <c r="I24" s="27" t="n"/>
      <c r="J24" s="27" t="n"/>
      <c r="K24" s="23" t="n"/>
      <c r="L24" s="29" t="n"/>
      <c r="M24" s="29" t="n"/>
      <c r="N24" s="30">
        <f>IF($A24="","",IF($M24="",TODAY()-$B24,$M24-$B24))</f>
        <v/>
      </c>
      <c r="O24" s="30">
        <f>IF(OR($A24="",$L24=""),"",IF(OR($K24="Resolved",$K24="Will not fix"),"Closed",IF(TODAY()&gt;$L24,"OVERDUE","On time")))</f>
        <v/>
      </c>
      <c r="P24" s="27" t="n"/>
    </row>
    <row r="25">
      <c r="A25" s="27" t="n"/>
      <c r="B25" s="29" t="n"/>
      <c r="C25" s="27" t="n"/>
      <c r="D25" s="27" t="n"/>
      <c r="E25" s="27" t="n"/>
      <c r="F25" s="27" t="n"/>
      <c r="G25" s="23" t="n"/>
      <c r="H25" s="27" t="n"/>
      <c r="I25" s="27" t="n"/>
      <c r="J25" s="27" t="n"/>
      <c r="K25" s="23" t="n"/>
      <c r="L25" s="29" t="n"/>
      <c r="M25" s="29" t="n"/>
      <c r="N25" s="30">
        <f>IF($A25="","",IF($M25="",TODAY()-$B25,$M25-$B25))</f>
        <v/>
      </c>
      <c r="O25" s="30">
        <f>IF(OR($A25="",$L25=""),"",IF(OR($K25="Resolved",$K25="Will not fix"),"Closed",IF(TODAY()&gt;$L25,"OVERDUE","On time")))</f>
        <v/>
      </c>
      <c r="P25" s="27" t="n"/>
    </row>
    <row r="26">
      <c r="A26" s="27" t="n"/>
      <c r="B26" s="29" t="n"/>
      <c r="C26" s="27" t="n"/>
      <c r="D26" s="27" t="n"/>
      <c r="E26" s="27" t="n"/>
      <c r="F26" s="27" t="n"/>
      <c r="G26" s="23" t="n"/>
      <c r="H26" s="27" t="n"/>
      <c r="I26" s="27" t="n"/>
      <c r="J26" s="27" t="n"/>
      <c r="K26" s="23" t="n"/>
      <c r="L26" s="29" t="n"/>
      <c r="M26" s="29" t="n"/>
      <c r="N26" s="30">
        <f>IF($A26="","",IF($M26="",TODAY()-$B26,$M26-$B26))</f>
        <v/>
      </c>
      <c r="O26" s="30">
        <f>IF(OR($A26="",$L26=""),"",IF(OR($K26="Resolved",$K26="Will not fix"),"Closed",IF(TODAY()&gt;$L26,"OVERDUE","On time")))</f>
        <v/>
      </c>
      <c r="P26" s="27" t="n"/>
    </row>
    <row r="27">
      <c r="A27" s="27" t="n"/>
      <c r="B27" s="29" t="n"/>
      <c r="C27" s="27" t="n"/>
      <c r="D27" s="27" t="n"/>
      <c r="E27" s="27" t="n"/>
      <c r="F27" s="27" t="n"/>
      <c r="G27" s="23" t="n"/>
      <c r="H27" s="27" t="n"/>
      <c r="I27" s="27" t="n"/>
      <c r="J27" s="27" t="n"/>
      <c r="K27" s="23" t="n"/>
      <c r="L27" s="29" t="n"/>
      <c r="M27" s="29" t="n"/>
      <c r="N27" s="30">
        <f>IF($A27="","",IF($M27="",TODAY()-$B27,$M27-$B27))</f>
        <v/>
      </c>
      <c r="O27" s="30">
        <f>IF(OR($A27="",$L27=""),"",IF(OR($K27="Resolved",$K27="Will not fix"),"Closed",IF(TODAY()&gt;$L27,"OVERDUE","On time")))</f>
        <v/>
      </c>
      <c r="P27" s="27" t="n"/>
    </row>
    <row r="28">
      <c r="A28" s="27" t="n"/>
      <c r="B28" s="29" t="n"/>
      <c r="C28" s="27" t="n"/>
      <c r="D28" s="27" t="n"/>
      <c r="E28" s="27" t="n"/>
      <c r="F28" s="27" t="n"/>
      <c r="G28" s="23" t="n"/>
      <c r="H28" s="27" t="n"/>
      <c r="I28" s="27" t="n"/>
      <c r="J28" s="27" t="n"/>
      <c r="K28" s="23" t="n"/>
      <c r="L28" s="29" t="n"/>
      <c r="M28" s="29" t="n"/>
      <c r="N28" s="30">
        <f>IF($A28="","",IF($M28="",TODAY()-$B28,$M28-$B28))</f>
        <v/>
      </c>
      <c r="O28" s="30">
        <f>IF(OR($A28="",$L28=""),"",IF(OR($K28="Resolved",$K28="Will not fix"),"Closed",IF(TODAY()&gt;$L28,"OVERDUE","On time")))</f>
        <v/>
      </c>
      <c r="P28" s="27" t="n"/>
    </row>
    <row r="29">
      <c r="A29" s="27" t="n"/>
      <c r="B29" s="29" t="n"/>
      <c r="C29" s="27" t="n"/>
      <c r="D29" s="27" t="n"/>
      <c r="E29" s="27" t="n"/>
      <c r="F29" s="27" t="n"/>
      <c r="G29" s="23" t="n"/>
      <c r="H29" s="27" t="n"/>
      <c r="I29" s="27" t="n"/>
      <c r="J29" s="27" t="n"/>
      <c r="K29" s="23" t="n"/>
      <c r="L29" s="29" t="n"/>
      <c r="M29" s="29" t="n"/>
      <c r="N29" s="30">
        <f>IF($A29="","",IF($M29="",TODAY()-$B29,$M29-$B29))</f>
        <v/>
      </c>
      <c r="O29" s="30">
        <f>IF(OR($A29="",$L29=""),"",IF(OR($K29="Resolved",$K29="Will not fix"),"Closed",IF(TODAY()&gt;$L29,"OVERDUE","On time")))</f>
        <v/>
      </c>
      <c r="P29" s="27" t="n"/>
    </row>
    <row r="30">
      <c r="A30" s="27" t="n"/>
      <c r="B30" s="29" t="n"/>
      <c r="C30" s="27" t="n"/>
      <c r="D30" s="27" t="n"/>
      <c r="E30" s="27" t="n"/>
      <c r="F30" s="27" t="n"/>
      <c r="G30" s="23" t="n"/>
      <c r="H30" s="27" t="n"/>
      <c r="I30" s="27" t="n"/>
      <c r="J30" s="27" t="n"/>
      <c r="K30" s="23" t="n"/>
      <c r="L30" s="29" t="n"/>
      <c r="M30" s="29" t="n"/>
      <c r="N30" s="30">
        <f>IF($A30="","",IF($M30="",TODAY()-$B30,$M30-$B30))</f>
        <v/>
      </c>
      <c r="O30" s="30">
        <f>IF(OR($A30="",$L30=""),"",IF(OR($K30="Resolved",$K30="Will not fix"),"Closed",IF(TODAY()&gt;$L30,"OVERDUE","On time")))</f>
        <v/>
      </c>
      <c r="P30" s="27" t="n"/>
    </row>
    <row r="31">
      <c r="A31" s="27" t="n"/>
      <c r="B31" s="29" t="n"/>
      <c r="C31" s="27" t="n"/>
      <c r="D31" s="27" t="n"/>
      <c r="E31" s="27" t="n"/>
      <c r="F31" s="27" t="n"/>
      <c r="G31" s="23" t="n"/>
      <c r="H31" s="27" t="n"/>
      <c r="I31" s="27" t="n"/>
      <c r="J31" s="27" t="n"/>
      <c r="K31" s="23" t="n"/>
      <c r="L31" s="29" t="n"/>
      <c r="M31" s="29" t="n"/>
      <c r="N31" s="30">
        <f>IF($A31="","",IF($M31="",TODAY()-$B31,$M31-$B31))</f>
        <v/>
      </c>
      <c r="O31" s="30">
        <f>IF(OR($A31="",$L31=""),"",IF(OR($K31="Resolved",$K31="Will not fix"),"Closed",IF(TODAY()&gt;$L31,"OVERDUE","On time")))</f>
        <v/>
      </c>
      <c r="P31" s="27" t="n"/>
    </row>
    <row r="32">
      <c r="A32" s="27" t="n"/>
      <c r="B32" s="29" t="n"/>
      <c r="C32" s="27" t="n"/>
      <c r="D32" s="27" t="n"/>
      <c r="E32" s="27" t="n"/>
      <c r="F32" s="27" t="n"/>
      <c r="G32" s="23" t="n"/>
      <c r="H32" s="27" t="n"/>
      <c r="I32" s="27" t="n"/>
      <c r="J32" s="27" t="n"/>
      <c r="K32" s="23" t="n"/>
      <c r="L32" s="29" t="n"/>
      <c r="M32" s="29" t="n"/>
      <c r="N32" s="30">
        <f>IF($A32="","",IF($M32="",TODAY()-$B32,$M32-$B32))</f>
        <v/>
      </c>
      <c r="O32" s="30">
        <f>IF(OR($A32="",$L32=""),"",IF(OR($K32="Resolved",$K32="Will not fix"),"Closed",IF(TODAY()&gt;$L32,"OVERDUE","On time")))</f>
        <v/>
      </c>
      <c r="P32" s="27" t="n"/>
    </row>
    <row r="33">
      <c r="A33" s="27" t="n"/>
      <c r="B33" s="29" t="n"/>
      <c r="C33" s="27" t="n"/>
      <c r="D33" s="27" t="n"/>
      <c r="E33" s="27" t="n"/>
      <c r="F33" s="27" t="n"/>
      <c r="G33" s="23" t="n"/>
      <c r="H33" s="27" t="n"/>
      <c r="I33" s="27" t="n"/>
      <c r="J33" s="27" t="n"/>
      <c r="K33" s="23" t="n"/>
      <c r="L33" s="29" t="n"/>
      <c r="M33" s="29" t="n"/>
      <c r="N33" s="30">
        <f>IF($A33="","",IF($M33="",TODAY()-$B33,$M33-$B33))</f>
        <v/>
      </c>
      <c r="O33" s="30">
        <f>IF(OR($A33="",$L33=""),"",IF(OR($K33="Resolved",$K33="Will not fix"),"Closed",IF(TODAY()&gt;$L33,"OVERDUE","On time")))</f>
        <v/>
      </c>
      <c r="P33" s="27" t="n"/>
    </row>
    <row r="34">
      <c r="A34" s="27" t="n"/>
      <c r="B34" s="29" t="n"/>
      <c r="C34" s="27" t="n"/>
      <c r="D34" s="27" t="n"/>
      <c r="E34" s="27" t="n"/>
      <c r="F34" s="27" t="n"/>
      <c r="G34" s="23" t="n"/>
      <c r="H34" s="27" t="n"/>
      <c r="I34" s="27" t="n"/>
      <c r="J34" s="27" t="n"/>
      <c r="K34" s="23" t="n"/>
      <c r="L34" s="29" t="n"/>
      <c r="M34" s="29" t="n"/>
      <c r="N34" s="30">
        <f>IF($A34="","",IF($M34="",TODAY()-$B34,$M34-$B34))</f>
        <v/>
      </c>
      <c r="O34" s="30">
        <f>IF(OR($A34="",$L34=""),"",IF(OR($K34="Resolved",$K34="Will not fix"),"Closed",IF(TODAY()&gt;$L34,"OVERDUE","On time")))</f>
        <v/>
      </c>
      <c r="P34" s="27" t="n"/>
    </row>
    <row r="35">
      <c r="A35" s="27" t="n"/>
      <c r="B35" s="29" t="n"/>
      <c r="C35" s="27" t="n"/>
      <c r="D35" s="27" t="n"/>
      <c r="E35" s="27" t="n"/>
      <c r="F35" s="27" t="n"/>
      <c r="G35" s="23" t="n"/>
      <c r="H35" s="27" t="n"/>
      <c r="I35" s="27" t="n"/>
      <c r="J35" s="27" t="n"/>
      <c r="K35" s="23" t="n"/>
      <c r="L35" s="29" t="n"/>
      <c r="M35" s="29" t="n"/>
      <c r="N35" s="30">
        <f>IF($A35="","",IF($M35="",TODAY()-$B35,$M35-$B35))</f>
        <v/>
      </c>
      <c r="O35" s="30">
        <f>IF(OR($A35="",$L35=""),"",IF(OR($K35="Resolved",$K35="Will not fix"),"Closed",IF(TODAY()&gt;$L35,"OVERDUE","On time")))</f>
        <v/>
      </c>
      <c r="P35" s="27" t="n"/>
    </row>
    <row r="36">
      <c r="A36" s="27" t="n"/>
      <c r="B36" s="29" t="n"/>
      <c r="C36" s="27" t="n"/>
      <c r="D36" s="27" t="n"/>
      <c r="E36" s="27" t="n"/>
      <c r="F36" s="27" t="n"/>
      <c r="G36" s="23" t="n"/>
      <c r="H36" s="27" t="n"/>
      <c r="I36" s="27" t="n"/>
      <c r="J36" s="27" t="n"/>
      <c r="K36" s="23" t="n"/>
      <c r="L36" s="29" t="n"/>
      <c r="M36" s="29" t="n"/>
      <c r="N36" s="30">
        <f>IF($A36="","",IF($M36="",TODAY()-$B36,$M36-$B36))</f>
        <v/>
      </c>
      <c r="O36" s="30">
        <f>IF(OR($A36="",$L36=""),"",IF(OR($K36="Resolved",$K36="Will not fix"),"Closed",IF(TODAY()&gt;$L36,"OVERDUE","On time")))</f>
        <v/>
      </c>
      <c r="P36" s="27" t="n"/>
    </row>
    <row r="37">
      <c r="A37" s="27" t="n"/>
      <c r="B37" s="29" t="n"/>
      <c r="C37" s="27" t="n"/>
      <c r="D37" s="27" t="n"/>
      <c r="E37" s="27" t="n"/>
      <c r="F37" s="27" t="n"/>
      <c r="G37" s="23" t="n"/>
      <c r="H37" s="27" t="n"/>
      <c r="I37" s="27" t="n"/>
      <c r="J37" s="27" t="n"/>
      <c r="K37" s="23" t="n"/>
      <c r="L37" s="29" t="n"/>
      <c r="M37" s="29" t="n"/>
      <c r="N37" s="30">
        <f>IF($A37="","",IF($M37="",TODAY()-$B37,$M37-$B37))</f>
        <v/>
      </c>
      <c r="O37" s="30">
        <f>IF(OR($A37="",$L37=""),"",IF(OR($K37="Resolved",$K37="Will not fix"),"Closed",IF(TODAY()&gt;$L37,"OVERDUE","On time")))</f>
        <v/>
      </c>
      <c r="P37" s="27" t="n"/>
    </row>
    <row r="38">
      <c r="A38" s="27" t="n"/>
      <c r="B38" s="29" t="n"/>
      <c r="C38" s="27" t="n"/>
      <c r="D38" s="27" t="n"/>
      <c r="E38" s="27" t="n"/>
      <c r="F38" s="27" t="n"/>
      <c r="G38" s="23" t="n"/>
      <c r="H38" s="27" t="n"/>
      <c r="I38" s="27" t="n"/>
      <c r="J38" s="27" t="n"/>
      <c r="K38" s="23" t="n"/>
      <c r="L38" s="29" t="n"/>
      <c r="M38" s="29" t="n"/>
      <c r="N38" s="30">
        <f>IF($A38="","",IF($M38="",TODAY()-$B38,$M38-$B38))</f>
        <v/>
      </c>
      <c r="O38" s="30">
        <f>IF(OR($A38="",$L38=""),"",IF(OR($K38="Resolved",$K38="Will not fix"),"Closed",IF(TODAY()&gt;$L38,"OVERDUE","On time")))</f>
        <v/>
      </c>
      <c r="P38" s="27" t="n"/>
    </row>
    <row r="39">
      <c r="A39" s="27" t="n"/>
      <c r="B39" s="29" t="n"/>
      <c r="C39" s="27" t="n"/>
      <c r="D39" s="27" t="n"/>
      <c r="E39" s="27" t="n"/>
      <c r="F39" s="27" t="n"/>
      <c r="G39" s="23" t="n"/>
      <c r="H39" s="27" t="n"/>
      <c r="I39" s="27" t="n"/>
      <c r="J39" s="27" t="n"/>
      <c r="K39" s="23" t="n"/>
      <c r="L39" s="29" t="n"/>
      <c r="M39" s="29" t="n"/>
      <c r="N39" s="30">
        <f>IF($A39="","",IF($M39="",TODAY()-$B39,$M39-$B39))</f>
        <v/>
      </c>
      <c r="O39" s="30">
        <f>IF(OR($A39="",$L39=""),"",IF(OR($K39="Resolved",$K39="Will not fix"),"Closed",IF(TODAY()&gt;$L39,"OVERDUE","On time")))</f>
        <v/>
      </c>
      <c r="P39" s="27" t="n"/>
    </row>
    <row r="40">
      <c r="A40" s="27" t="n"/>
      <c r="B40" s="29" t="n"/>
      <c r="C40" s="27" t="n"/>
      <c r="D40" s="27" t="n"/>
      <c r="E40" s="27" t="n"/>
      <c r="F40" s="27" t="n"/>
      <c r="G40" s="23" t="n"/>
      <c r="H40" s="27" t="n"/>
      <c r="I40" s="27" t="n"/>
      <c r="J40" s="27" t="n"/>
      <c r="K40" s="23" t="n"/>
      <c r="L40" s="29" t="n"/>
      <c r="M40" s="29" t="n"/>
      <c r="N40" s="30">
        <f>IF($A40="","",IF($M40="",TODAY()-$B40,$M40-$B40))</f>
        <v/>
      </c>
      <c r="O40" s="30">
        <f>IF(OR($A40="",$L40=""),"",IF(OR($K40="Resolved",$K40="Will not fix"),"Closed",IF(TODAY()&gt;$L40,"OVERDUE","On time")))</f>
        <v/>
      </c>
      <c r="P40" s="27" t="n"/>
    </row>
    <row r="41">
      <c r="A41" s="27" t="n"/>
      <c r="B41" s="29" t="n"/>
      <c r="C41" s="27" t="n"/>
      <c r="D41" s="27" t="n"/>
      <c r="E41" s="27" t="n"/>
      <c r="F41" s="27" t="n"/>
      <c r="G41" s="23" t="n"/>
      <c r="H41" s="27" t="n"/>
      <c r="I41" s="27" t="n"/>
      <c r="J41" s="27" t="n"/>
      <c r="K41" s="23" t="n"/>
      <c r="L41" s="29" t="n"/>
      <c r="M41" s="29" t="n"/>
      <c r="N41" s="30">
        <f>IF($A41="","",IF($M41="",TODAY()-$B41,$M41-$B41))</f>
        <v/>
      </c>
      <c r="O41" s="30">
        <f>IF(OR($A41="",$L41=""),"",IF(OR($K41="Resolved",$K41="Will not fix"),"Closed",IF(TODAY()&gt;$L41,"OVERDUE","On time")))</f>
        <v/>
      </c>
      <c r="P41" s="27" t="n"/>
    </row>
    <row r="42">
      <c r="A42" s="27" t="n"/>
      <c r="B42" s="29" t="n"/>
      <c r="C42" s="27" t="n"/>
      <c r="D42" s="27" t="n"/>
      <c r="E42" s="27" t="n"/>
      <c r="F42" s="27" t="n"/>
      <c r="G42" s="23" t="n"/>
      <c r="H42" s="27" t="n"/>
      <c r="I42" s="27" t="n"/>
      <c r="J42" s="27" t="n"/>
      <c r="K42" s="23" t="n"/>
      <c r="L42" s="29" t="n"/>
      <c r="M42" s="29" t="n"/>
      <c r="N42" s="30">
        <f>IF($A42="","",IF($M42="",TODAY()-$B42,$M42-$B42))</f>
        <v/>
      </c>
      <c r="O42" s="30">
        <f>IF(OR($A42="",$L42=""),"",IF(OR($K42="Resolved",$K42="Will not fix"),"Closed",IF(TODAY()&gt;$L42,"OVERDUE","On time")))</f>
        <v/>
      </c>
      <c r="P42" s="27" t="n"/>
    </row>
    <row r="43">
      <c r="A43" s="27" t="n"/>
      <c r="B43" s="29" t="n"/>
      <c r="C43" s="27" t="n"/>
      <c r="D43" s="27" t="n"/>
      <c r="E43" s="27" t="n"/>
      <c r="F43" s="27" t="n"/>
      <c r="G43" s="23" t="n"/>
      <c r="H43" s="27" t="n"/>
      <c r="I43" s="27" t="n"/>
      <c r="J43" s="27" t="n"/>
      <c r="K43" s="23" t="n"/>
      <c r="L43" s="29" t="n"/>
      <c r="M43" s="29" t="n"/>
      <c r="N43" s="30">
        <f>IF($A43="","",IF($M43="",TODAY()-$B43,$M43-$B43))</f>
        <v/>
      </c>
      <c r="O43" s="30">
        <f>IF(OR($A43="",$L43=""),"",IF(OR($K43="Resolved",$K43="Will not fix"),"Closed",IF(TODAY()&gt;$L43,"OVERDUE","On time")))</f>
        <v/>
      </c>
      <c r="P43" s="27" t="n"/>
    </row>
    <row r="44">
      <c r="A44" s="27" t="n"/>
      <c r="B44" s="29" t="n"/>
      <c r="C44" s="27" t="n"/>
      <c r="D44" s="27" t="n"/>
      <c r="E44" s="27" t="n"/>
      <c r="F44" s="27" t="n"/>
      <c r="G44" s="23" t="n"/>
      <c r="H44" s="27" t="n"/>
      <c r="I44" s="27" t="n"/>
      <c r="J44" s="27" t="n"/>
      <c r="K44" s="23" t="n"/>
      <c r="L44" s="29" t="n"/>
      <c r="M44" s="29" t="n"/>
      <c r="N44" s="30">
        <f>IF($A44="","",IF($M44="",TODAY()-$B44,$M44-$B44))</f>
        <v/>
      </c>
      <c r="O44" s="30">
        <f>IF(OR($A44="",$L44=""),"",IF(OR($K44="Resolved",$K44="Will not fix"),"Closed",IF(TODAY()&gt;$L44,"OVERDUE","On time")))</f>
        <v/>
      </c>
      <c r="P44" s="27" t="n"/>
    </row>
    <row r="45">
      <c r="A45" s="27" t="n"/>
      <c r="B45" s="29" t="n"/>
      <c r="C45" s="27" t="n"/>
      <c r="D45" s="27" t="n"/>
      <c r="E45" s="27" t="n"/>
      <c r="F45" s="27" t="n"/>
      <c r="G45" s="23" t="n"/>
      <c r="H45" s="27" t="n"/>
      <c r="I45" s="27" t="n"/>
      <c r="J45" s="27" t="n"/>
      <c r="K45" s="23" t="n"/>
      <c r="L45" s="29" t="n"/>
      <c r="M45" s="29" t="n"/>
      <c r="N45" s="30">
        <f>IF($A45="","",IF($M45="",TODAY()-$B45,$M45-$B45))</f>
        <v/>
      </c>
      <c r="O45" s="30">
        <f>IF(OR($A45="",$L45=""),"",IF(OR($K45="Resolved",$K45="Will not fix"),"Closed",IF(TODAY()&gt;$L45,"OVERDUE","On time")))</f>
        <v/>
      </c>
      <c r="P45" s="27" t="n"/>
    </row>
    <row r="46">
      <c r="A46" s="27" t="n"/>
      <c r="B46" s="29" t="n"/>
      <c r="C46" s="27" t="n"/>
      <c r="D46" s="27" t="n"/>
      <c r="E46" s="27" t="n"/>
      <c r="F46" s="27" t="n"/>
      <c r="G46" s="23" t="n"/>
      <c r="H46" s="27" t="n"/>
      <c r="I46" s="27" t="n"/>
      <c r="J46" s="27" t="n"/>
      <c r="K46" s="23" t="n"/>
      <c r="L46" s="29" t="n"/>
      <c r="M46" s="29" t="n"/>
      <c r="N46" s="30">
        <f>IF($A46="","",IF($M46="",TODAY()-$B46,$M46-$B46))</f>
        <v/>
      </c>
      <c r="O46" s="30">
        <f>IF(OR($A46="",$L46=""),"",IF(OR($K46="Resolved",$K46="Will not fix"),"Closed",IF(TODAY()&gt;$L46,"OVERDUE","On time")))</f>
        <v/>
      </c>
      <c r="P46" s="27" t="n"/>
    </row>
    <row r="47">
      <c r="A47" s="27" t="n"/>
      <c r="B47" s="29" t="n"/>
      <c r="C47" s="27" t="n"/>
      <c r="D47" s="27" t="n"/>
      <c r="E47" s="27" t="n"/>
      <c r="F47" s="27" t="n"/>
      <c r="G47" s="23" t="n"/>
      <c r="H47" s="27" t="n"/>
      <c r="I47" s="27" t="n"/>
      <c r="J47" s="27" t="n"/>
      <c r="K47" s="23" t="n"/>
      <c r="L47" s="29" t="n"/>
      <c r="M47" s="29" t="n"/>
      <c r="N47" s="30">
        <f>IF($A47="","",IF($M47="",TODAY()-$B47,$M47-$B47))</f>
        <v/>
      </c>
      <c r="O47" s="30">
        <f>IF(OR($A47="",$L47=""),"",IF(OR($K47="Resolved",$K47="Will not fix"),"Closed",IF(TODAY()&gt;$L47,"OVERDUE","On time")))</f>
        <v/>
      </c>
      <c r="P47" s="27" t="n"/>
    </row>
    <row r="48">
      <c r="A48" s="27" t="n"/>
      <c r="B48" s="29" t="n"/>
      <c r="C48" s="27" t="n"/>
      <c r="D48" s="27" t="n"/>
      <c r="E48" s="27" t="n"/>
      <c r="F48" s="27" t="n"/>
      <c r="G48" s="23" t="n"/>
      <c r="H48" s="27" t="n"/>
      <c r="I48" s="27" t="n"/>
      <c r="J48" s="27" t="n"/>
      <c r="K48" s="23" t="n"/>
      <c r="L48" s="29" t="n"/>
      <c r="M48" s="29" t="n"/>
      <c r="N48" s="30">
        <f>IF($A48="","",IF($M48="",TODAY()-$B48,$M48-$B48))</f>
        <v/>
      </c>
      <c r="O48" s="30">
        <f>IF(OR($A48="",$L48=""),"",IF(OR($K48="Resolved",$K48="Will not fix"),"Closed",IF(TODAY()&gt;$L48,"OVERDUE","On time")))</f>
        <v/>
      </c>
      <c r="P48" s="27" t="n"/>
    </row>
    <row r="49">
      <c r="A49" s="27" t="n"/>
      <c r="B49" s="29" t="n"/>
      <c r="C49" s="27" t="n"/>
      <c r="D49" s="27" t="n"/>
      <c r="E49" s="27" t="n"/>
      <c r="F49" s="27" t="n"/>
      <c r="G49" s="23" t="n"/>
      <c r="H49" s="27" t="n"/>
      <c r="I49" s="27" t="n"/>
      <c r="J49" s="27" t="n"/>
      <c r="K49" s="23" t="n"/>
      <c r="L49" s="29" t="n"/>
      <c r="M49" s="29" t="n"/>
      <c r="N49" s="30">
        <f>IF($A49="","",IF($M49="",TODAY()-$B49,$M49-$B49))</f>
        <v/>
      </c>
      <c r="O49" s="30">
        <f>IF(OR($A49="",$L49=""),"",IF(OR($K49="Resolved",$K49="Will not fix"),"Closed",IF(TODAY()&gt;$L49,"OVERDUE","On time")))</f>
        <v/>
      </c>
      <c r="P49" s="27" t="n"/>
    </row>
    <row r="50">
      <c r="A50" s="27" t="n"/>
      <c r="B50" s="29" t="n"/>
      <c r="C50" s="27" t="n"/>
      <c r="D50" s="27" t="n"/>
      <c r="E50" s="27" t="n"/>
      <c r="F50" s="27" t="n"/>
      <c r="G50" s="23" t="n"/>
      <c r="H50" s="27" t="n"/>
      <c r="I50" s="27" t="n"/>
      <c r="J50" s="27" t="n"/>
      <c r="K50" s="23" t="n"/>
      <c r="L50" s="29" t="n"/>
      <c r="M50" s="29" t="n"/>
      <c r="N50" s="30">
        <f>IF($A50="","",IF($M50="",TODAY()-$B50,$M50-$B50))</f>
        <v/>
      </c>
      <c r="O50" s="30">
        <f>IF(OR($A50="",$L50=""),"",IF(OR($K50="Resolved",$K50="Will not fix"),"Closed",IF(TODAY()&gt;$L50,"OVERDUE","On time")))</f>
        <v/>
      </c>
      <c r="P50" s="27" t="n"/>
    </row>
    <row r="51">
      <c r="A51" s="27" t="n"/>
      <c r="B51" s="29" t="n"/>
      <c r="C51" s="27" t="n"/>
      <c r="D51" s="27" t="n"/>
      <c r="E51" s="27" t="n"/>
      <c r="F51" s="27" t="n"/>
      <c r="G51" s="23" t="n"/>
      <c r="H51" s="27" t="n"/>
      <c r="I51" s="27" t="n"/>
      <c r="J51" s="27" t="n"/>
      <c r="K51" s="23" t="n"/>
      <c r="L51" s="29" t="n"/>
      <c r="M51" s="29" t="n"/>
      <c r="N51" s="30">
        <f>IF($A51="","",IF($M51="",TODAY()-$B51,$M51-$B51))</f>
        <v/>
      </c>
      <c r="O51" s="30">
        <f>IF(OR($A51="",$L51=""),"",IF(OR($K51="Resolved",$K51="Will not fix"),"Closed",IF(TODAY()&gt;$L51,"OVERDUE","On time")))</f>
        <v/>
      </c>
      <c r="P51" s="27" t="n"/>
    </row>
    <row r="52">
      <c r="A52" s="27" t="n"/>
      <c r="B52" s="29" t="n"/>
      <c r="C52" s="27" t="n"/>
      <c r="D52" s="27" t="n"/>
      <c r="E52" s="27" t="n"/>
      <c r="F52" s="27" t="n"/>
      <c r="G52" s="23" t="n"/>
      <c r="H52" s="27" t="n"/>
      <c r="I52" s="27" t="n"/>
      <c r="J52" s="27" t="n"/>
      <c r="K52" s="23" t="n"/>
      <c r="L52" s="29" t="n"/>
      <c r="M52" s="29" t="n"/>
      <c r="N52" s="30">
        <f>IF($A52="","",IF($M52="",TODAY()-$B52,$M52-$B52))</f>
        <v/>
      </c>
      <c r="O52" s="30">
        <f>IF(OR($A52="",$L52=""),"",IF(OR($K52="Resolved",$K52="Will not fix"),"Closed",IF(TODAY()&gt;$L52,"OVERDUE","On time")))</f>
        <v/>
      </c>
      <c r="P52" s="27" t="n"/>
    </row>
    <row r="53">
      <c r="A53" s="27" t="n"/>
      <c r="B53" s="29" t="n"/>
      <c r="C53" s="27" t="n"/>
      <c r="D53" s="27" t="n"/>
      <c r="E53" s="27" t="n"/>
      <c r="F53" s="27" t="n"/>
      <c r="G53" s="23" t="n"/>
      <c r="H53" s="27" t="n"/>
      <c r="I53" s="27" t="n"/>
      <c r="J53" s="27" t="n"/>
      <c r="K53" s="23" t="n"/>
      <c r="L53" s="29" t="n"/>
      <c r="M53" s="29" t="n"/>
      <c r="N53" s="30">
        <f>IF($A53="","",IF($M53="",TODAY()-$B53,$M53-$B53))</f>
        <v/>
      </c>
      <c r="O53" s="30">
        <f>IF(OR($A53="",$L53=""),"",IF(OR($K53="Resolved",$K53="Will not fix"),"Closed",IF(TODAY()&gt;$L53,"OVERDUE","On time")))</f>
        <v/>
      </c>
      <c r="P53" s="27" t="n"/>
    </row>
    <row r="54">
      <c r="A54" s="27" t="n"/>
      <c r="B54" s="29" t="n"/>
      <c r="C54" s="27" t="n"/>
      <c r="D54" s="27" t="n"/>
      <c r="E54" s="27" t="n"/>
      <c r="F54" s="27" t="n"/>
      <c r="G54" s="23" t="n"/>
      <c r="H54" s="27" t="n"/>
      <c r="I54" s="27" t="n"/>
      <c r="J54" s="27" t="n"/>
      <c r="K54" s="23" t="n"/>
      <c r="L54" s="29" t="n"/>
      <c r="M54" s="29" t="n"/>
      <c r="N54" s="30">
        <f>IF($A54="","",IF($M54="",TODAY()-$B54,$M54-$B54))</f>
        <v/>
      </c>
      <c r="O54" s="30">
        <f>IF(OR($A54="",$L54=""),"",IF(OR($K54="Resolved",$K54="Will not fix"),"Closed",IF(TODAY()&gt;$L54,"OVERDUE","On time")))</f>
        <v/>
      </c>
      <c r="P54" s="27" t="n"/>
    </row>
    <row r="55">
      <c r="A55" s="27" t="n"/>
      <c r="B55" s="29" t="n"/>
      <c r="C55" s="27" t="n"/>
      <c r="D55" s="27" t="n"/>
      <c r="E55" s="27" t="n"/>
      <c r="F55" s="27" t="n"/>
      <c r="G55" s="23" t="n"/>
      <c r="H55" s="27" t="n"/>
      <c r="I55" s="27" t="n"/>
      <c r="J55" s="27" t="n"/>
      <c r="K55" s="23" t="n"/>
      <c r="L55" s="29" t="n"/>
      <c r="M55" s="29" t="n"/>
      <c r="N55" s="30">
        <f>IF($A55="","",IF($M55="",TODAY()-$B55,$M55-$B55))</f>
        <v/>
      </c>
      <c r="O55" s="30">
        <f>IF(OR($A55="",$L55=""),"",IF(OR($K55="Resolved",$K55="Will not fix"),"Closed",IF(TODAY()&gt;$L55,"OVERDUE","On time")))</f>
        <v/>
      </c>
      <c r="P55" s="27" t="n"/>
    </row>
    <row r="56">
      <c r="A56" s="27" t="n"/>
      <c r="B56" s="29" t="n"/>
      <c r="C56" s="27" t="n"/>
      <c r="D56" s="27" t="n"/>
      <c r="E56" s="27" t="n"/>
      <c r="F56" s="27" t="n"/>
      <c r="G56" s="23" t="n"/>
      <c r="H56" s="27" t="n"/>
      <c r="I56" s="27" t="n"/>
      <c r="J56" s="27" t="n"/>
      <c r="K56" s="23" t="n"/>
      <c r="L56" s="29" t="n"/>
      <c r="M56" s="29" t="n"/>
      <c r="N56" s="30">
        <f>IF($A56="","",IF($M56="",TODAY()-$B56,$M56-$B56))</f>
        <v/>
      </c>
      <c r="O56" s="30">
        <f>IF(OR($A56="",$L56=""),"",IF(OR($K56="Resolved",$K56="Will not fix"),"Closed",IF(TODAY()&gt;$L56,"OVERDUE","On time")))</f>
        <v/>
      </c>
      <c r="P56" s="27" t="n"/>
    </row>
    <row r="57">
      <c r="A57" s="27" t="n"/>
      <c r="B57" s="29" t="n"/>
      <c r="C57" s="27" t="n"/>
      <c r="D57" s="27" t="n"/>
      <c r="E57" s="27" t="n"/>
      <c r="F57" s="27" t="n"/>
      <c r="G57" s="23" t="n"/>
      <c r="H57" s="27" t="n"/>
      <c r="I57" s="27" t="n"/>
      <c r="J57" s="27" t="n"/>
      <c r="K57" s="23" t="n"/>
      <c r="L57" s="29" t="n"/>
      <c r="M57" s="29" t="n"/>
      <c r="N57" s="30">
        <f>IF($A57="","",IF($M57="",TODAY()-$B57,$M57-$B57))</f>
        <v/>
      </c>
      <c r="O57" s="30">
        <f>IF(OR($A57="",$L57=""),"",IF(OR($K57="Resolved",$K57="Will not fix"),"Closed",IF(TODAY()&gt;$L57,"OVERDUE","On time")))</f>
        <v/>
      </c>
      <c r="P57" s="27" t="n"/>
    </row>
    <row r="58">
      <c r="A58" s="27" t="n"/>
      <c r="B58" s="29" t="n"/>
      <c r="C58" s="27" t="n"/>
      <c r="D58" s="27" t="n"/>
      <c r="E58" s="27" t="n"/>
      <c r="F58" s="27" t="n"/>
      <c r="G58" s="23" t="n"/>
      <c r="H58" s="27" t="n"/>
      <c r="I58" s="27" t="n"/>
      <c r="J58" s="27" t="n"/>
      <c r="K58" s="23" t="n"/>
      <c r="L58" s="29" t="n"/>
      <c r="M58" s="29" t="n"/>
      <c r="N58" s="30">
        <f>IF($A58="","",IF($M58="",TODAY()-$B58,$M58-$B58))</f>
        <v/>
      </c>
      <c r="O58" s="30">
        <f>IF(OR($A58="",$L58=""),"",IF(OR($K58="Resolved",$K58="Will not fix"),"Closed",IF(TODAY()&gt;$L58,"OVERDUE","On time")))</f>
        <v/>
      </c>
      <c r="P58" s="27" t="n"/>
    </row>
    <row r="59">
      <c r="A59" s="27" t="n"/>
      <c r="B59" s="29" t="n"/>
      <c r="C59" s="27" t="n"/>
      <c r="D59" s="27" t="n"/>
      <c r="E59" s="27" t="n"/>
      <c r="F59" s="27" t="n"/>
      <c r="G59" s="23" t="n"/>
      <c r="H59" s="27" t="n"/>
      <c r="I59" s="27" t="n"/>
      <c r="J59" s="27" t="n"/>
      <c r="K59" s="23" t="n"/>
      <c r="L59" s="29" t="n"/>
      <c r="M59" s="29" t="n"/>
      <c r="N59" s="30">
        <f>IF($A59="","",IF($M59="",TODAY()-$B59,$M59-$B59))</f>
        <v/>
      </c>
      <c r="O59" s="30">
        <f>IF(OR($A59="",$L59=""),"",IF(OR($K59="Resolved",$K59="Will not fix"),"Closed",IF(TODAY()&gt;$L59,"OVERDUE","On time")))</f>
        <v/>
      </c>
      <c r="P59" s="27" t="n"/>
    </row>
    <row r="60">
      <c r="A60" s="27" t="n"/>
      <c r="B60" s="29" t="n"/>
      <c r="C60" s="27" t="n"/>
      <c r="D60" s="27" t="n"/>
      <c r="E60" s="27" t="n"/>
      <c r="F60" s="27" t="n"/>
      <c r="G60" s="23" t="n"/>
      <c r="H60" s="27" t="n"/>
      <c r="I60" s="27" t="n"/>
      <c r="J60" s="27" t="n"/>
      <c r="K60" s="23" t="n"/>
      <c r="L60" s="29" t="n"/>
      <c r="M60" s="29" t="n"/>
      <c r="N60" s="30">
        <f>IF($A60="","",IF($M60="",TODAY()-$B60,$M60-$B60))</f>
        <v/>
      </c>
      <c r="O60" s="30">
        <f>IF(OR($A60="",$L60=""),"",IF(OR($K60="Resolved",$K60="Will not fix"),"Closed",IF(TODAY()&gt;$L60,"OVERDUE","On time")))</f>
        <v/>
      </c>
      <c r="P60" s="27" t="n"/>
    </row>
    <row r="61">
      <c r="A61" s="27" t="n"/>
      <c r="B61" s="29" t="n"/>
      <c r="C61" s="27" t="n"/>
      <c r="D61" s="27" t="n"/>
      <c r="E61" s="27" t="n"/>
      <c r="F61" s="27" t="n"/>
      <c r="G61" s="23" t="n"/>
      <c r="H61" s="27" t="n"/>
      <c r="I61" s="27" t="n"/>
      <c r="J61" s="27" t="n"/>
      <c r="K61" s="23" t="n"/>
      <c r="L61" s="29" t="n"/>
      <c r="M61" s="29" t="n"/>
      <c r="N61" s="30">
        <f>IF($A61="","",IF($M61="",TODAY()-$B61,$M61-$B61))</f>
        <v/>
      </c>
      <c r="O61" s="30">
        <f>IF(OR($A61="",$L61=""),"",IF(OR($K61="Resolved",$K61="Will not fix"),"Closed",IF(TODAY()&gt;$L61,"OVERDUE","On time")))</f>
        <v/>
      </c>
      <c r="P61" s="27" t="n"/>
    </row>
    <row r="62">
      <c r="A62" s="27" t="n"/>
      <c r="B62" s="29" t="n"/>
      <c r="C62" s="27" t="n"/>
      <c r="D62" s="27" t="n"/>
      <c r="E62" s="27" t="n"/>
      <c r="F62" s="27" t="n"/>
      <c r="G62" s="23" t="n"/>
      <c r="H62" s="27" t="n"/>
      <c r="I62" s="27" t="n"/>
      <c r="J62" s="27" t="n"/>
      <c r="K62" s="23" t="n"/>
      <c r="L62" s="29" t="n"/>
      <c r="M62" s="29" t="n"/>
      <c r="N62" s="30">
        <f>IF($A62="","",IF($M62="",TODAY()-$B62,$M62-$B62))</f>
        <v/>
      </c>
      <c r="O62" s="30">
        <f>IF(OR($A62="",$L62=""),"",IF(OR($K62="Resolved",$K62="Will not fix"),"Closed",IF(TODAY()&gt;$L62,"OVERDUE","On time")))</f>
        <v/>
      </c>
      <c r="P62" s="27" t="n"/>
    </row>
    <row r="63">
      <c r="A63" s="27" t="n"/>
      <c r="B63" s="29" t="n"/>
      <c r="C63" s="27" t="n"/>
      <c r="D63" s="27" t="n"/>
      <c r="E63" s="27" t="n"/>
      <c r="F63" s="27" t="n"/>
      <c r="G63" s="23" t="n"/>
      <c r="H63" s="27" t="n"/>
      <c r="I63" s="27" t="n"/>
      <c r="J63" s="27" t="n"/>
      <c r="K63" s="23" t="n"/>
      <c r="L63" s="29" t="n"/>
      <c r="M63" s="29" t="n"/>
      <c r="N63" s="30">
        <f>IF($A63="","",IF($M63="",TODAY()-$B63,$M63-$B63))</f>
        <v/>
      </c>
      <c r="O63" s="30">
        <f>IF(OR($A63="",$L63=""),"",IF(OR($K63="Resolved",$K63="Will not fix"),"Closed",IF(TODAY()&gt;$L63,"OVERDUE","On time")))</f>
        <v/>
      </c>
      <c r="P63" s="27" t="n"/>
    </row>
    <row r="64">
      <c r="A64" s="27" t="n"/>
      <c r="B64" s="29" t="n"/>
      <c r="C64" s="27" t="n"/>
      <c r="D64" s="27" t="n"/>
      <c r="E64" s="27" t="n"/>
      <c r="F64" s="27" t="n"/>
      <c r="G64" s="23" t="n"/>
      <c r="H64" s="27" t="n"/>
      <c r="I64" s="27" t="n"/>
      <c r="J64" s="27" t="n"/>
      <c r="K64" s="23" t="n"/>
      <c r="L64" s="29" t="n"/>
      <c r="M64" s="29" t="n"/>
      <c r="N64" s="30">
        <f>IF($A64="","",IF($M64="",TODAY()-$B64,$M64-$B64))</f>
        <v/>
      </c>
      <c r="O64" s="30">
        <f>IF(OR($A64="",$L64=""),"",IF(OR($K64="Resolved",$K64="Will not fix"),"Closed",IF(TODAY()&gt;$L64,"OVERDUE","On time")))</f>
        <v/>
      </c>
      <c r="P64" s="27" t="n"/>
    </row>
    <row r="65">
      <c r="A65" s="27" t="n"/>
      <c r="B65" s="29" t="n"/>
      <c r="C65" s="27" t="n"/>
      <c r="D65" s="27" t="n"/>
      <c r="E65" s="27" t="n"/>
      <c r="F65" s="27" t="n"/>
      <c r="G65" s="23" t="n"/>
      <c r="H65" s="27" t="n"/>
      <c r="I65" s="27" t="n"/>
      <c r="J65" s="27" t="n"/>
      <c r="K65" s="23" t="n"/>
      <c r="L65" s="29" t="n"/>
      <c r="M65" s="29" t="n"/>
      <c r="N65" s="30">
        <f>IF($A65="","",IF($M65="",TODAY()-$B65,$M65-$B65))</f>
        <v/>
      </c>
      <c r="O65" s="30">
        <f>IF(OR($A65="",$L65=""),"",IF(OR($K65="Resolved",$K65="Will not fix"),"Closed",IF(TODAY()&gt;$L65,"OVERDUE","On time")))</f>
        <v/>
      </c>
      <c r="P65" s="27" t="n"/>
    </row>
    <row r="66">
      <c r="A66" s="27" t="n"/>
      <c r="B66" s="29" t="n"/>
      <c r="C66" s="27" t="n"/>
      <c r="D66" s="27" t="n"/>
      <c r="E66" s="27" t="n"/>
      <c r="F66" s="27" t="n"/>
      <c r="G66" s="23" t="n"/>
      <c r="H66" s="27" t="n"/>
      <c r="I66" s="27" t="n"/>
      <c r="J66" s="27" t="n"/>
      <c r="K66" s="23" t="n"/>
      <c r="L66" s="29" t="n"/>
      <c r="M66" s="29" t="n"/>
      <c r="N66" s="30">
        <f>IF($A66="","",IF($M66="",TODAY()-$B66,$M66-$B66))</f>
        <v/>
      </c>
      <c r="O66" s="30">
        <f>IF(OR($A66="",$L66=""),"",IF(OR($K66="Resolved",$K66="Will not fix"),"Closed",IF(TODAY()&gt;$L66,"OVERDUE","On time")))</f>
        <v/>
      </c>
      <c r="P66" s="27" t="n"/>
    </row>
    <row r="67">
      <c r="A67" s="27" t="n"/>
      <c r="B67" s="29" t="n"/>
      <c r="C67" s="27" t="n"/>
      <c r="D67" s="27" t="n"/>
      <c r="E67" s="27" t="n"/>
      <c r="F67" s="27" t="n"/>
      <c r="G67" s="23" t="n"/>
      <c r="H67" s="27" t="n"/>
      <c r="I67" s="27" t="n"/>
      <c r="J67" s="27" t="n"/>
      <c r="K67" s="23" t="n"/>
      <c r="L67" s="29" t="n"/>
      <c r="M67" s="29" t="n"/>
      <c r="N67" s="30">
        <f>IF($A67="","",IF($M67="",TODAY()-$B67,$M67-$B67))</f>
        <v/>
      </c>
      <c r="O67" s="30">
        <f>IF(OR($A67="",$L67=""),"",IF(OR($K67="Resolved",$K67="Will not fix"),"Closed",IF(TODAY()&gt;$L67,"OVERDUE","On time")))</f>
        <v/>
      </c>
      <c r="P67" s="27" t="n"/>
    </row>
    <row r="68">
      <c r="A68" s="27" t="n"/>
      <c r="B68" s="29" t="n"/>
      <c r="C68" s="27" t="n"/>
      <c r="D68" s="27" t="n"/>
      <c r="E68" s="27" t="n"/>
      <c r="F68" s="27" t="n"/>
      <c r="G68" s="23" t="n"/>
      <c r="H68" s="27" t="n"/>
      <c r="I68" s="27" t="n"/>
      <c r="J68" s="27" t="n"/>
      <c r="K68" s="23" t="n"/>
      <c r="L68" s="29" t="n"/>
      <c r="M68" s="29" t="n"/>
      <c r="N68" s="30">
        <f>IF($A68="","",IF($M68="",TODAY()-$B68,$M68-$B68))</f>
        <v/>
      </c>
      <c r="O68" s="30">
        <f>IF(OR($A68="",$L68=""),"",IF(OR($K68="Resolved",$K68="Will not fix"),"Closed",IF(TODAY()&gt;$L68,"OVERDUE","On time")))</f>
        <v/>
      </c>
      <c r="P68" s="27" t="n"/>
    </row>
    <row r="69">
      <c r="A69" s="27" t="n"/>
      <c r="B69" s="29" t="n"/>
      <c r="C69" s="27" t="n"/>
      <c r="D69" s="27" t="n"/>
      <c r="E69" s="27" t="n"/>
      <c r="F69" s="27" t="n"/>
      <c r="G69" s="23" t="n"/>
      <c r="H69" s="27" t="n"/>
      <c r="I69" s="27" t="n"/>
      <c r="J69" s="27" t="n"/>
      <c r="K69" s="23" t="n"/>
      <c r="L69" s="29" t="n"/>
      <c r="M69" s="29" t="n"/>
      <c r="N69" s="30">
        <f>IF($A69="","",IF($M69="",TODAY()-$B69,$M69-$B69))</f>
        <v/>
      </c>
      <c r="O69" s="30">
        <f>IF(OR($A69="",$L69=""),"",IF(OR($K69="Resolved",$K69="Will not fix"),"Closed",IF(TODAY()&gt;$L69,"OVERDUE","On time")))</f>
        <v/>
      </c>
      <c r="P69" s="27" t="n"/>
    </row>
    <row r="70">
      <c r="A70" s="27" t="n"/>
      <c r="B70" s="29" t="n"/>
      <c r="C70" s="27" t="n"/>
      <c r="D70" s="27" t="n"/>
      <c r="E70" s="27" t="n"/>
      <c r="F70" s="27" t="n"/>
      <c r="G70" s="23" t="n"/>
      <c r="H70" s="27" t="n"/>
      <c r="I70" s="27" t="n"/>
      <c r="J70" s="27" t="n"/>
      <c r="K70" s="23" t="n"/>
      <c r="L70" s="29" t="n"/>
      <c r="M70" s="29" t="n"/>
      <c r="N70" s="30">
        <f>IF($A70="","",IF($M70="",TODAY()-$B70,$M70-$B70))</f>
        <v/>
      </c>
      <c r="O70" s="30">
        <f>IF(OR($A70="",$L70=""),"",IF(OR($K70="Resolved",$K70="Will not fix"),"Closed",IF(TODAY()&gt;$L70,"OVERDUE","On time")))</f>
        <v/>
      </c>
      <c r="P70" s="27" t="n"/>
    </row>
    <row r="71">
      <c r="A71" s="27" t="n"/>
      <c r="B71" s="29" t="n"/>
      <c r="C71" s="27" t="n"/>
      <c r="D71" s="27" t="n"/>
      <c r="E71" s="27" t="n"/>
      <c r="F71" s="27" t="n"/>
      <c r="G71" s="23" t="n"/>
      <c r="H71" s="27" t="n"/>
      <c r="I71" s="27" t="n"/>
      <c r="J71" s="27" t="n"/>
      <c r="K71" s="23" t="n"/>
      <c r="L71" s="29" t="n"/>
      <c r="M71" s="29" t="n"/>
      <c r="N71" s="30">
        <f>IF($A71="","",IF($M71="",TODAY()-$B71,$M71-$B71))</f>
        <v/>
      </c>
      <c r="O71" s="30">
        <f>IF(OR($A71="",$L71=""),"",IF(OR($K71="Resolved",$K71="Will not fix"),"Closed",IF(TODAY()&gt;$L71,"OVERDUE","On time")))</f>
        <v/>
      </c>
      <c r="P71" s="27" t="n"/>
    </row>
    <row r="72">
      <c r="A72" s="27" t="n"/>
      <c r="B72" s="29" t="n"/>
      <c r="C72" s="27" t="n"/>
      <c r="D72" s="27" t="n"/>
      <c r="E72" s="27" t="n"/>
      <c r="F72" s="27" t="n"/>
      <c r="G72" s="23" t="n"/>
      <c r="H72" s="27" t="n"/>
      <c r="I72" s="27" t="n"/>
      <c r="J72" s="27" t="n"/>
      <c r="K72" s="23" t="n"/>
      <c r="L72" s="29" t="n"/>
      <c r="M72" s="29" t="n"/>
      <c r="N72" s="30">
        <f>IF($A72="","",IF($M72="",TODAY()-$B72,$M72-$B72))</f>
        <v/>
      </c>
      <c r="O72" s="30">
        <f>IF(OR($A72="",$L72=""),"",IF(OR($K72="Resolved",$K72="Will not fix"),"Closed",IF(TODAY()&gt;$L72,"OVERDUE","On time")))</f>
        <v/>
      </c>
      <c r="P72" s="27" t="n"/>
    </row>
    <row r="73">
      <c r="A73" s="27" t="n"/>
      <c r="B73" s="29" t="n"/>
      <c r="C73" s="27" t="n"/>
      <c r="D73" s="27" t="n"/>
      <c r="E73" s="27" t="n"/>
      <c r="F73" s="27" t="n"/>
      <c r="G73" s="23" t="n"/>
      <c r="H73" s="27" t="n"/>
      <c r="I73" s="27" t="n"/>
      <c r="J73" s="27" t="n"/>
      <c r="K73" s="23" t="n"/>
      <c r="L73" s="29" t="n"/>
      <c r="M73" s="29" t="n"/>
      <c r="N73" s="30">
        <f>IF($A73="","",IF($M73="",TODAY()-$B73,$M73-$B73))</f>
        <v/>
      </c>
      <c r="O73" s="30">
        <f>IF(OR($A73="",$L73=""),"",IF(OR($K73="Resolved",$K73="Will not fix"),"Closed",IF(TODAY()&gt;$L73,"OVERDUE","On time")))</f>
        <v/>
      </c>
      <c r="P73" s="27" t="n"/>
    </row>
    <row r="74">
      <c r="A74" s="27" t="n"/>
      <c r="B74" s="29" t="n"/>
      <c r="C74" s="27" t="n"/>
      <c r="D74" s="27" t="n"/>
      <c r="E74" s="27" t="n"/>
      <c r="F74" s="27" t="n"/>
      <c r="G74" s="23" t="n"/>
      <c r="H74" s="27" t="n"/>
      <c r="I74" s="27" t="n"/>
      <c r="J74" s="27" t="n"/>
      <c r="K74" s="23" t="n"/>
      <c r="L74" s="29" t="n"/>
      <c r="M74" s="29" t="n"/>
      <c r="N74" s="30">
        <f>IF($A74="","",IF($M74="",TODAY()-$B74,$M74-$B74))</f>
        <v/>
      </c>
      <c r="O74" s="30">
        <f>IF(OR($A74="",$L74=""),"",IF(OR($K74="Resolved",$K74="Will not fix"),"Closed",IF(TODAY()&gt;$L74,"OVERDUE","On time")))</f>
        <v/>
      </c>
      <c r="P74" s="27" t="n"/>
    </row>
    <row r="75">
      <c r="A75" s="27" t="n"/>
      <c r="B75" s="29" t="n"/>
      <c r="C75" s="27" t="n"/>
      <c r="D75" s="27" t="n"/>
      <c r="E75" s="27" t="n"/>
      <c r="F75" s="27" t="n"/>
      <c r="G75" s="23" t="n"/>
      <c r="H75" s="27" t="n"/>
      <c r="I75" s="27" t="n"/>
      <c r="J75" s="27" t="n"/>
      <c r="K75" s="23" t="n"/>
      <c r="L75" s="29" t="n"/>
      <c r="M75" s="29" t="n"/>
      <c r="N75" s="30">
        <f>IF($A75="","",IF($M75="",TODAY()-$B75,$M75-$B75))</f>
        <v/>
      </c>
      <c r="O75" s="30">
        <f>IF(OR($A75="",$L75=""),"",IF(OR($K75="Resolved",$K75="Will not fix"),"Closed",IF(TODAY()&gt;$L75,"OVERDUE","On time")))</f>
        <v/>
      </c>
      <c r="P75" s="27" t="n"/>
    </row>
    <row r="76">
      <c r="A76" s="27" t="n"/>
      <c r="B76" s="29" t="n"/>
      <c r="C76" s="27" t="n"/>
      <c r="D76" s="27" t="n"/>
      <c r="E76" s="27" t="n"/>
      <c r="F76" s="27" t="n"/>
      <c r="G76" s="23" t="n"/>
      <c r="H76" s="27" t="n"/>
      <c r="I76" s="27" t="n"/>
      <c r="J76" s="27" t="n"/>
      <c r="K76" s="23" t="n"/>
      <c r="L76" s="29" t="n"/>
      <c r="M76" s="29" t="n"/>
      <c r="N76" s="30">
        <f>IF($A76="","",IF($M76="",TODAY()-$B76,$M76-$B76))</f>
        <v/>
      </c>
      <c r="O76" s="30">
        <f>IF(OR($A76="",$L76=""),"",IF(OR($K76="Resolved",$K76="Will not fix"),"Closed",IF(TODAY()&gt;$L76,"OVERDUE","On time")))</f>
        <v/>
      </c>
      <c r="P76" s="27" t="n"/>
    </row>
    <row r="77">
      <c r="A77" s="27" t="n"/>
      <c r="B77" s="29" t="n"/>
      <c r="C77" s="27" t="n"/>
      <c r="D77" s="27" t="n"/>
      <c r="E77" s="27" t="n"/>
      <c r="F77" s="27" t="n"/>
      <c r="G77" s="23" t="n"/>
      <c r="H77" s="27" t="n"/>
      <c r="I77" s="27" t="n"/>
      <c r="J77" s="27" t="n"/>
      <c r="K77" s="23" t="n"/>
      <c r="L77" s="29" t="n"/>
      <c r="M77" s="29" t="n"/>
      <c r="N77" s="30">
        <f>IF($A77="","",IF($M77="",TODAY()-$B77,$M77-$B77))</f>
        <v/>
      </c>
      <c r="O77" s="30">
        <f>IF(OR($A77="",$L77=""),"",IF(OR($K77="Resolved",$K77="Will not fix"),"Closed",IF(TODAY()&gt;$L77,"OVERDUE","On time")))</f>
        <v/>
      </c>
      <c r="P77" s="27" t="n"/>
    </row>
    <row r="78">
      <c r="A78" s="27" t="n"/>
      <c r="B78" s="29" t="n"/>
      <c r="C78" s="27" t="n"/>
      <c r="D78" s="27" t="n"/>
      <c r="E78" s="27" t="n"/>
      <c r="F78" s="27" t="n"/>
      <c r="G78" s="23" t="n"/>
      <c r="H78" s="27" t="n"/>
      <c r="I78" s="27" t="n"/>
      <c r="J78" s="27" t="n"/>
      <c r="K78" s="23" t="n"/>
      <c r="L78" s="29" t="n"/>
      <c r="M78" s="29" t="n"/>
      <c r="N78" s="30">
        <f>IF($A78="","",IF($M78="",TODAY()-$B78,$M78-$B78))</f>
        <v/>
      </c>
      <c r="O78" s="30">
        <f>IF(OR($A78="",$L78=""),"",IF(OR($K78="Resolved",$K78="Will not fix"),"Closed",IF(TODAY()&gt;$L78,"OVERDUE","On time")))</f>
        <v/>
      </c>
      <c r="P78" s="27" t="n"/>
    </row>
    <row r="79">
      <c r="A79" s="27" t="n"/>
      <c r="B79" s="29" t="n"/>
      <c r="C79" s="27" t="n"/>
      <c r="D79" s="27" t="n"/>
      <c r="E79" s="27" t="n"/>
      <c r="F79" s="27" t="n"/>
      <c r="G79" s="23" t="n"/>
      <c r="H79" s="27" t="n"/>
      <c r="I79" s="27" t="n"/>
      <c r="J79" s="27" t="n"/>
      <c r="K79" s="23" t="n"/>
      <c r="L79" s="29" t="n"/>
      <c r="M79" s="29" t="n"/>
      <c r="N79" s="30">
        <f>IF($A79="","",IF($M79="",TODAY()-$B79,$M79-$B79))</f>
        <v/>
      </c>
      <c r="O79" s="30">
        <f>IF(OR($A79="",$L79=""),"",IF(OR($K79="Resolved",$K79="Will not fix"),"Closed",IF(TODAY()&gt;$L79,"OVERDUE","On time")))</f>
        <v/>
      </c>
      <c r="P79" s="27" t="n"/>
    </row>
    <row r="80">
      <c r="A80" s="27" t="n"/>
      <c r="B80" s="29" t="n"/>
      <c r="C80" s="27" t="n"/>
      <c r="D80" s="27" t="n"/>
      <c r="E80" s="27" t="n"/>
      <c r="F80" s="27" t="n"/>
      <c r="G80" s="23" t="n"/>
      <c r="H80" s="27" t="n"/>
      <c r="I80" s="27" t="n"/>
      <c r="J80" s="27" t="n"/>
      <c r="K80" s="23" t="n"/>
      <c r="L80" s="29" t="n"/>
      <c r="M80" s="29" t="n"/>
      <c r="N80" s="30">
        <f>IF($A80="","",IF($M80="",TODAY()-$B80,$M80-$B80))</f>
        <v/>
      </c>
      <c r="O80" s="30">
        <f>IF(OR($A80="",$L80=""),"",IF(OR($K80="Resolved",$K80="Will not fix"),"Closed",IF(TODAY()&gt;$L80,"OVERDUE","On time")))</f>
        <v/>
      </c>
      <c r="P80" s="27" t="n"/>
    </row>
    <row r="81">
      <c r="A81" s="27" t="n"/>
      <c r="B81" s="29" t="n"/>
      <c r="C81" s="27" t="n"/>
      <c r="D81" s="27" t="n"/>
      <c r="E81" s="27" t="n"/>
      <c r="F81" s="27" t="n"/>
      <c r="G81" s="23" t="n"/>
      <c r="H81" s="27" t="n"/>
      <c r="I81" s="27" t="n"/>
      <c r="J81" s="27" t="n"/>
      <c r="K81" s="23" t="n"/>
      <c r="L81" s="29" t="n"/>
      <c r="M81" s="29" t="n"/>
      <c r="N81" s="30">
        <f>IF($A81="","",IF($M81="",TODAY()-$B81,$M81-$B81))</f>
        <v/>
      </c>
      <c r="O81" s="30">
        <f>IF(OR($A81="",$L81=""),"",IF(OR($K81="Resolved",$K81="Will not fix"),"Closed",IF(TODAY()&gt;$L81,"OVERDUE","On time")))</f>
        <v/>
      </c>
      <c r="P81" s="27" t="n"/>
    </row>
    <row r="82">
      <c r="A82" s="27" t="n"/>
      <c r="B82" s="29" t="n"/>
      <c r="C82" s="27" t="n"/>
      <c r="D82" s="27" t="n"/>
      <c r="E82" s="27" t="n"/>
      <c r="F82" s="27" t="n"/>
      <c r="G82" s="23" t="n"/>
      <c r="H82" s="27" t="n"/>
      <c r="I82" s="27" t="n"/>
      <c r="J82" s="27" t="n"/>
      <c r="K82" s="23" t="n"/>
      <c r="L82" s="29" t="n"/>
      <c r="M82" s="29" t="n"/>
      <c r="N82" s="30">
        <f>IF($A82="","",IF($M82="",TODAY()-$B82,$M82-$B82))</f>
        <v/>
      </c>
      <c r="O82" s="30">
        <f>IF(OR($A82="",$L82=""),"",IF(OR($K82="Resolved",$K82="Will not fix"),"Closed",IF(TODAY()&gt;$L82,"OVERDUE","On time")))</f>
        <v/>
      </c>
      <c r="P82" s="27" t="n"/>
    </row>
    <row r="83">
      <c r="A83" s="27" t="n"/>
      <c r="B83" s="29" t="n"/>
      <c r="C83" s="27" t="n"/>
      <c r="D83" s="27" t="n"/>
      <c r="E83" s="27" t="n"/>
      <c r="F83" s="27" t="n"/>
      <c r="G83" s="23" t="n"/>
      <c r="H83" s="27" t="n"/>
      <c r="I83" s="27" t="n"/>
      <c r="J83" s="27" t="n"/>
      <c r="K83" s="23" t="n"/>
      <c r="L83" s="29" t="n"/>
      <c r="M83" s="29" t="n"/>
      <c r="N83" s="30">
        <f>IF($A83="","",IF($M83="",TODAY()-$B83,$M83-$B83))</f>
        <v/>
      </c>
      <c r="O83" s="30">
        <f>IF(OR($A83="",$L83=""),"",IF(OR($K83="Resolved",$K83="Will not fix"),"Closed",IF(TODAY()&gt;$L83,"OVERDUE","On time")))</f>
        <v/>
      </c>
      <c r="P83" s="27" t="n"/>
    </row>
    <row r="84">
      <c r="A84" s="27" t="n"/>
      <c r="B84" s="29" t="n"/>
      <c r="C84" s="27" t="n"/>
      <c r="D84" s="27" t="n"/>
      <c r="E84" s="27" t="n"/>
      <c r="F84" s="27" t="n"/>
      <c r="G84" s="23" t="n"/>
      <c r="H84" s="27" t="n"/>
      <c r="I84" s="27" t="n"/>
      <c r="J84" s="27" t="n"/>
      <c r="K84" s="23" t="n"/>
      <c r="L84" s="29" t="n"/>
      <c r="M84" s="29" t="n"/>
      <c r="N84" s="30">
        <f>IF($A84="","",IF($M84="",TODAY()-$B84,$M84-$B84))</f>
        <v/>
      </c>
      <c r="O84" s="30">
        <f>IF(OR($A84="",$L84=""),"",IF(OR($K84="Resolved",$K84="Will not fix"),"Closed",IF(TODAY()&gt;$L84,"OVERDUE","On time")))</f>
        <v/>
      </c>
      <c r="P84" s="27" t="n"/>
    </row>
    <row r="85">
      <c r="A85" s="27" t="n"/>
      <c r="B85" s="29" t="n"/>
      <c r="C85" s="27" t="n"/>
      <c r="D85" s="27" t="n"/>
      <c r="E85" s="27" t="n"/>
      <c r="F85" s="27" t="n"/>
      <c r="G85" s="23" t="n"/>
      <c r="H85" s="27" t="n"/>
      <c r="I85" s="27" t="n"/>
      <c r="J85" s="27" t="n"/>
      <c r="K85" s="23" t="n"/>
      <c r="L85" s="29" t="n"/>
      <c r="M85" s="29" t="n"/>
      <c r="N85" s="30">
        <f>IF($A85="","",IF($M85="",TODAY()-$B85,$M85-$B85))</f>
        <v/>
      </c>
      <c r="O85" s="30">
        <f>IF(OR($A85="",$L85=""),"",IF(OR($K85="Resolved",$K85="Will not fix"),"Closed",IF(TODAY()&gt;$L85,"OVERDUE","On time")))</f>
        <v/>
      </c>
      <c r="P85" s="27" t="n"/>
    </row>
    <row r="86">
      <c r="A86" s="27" t="n"/>
      <c r="B86" s="29" t="n"/>
      <c r="C86" s="27" t="n"/>
      <c r="D86" s="27" t="n"/>
      <c r="E86" s="27" t="n"/>
      <c r="F86" s="27" t="n"/>
      <c r="G86" s="23" t="n"/>
      <c r="H86" s="27" t="n"/>
      <c r="I86" s="27" t="n"/>
      <c r="J86" s="27" t="n"/>
      <c r="K86" s="23" t="n"/>
      <c r="L86" s="29" t="n"/>
      <c r="M86" s="29" t="n"/>
      <c r="N86" s="30">
        <f>IF($A86="","",IF($M86="",TODAY()-$B86,$M86-$B86))</f>
        <v/>
      </c>
      <c r="O86" s="30">
        <f>IF(OR($A86="",$L86=""),"",IF(OR($K86="Resolved",$K86="Will not fix"),"Closed",IF(TODAY()&gt;$L86,"OVERDUE","On time")))</f>
        <v/>
      </c>
      <c r="P86" s="27" t="n"/>
    </row>
    <row r="87">
      <c r="A87" s="27" t="n"/>
      <c r="B87" s="29" t="n"/>
      <c r="C87" s="27" t="n"/>
      <c r="D87" s="27" t="n"/>
      <c r="E87" s="27" t="n"/>
      <c r="F87" s="27" t="n"/>
      <c r="G87" s="23" t="n"/>
      <c r="H87" s="27" t="n"/>
      <c r="I87" s="27" t="n"/>
      <c r="J87" s="27" t="n"/>
      <c r="K87" s="23" t="n"/>
      <c r="L87" s="29" t="n"/>
      <c r="M87" s="29" t="n"/>
      <c r="N87" s="30">
        <f>IF($A87="","",IF($M87="",TODAY()-$B87,$M87-$B87))</f>
        <v/>
      </c>
      <c r="O87" s="30">
        <f>IF(OR($A87="",$L87=""),"",IF(OR($K87="Resolved",$K87="Will not fix"),"Closed",IF(TODAY()&gt;$L87,"OVERDUE","On time")))</f>
        <v/>
      </c>
      <c r="P87" s="27" t="n"/>
    </row>
    <row r="88">
      <c r="A88" s="27" t="n"/>
      <c r="B88" s="29" t="n"/>
      <c r="C88" s="27" t="n"/>
      <c r="D88" s="27" t="n"/>
      <c r="E88" s="27" t="n"/>
      <c r="F88" s="27" t="n"/>
      <c r="G88" s="23" t="n"/>
      <c r="H88" s="27" t="n"/>
      <c r="I88" s="27" t="n"/>
      <c r="J88" s="27" t="n"/>
      <c r="K88" s="23" t="n"/>
      <c r="L88" s="29" t="n"/>
      <c r="M88" s="29" t="n"/>
      <c r="N88" s="30">
        <f>IF($A88="","",IF($M88="",TODAY()-$B88,$M88-$B88))</f>
        <v/>
      </c>
      <c r="O88" s="30">
        <f>IF(OR($A88="",$L88=""),"",IF(OR($K88="Resolved",$K88="Will not fix"),"Closed",IF(TODAY()&gt;$L88,"OVERDUE","On time")))</f>
        <v/>
      </c>
      <c r="P88" s="27" t="n"/>
    </row>
    <row r="89">
      <c r="A89" s="27" t="n"/>
      <c r="B89" s="29" t="n"/>
      <c r="C89" s="27" t="n"/>
      <c r="D89" s="27" t="n"/>
      <c r="E89" s="27" t="n"/>
      <c r="F89" s="27" t="n"/>
      <c r="G89" s="23" t="n"/>
      <c r="H89" s="27" t="n"/>
      <c r="I89" s="27" t="n"/>
      <c r="J89" s="27" t="n"/>
      <c r="K89" s="23" t="n"/>
      <c r="L89" s="29" t="n"/>
      <c r="M89" s="29" t="n"/>
      <c r="N89" s="30">
        <f>IF($A89="","",IF($M89="",TODAY()-$B89,$M89-$B89))</f>
        <v/>
      </c>
      <c r="O89" s="30">
        <f>IF(OR($A89="",$L89=""),"",IF(OR($K89="Resolved",$K89="Will not fix"),"Closed",IF(TODAY()&gt;$L89,"OVERDUE","On time")))</f>
        <v/>
      </c>
      <c r="P89" s="27" t="n"/>
    </row>
    <row r="90">
      <c r="A90" s="27" t="n"/>
      <c r="B90" s="29" t="n"/>
      <c r="C90" s="27" t="n"/>
      <c r="D90" s="27" t="n"/>
      <c r="E90" s="27" t="n"/>
      <c r="F90" s="27" t="n"/>
      <c r="G90" s="23" t="n"/>
      <c r="H90" s="27" t="n"/>
      <c r="I90" s="27" t="n"/>
      <c r="J90" s="27" t="n"/>
      <c r="K90" s="23" t="n"/>
      <c r="L90" s="29" t="n"/>
      <c r="M90" s="29" t="n"/>
      <c r="N90" s="30">
        <f>IF($A90="","",IF($M90="",TODAY()-$B90,$M90-$B90))</f>
        <v/>
      </c>
      <c r="O90" s="30">
        <f>IF(OR($A90="",$L90=""),"",IF(OR($K90="Resolved",$K90="Will not fix"),"Closed",IF(TODAY()&gt;$L90,"OVERDUE","On time")))</f>
        <v/>
      </c>
      <c r="P90" s="27" t="n"/>
    </row>
    <row r="91">
      <c r="A91" s="27" t="n"/>
      <c r="B91" s="29" t="n"/>
      <c r="C91" s="27" t="n"/>
      <c r="D91" s="27" t="n"/>
      <c r="E91" s="27" t="n"/>
      <c r="F91" s="27" t="n"/>
      <c r="G91" s="23" t="n"/>
      <c r="H91" s="27" t="n"/>
      <c r="I91" s="27" t="n"/>
      <c r="J91" s="27" t="n"/>
      <c r="K91" s="23" t="n"/>
      <c r="L91" s="29" t="n"/>
      <c r="M91" s="29" t="n"/>
      <c r="N91" s="30">
        <f>IF($A91="","",IF($M91="",TODAY()-$B91,$M91-$B91))</f>
        <v/>
      </c>
      <c r="O91" s="30">
        <f>IF(OR($A91="",$L91=""),"",IF(OR($K91="Resolved",$K91="Will not fix"),"Closed",IF(TODAY()&gt;$L91,"OVERDUE","On time")))</f>
        <v/>
      </c>
      <c r="P91" s="27" t="n"/>
    </row>
    <row r="92">
      <c r="A92" s="27" t="n"/>
      <c r="B92" s="29" t="n"/>
      <c r="C92" s="27" t="n"/>
      <c r="D92" s="27" t="n"/>
      <c r="E92" s="27" t="n"/>
      <c r="F92" s="27" t="n"/>
      <c r="G92" s="23" t="n"/>
      <c r="H92" s="27" t="n"/>
      <c r="I92" s="27" t="n"/>
      <c r="J92" s="27" t="n"/>
      <c r="K92" s="23" t="n"/>
      <c r="L92" s="29" t="n"/>
      <c r="M92" s="29" t="n"/>
      <c r="N92" s="30">
        <f>IF($A92="","",IF($M92="",TODAY()-$B92,$M92-$B92))</f>
        <v/>
      </c>
      <c r="O92" s="30">
        <f>IF(OR($A92="",$L92=""),"",IF(OR($K92="Resolved",$K92="Will not fix"),"Closed",IF(TODAY()&gt;$L92,"OVERDUE","On time")))</f>
        <v/>
      </c>
      <c r="P92" s="27" t="n"/>
    </row>
    <row r="93">
      <c r="A93" s="27" t="n"/>
      <c r="B93" s="29" t="n"/>
      <c r="C93" s="27" t="n"/>
      <c r="D93" s="27" t="n"/>
      <c r="E93" s="27" t="n"/>
      <c r="F93" s="27" t="n"/>
      <c r="G93" s="23" t="n"/>
      <c r="H93" s="27" t="n"/>
      <c r="I93" s="27" t="n"/>
      <c r="J93" s="27" t="n"/>
      <c r="K93" s="23" t="n"/>
      <c r="L93" s="29" t="n"/>
      <c r="M93" s="29" t="n"/>
      <c r="N93" s="30">
        <f>IF($A93="","",IF($M93="",TODAY()-$B93,$M93-$B93))</f>
        <v/>
      </c>
      <c r="O93" s="30">
        <f>IF(OR($A93="",$L93=""),"",IF(OR($K93="Resolved",$K93="Will not fix"),"Closed",IF(TODAY()&gt;$L93,"OVERDUE","On time")))</f>
        <v/>
      </c>
      <c r="P93" s="27" t="n"/>
    </row>
    <row r="94">
      <c r="A94" s="27" t="n"/>
      <c r="B94" s="29" t="n"/>
      <c r="C94" s="27" t="n"/>
      <c r="D94" s="27" t="n"/>
      <c r="E94" s="27" t="n"/>
      <c r="F94" s="27" t="n"/>
      <c r="G94" s="23" t="n"/>
      <c r="H94" s="27" t="n"/>
      <c r="I94" s="27" t="n"/>
      <c r="J94" s="27" t="n"/>
      <c r="K94" s="23" t="n"/>
      <c r="L94" s="29" t="n"/>
      <c r="M94" s="29" t="n"/>
      <c r="N94" s="30">
        <f>IF($A94="","",IF($M94="",TODAY()-$B94,$M94-$B94))</f>
        <v/>
      </c>
      <c r="O94" s="30">
        <f>IF(OR($A94="",$L94=""),"",IF(OR($K94="Resolved",$K94="Will not fix"),"Closed",IF(TODAY()&gt;$L94,"OVERDUE","On time")))</f>
        <v/>
      </c>
      <c r="P94" s="27" t="n"/>
    </row>
    <row r="95">
      <c r="A95" s="27" t="n"/>
      <c r="B95" s="29" t="n"/>
      <c r="C95" s="27" t="n"/>
      <c r="D95" s="27" t="n"/>
      <c r="E95" s="27" t="n"/>
      <c r="F95" s="27" t="n"/>
      <c r="G95" s="23" t="n"/>
      <c r="H95" s="27" t="n"/>
      <c r="I95" s="27" t="n"/>
      <c r="J95" s="27" t="n"/>
      <c r="K95" s="23" t="n"/>
      <c r="L95" s="29" t="n"/>
      <c r="M95" s="29" t="n"/>
      <c r="N95" s="30">
        <f>IF($A95="","",IF($M95="",TODAY()-$B95,$M95-$B95))</f>
        <v/>
      </c>
      <c r="O95" s="30">
        <f>IF(OR($A95="",$L95=""),"",IF(OR($K95="Resolved",$K95="Will not fix"),"Closed",IF(TODAY()&gt;$L95,"OVERDUE","On time")))</f>
        <v/>
      </c>
      <c r="P95" s="27" t="n"/>
    </row>
    <row r="96">
      <c r="A96" s="27" t="n"/>
      <c r="B96" s="29" t="n"/>
      <c r="C96" s="27" t="n"/>
      <c r="D96" s="27" t="n"/>
      <c r="E96" s="27" t="n"/>
      <c r="F96" s="27" t="n"/>
      <c r="G96" s="23" t="n"/>
      <c r="H96" s="27" t="n"/>
      <c r="I96" s="27" t="n"/>
      <c r="J96" s="27" t="n"/>
      <c r="K96" s="23" t="n"/>
      <c r="L96" s="29" t="n"/>
      <c r="M96" s="29" t="n"/>
      <c r="N96" s="30">
        <f>IF($A96="","",IF($M96="",TODAY()-$B96,$M96-$B96))</f>
        <v/>
      </c>
      <c r="O96" s="30">
        <f>IF(OR($A96="",$L96=""),"",IF(OR($K96="Resolved",$K96="Will not fix"),"Closed",IF(TODAY()&gt;$L96,"OVERDUE","On time")))</f>
        <v/>
      </c>
      <c r="P96" s="27" t="n"/>
    </row>
    <row r="97">
      <c r="A97" s="27" t="n"/>
      <c r="B97" s="29" t="n"/>
      <c r="C97" s="27" t="n"/>
      <c r="D97" s="27" t="n"/>
      <c r="E97" s="27" t="n"/>
      <c r="F97" s="27" t="n"/>
      <c r="G97" s="23" t="n"/>
      <c r="H97" s="27" t="n"/>
      <c r="I97" s="27" t="n"/>
      <c r="J97" s="27" t="n"/>
      <c r="K97" s="23" t="n"/>
      <c r="L97" s="29" t="n"/>
      <c r="M97" s="29" t="n"/>
      <c r="N97" s="30">
        <f>IF($A97="","",IF($M97="",TODAY()-$B97,$M97-$B97))</f>
        <v/>
      </c>
      <c r="O97" s="30">
        <f>IF(OR($A97="",$L97=""),"",IF(OR($K97="Resolved",$K97="Will not fix"),"Closed",IF(TODAY()&gt;$L97,"OVERDUE","On time")))</f>
        <v/>
      </c>
      <c r="P97" s="27" t="n"/>
    </row>
    <row r="98">
      <c r="A98" s="27" t="n"/>
      <c r="B98" s="29" t="n"/>
      <c r="C98" s="27" t="n"/>
      <c r="D98" s="27" t="n"/>
      <c r="E98" s="27" t="n"/>
      <c r="F98" s="27" t="n"/>
      <c r="G98" s="23" t="n"/>
      <c r="H98" s="27" t="n"/>
      <c r="I98" s="27" t="n"/>
      <c r="J98" s="27" t="n"/>
      <c r="K98" s="23" t="n"/>
      <c r="L98" s="29" t="n"/>
      <c r="M98" s="29" t="n"/>
      <c r="N98" s="30">
        <f>IF($A98="","",IF($M98="",TODAY()-$B98,$M98-$B98))</f>
        <v/>
      </c>
      <c r="O98" s="30">
        <f>IF(OR($A98="",$L98=""),"",IF(OR($K98="Resolved",$K98="Will not fix"),"Closed",IF(TODAY()&gt;$L98,"OVERDUE","On time")))</f>
        <v/>
      </c>
      <c r="P98" s="27" t="n"/>
    </row>
    <row r="99">
      <c r="A99" s="27" t="n"/>
      <c r="B99" s="29" t="n"/>
      <c r="C99" s="27" t="n"/>
      <c r="D99" s="27" t="n"/>
      <c r="E99" s="27" t="n"/>
      <c r="F99" s="27" t="n"/>
      <c r="G99" s="23" t="n"/>
      <c r="H99" s="27" t="n"/>
      <c r="I99" s="27" t="n"/>
      <c r="J99" s="27" t="n"/>
      <c r="K99" s="23" t="n"/>
      <c r="L99" s="29" t="n"/>
      <c r="M99" s="29" t="n"/>
      <c r="N99" s="30">
        <f>IF($A99="","",IF($M99="",TODAY()-$B99,$M99-$B99))</f>
        <v/>
      </c>
      <c r="O99" s="30">
        <f>IF(OR($A99="",$L99=""),"",IF(OR($K99="Resolved",$K99="Will not fix"),"Closed",IF(TODAY()&gt;$L99,"OVERDUE","On time")))</f>
        <v/>
      </c>
      <c r="P99" s="27" t="n"/>
    </row>
    <row r="100">
      <c r="A100" s="27" t="n"/>
      <c r="B100" s="29" t="n"/>
      <c r="C100" s="27" t="n"/>
      <c r="D100" s="27" t="n"/>
      <c r="E100" s="27" t="n"/>
      <c r="F100" s="27" t="n"/>
      <c r="G100" s="23" t="n"/>
      <c r="H100" s="27" t="n"/>
      <c r="I100" s="27" t="n"/>
      <c r="J100" s="27" t="n"/>
      <c r="K100" s="23" t="n"/>
      <c r="L100" s="29" t="n"/>
      <c r="M100" s="29" t="n"/>
      <c r="N100" s="30">
        <f>IF($A100="","",IF($M100="",TODAY()-$B100,$M100-$B100))</f>
        <v/>
      </c>
      <c r="O100" s="30">
        <f>IF(OR($A100="",$L100=""),"",IF(OR($K100="Resolved",$K100="Will not fix"),"Closed",IF(TODAY()&gt;$L100,"OVERDUE","On time")))</f>
        <v/>
      </c>
      <c r="P100" s="27" t="n"/>
    </row>
    <row r="101">
      <c r="A101" s="27" t="n"/>
      <c r="B101" s="29" t="n"/>
      <c r="C101" s="27" t="n"/>
      <c r="D101" s="27" t="n"/>
      <c r="E101" s="27" t="n"/>
      <c r="F101" s="27" t="n"/>
      <c r="G101" s="23" t="n"/>
      <c r="H101" s="27" t="n"/>
      <c r="I101" s="27" t="n"/>
      <c r="J101" s="27" t="n"/>
      <c r="K101" s="23" t="n"/>
      <c r="L101" s="29" t="n"/>
      <c r="M101" s="29" t="n"/>
      <c r="N101" s="30">
        <f>IF($A101="","",IF($M101="",TODAY()-$B101,$M101-$B101))</f>
        <v/>
      </c>
      <c r="O101" s="30">
        <f>IF(OR($A101="",$L101=""),"",IF(OR($K101="Resolved",$K101="Will not fix"),"Closed",IF(TODAY()&gt;$L101,"OVERDUE","On time")))</f>
        <v/>
      </c>
      <c r="P101" s="27" t="n"/>
    </row>
    <row r="102">
      <c r="A102" s="27" t="n"/>
      <c r="B102" s="29" t="n"/>
      <c r="C102" s="27" t="n"/>
      <c r="D102" s="27" t="n"/>
      <c r="E102" s="27" t="n"/>
      <c r="F102" s="27" t="n"/>
      <c r="G102" s="23" t="n"/>
      <c r="H102" s="27" t="n"/>
      <c r="I102" s="27" t="n"/>
      <c r="J102" s="27" t="n"/>
      <c r="K102" s="23" t="n"/>
      <c r="L102" s="29" t="n"/>
      <c r="M102" s="29" t="n"/>
      <c r="N102" s="30">
        <f>IF($A102="","",IF($M102="",TODAY()-$B102,$M102-$B102))</f>
        <v/>
      </c>
      <c r="O102" s="30">
        <f>IF(OR($A102="",$L102=""),"",IF(OR($K102="Resolved",$K102="Will not fix"),"Closed",IF(TODAY()&gt;$L102,"OVERDUE","On time")))</f>
        <v/>
      </c>
      <c r="P102" s="27" t="n"/>
    </row>
    <row r="103">
      <c r="A103" s="27" t="n"/>
      <c r="B103" s="29" t="n"/>
      <c r="C103" s="27" t="n"/>
      <c r="D103" s="27" t="n"/>
      <c r="E103" s="27" t="n"/>
      <c r="F103" s="27" t="n"/>
      <c r="G103" s="23" t="n"/>
      <c r="H103" s="27" t="n"/>
      <c r="I103" s="27" t="n"/>
      <c r="J103" s="27" t="n"/>
      <c r="K103" s="23" t="n"/>
      <c r="L103" s="29" t="n"/>
      <c r="M103" s="29" t="n"/>
      <c r="N103" s="30">
        <f>IF($A103="","",IF($M103="",TODAY()-$B103,$M103-$B103))</f>
        <v/>
      </c>
      <c r="O103" s="30">
        <f>IF(OR($A103="",$L103=""),"",IF(OR($K103="Resolved",$K103="Will not fix"),"Closed",IF(TODAY()&gt;$L103,"OVERDUE","On time")))</f>
        <v/>
      </c>
      <c r="P103" s="27" t="n"/>
    </row>
    <row r="104">
      <c r="A104" s="27" t="n"/>
      <c r="B104" s="29" t="n"/>
      <c r="C104" s="27" t="n"/>
      <c r="D104" s="27" t="n"/>
      <c r="E104" s="27" t="n"/>
      <c r="F104" s="27" t="n"/>
      <c r="G104" s="23" t="n"/>
      <c r="H104" s="27" t="n"/>
      <c r="I104" s="27" t="n"/>
      <c r="J104" s="27" t="n"/>
      <c r="K104" s="23" t="n"/>
      <c r="L104" s="29" t="n"/>
      <c r="M104" s="29" t="n"/>
      <c r="N104" s="30">
        <f>IF($A104="","",IF($M104="",TODAY()-$B104,$M104-$B104))</f>
        <v/>
      </c>
      <c r="O104" s="30">
        <f>IF(OR($A104="",$L104=""),"",IF(OR($K104="Resolved",$K104="Will not fix"),"Closed",IF(TODAY()&gt;$L104,"OVERDUE","On time")))</f>
        <v/>
      </c>
      <c r="P104" s="27" t="n"/>
    </row>
    <row r="105">
      <c r="A105" s="27" t="n"/>
      <c r="B105" s="29" t="n"/>
      <c r="C105" s="27" t="n"/>
      <c r="D105" s="27" t="n"/>
      <c r="E105" s="27" t="n"/>
      <c r="F105" s="27" t="n"/>
      <c r="G105" s="23" t="n"/>
      <c r="H105" s="27" t="n"/>
      <c r="I105" s="27" t="n"/>
      <c r="J105" s="27" t="n"/>
      <c r="K105" s="23" t="n"/>
      <c r="L105" s="29" t="n"/>
      <c r="M105" s="29" t="n"/>
      <c r="N105" s="30">
        <f>IF($A105="","",IF($M105="",TODAY()-$B105,$M105-$B105))</f>
        <v/>
      </c>
      <c r="O105" s="30">
        <f>IF(OR($A105="",$L105=""),"",IF(OR($K105="Resolved",$K105="Will not fix"),"Closed",IF(TODAY()&gt;$L105,"OVERDUE","On time")))</f>
        <v/>
      </c>
      <c r="P105" s="27" t="n"/>
    </row>
    <row r="106">
      <c r="A106" s="27" t="n"/>
      <c r="B106" s="29" t="n"/>
      <c r="C106" s="27" t="n"/>
      <c r="D106" s="27" t="n"/>
      <c r="E106" s="27" t="n"/>
      <c r="F106" s="27" t="n"/>
      <c r="G106" s="23" t="n"/>
      <c r="H106" s="27" t="n"/>
      <c r="I106" s="27" t="n"/>
      <c r="J106" s="27" t="n"/>
      <c r="K106" s="23" t="n"/>
      <c r="L106" s="29" t="n"/>
      <c r="M106" s="29" t="n"/>
      <c r="N106" s="30">
        <f>IF($A106="","",IF($M106="",TODAY()-$B106,$M106-$B106))</f>
        <v/>
      </c>
      <c r="O106" s="30">
        <f>IF(OR($A106="",$L106=""),"",IF(OR($K106="Resolved",$K106="Will not fix"),"Closed",IF(TODAY()&gt;$L106,"OVERDUE","On time")))</f>
        <v/>
      </c>
      <c r="P106" s="27" t="n"/>
    </row>
    <row r="107">
      <c r="A107" s="27" t="n"/>
      <c r="B107" s="29" t="n"/>
      <c r="C107" s="27" t="n"/>
      <c r="D107" s="27" t="n"/>
      <c r="E107" s="27" t="n"/>
      <c r="F107" s="27" t="n"/>
      <c r="G107" s="23" t="n"/>
      <c r="H107" s="27" t="n"/>
      <c r="I107" s="27" t="n"/>
      <c r="J107" s="27" t="n"/>
      <c r="K107" s="23" t="n"/>
      <c r="L107" s="29" t="n"/>
      <c r="M107" s="29" t="n"/>
      <c r="N107" s="30">
        <f>IF($A107="","",IF($M107="",TODAY()-$B107,$M107-$B107))</f>
        <v/>
      </c>
      <c r="O107" s="30">
        <f>IF(OR($A107="",$L107=""),"",IF(OR($K107="Resolved",$K107="Will not fix"),"Closed",IF(TODAY()&gt;$L107,"OVERDUE","On time")))</f>
        <v/>
      </c>
      <c r="P107" s="27" t="n"/>
    </row>
    <row r="108">
      <c r="A108" s="27" t="n"/>
      <c r="B108" s="29" t="n"/>
      <c r="C108" s="27" t="n"/>
      <c r="D108" s="27" t="n"/>
      <c r="E108" s="27" t="n"/>
      <c r="F108" s="27" t="n"/>
      <c r="G108" s="23" t="n"/>
      <c r="H108" s="27" t="n"/>
      <c r="I108" s="27" t="n"/>
      <c r="J108" s="27" t="n"/>
      <c r="K108" s="23" t="n"/>
      <c r="L108" s="29" t="n"/>
      <c r="M108" s="29" t="n"/>
      <c r="N108" s="30">
        <f>IF($A108="","",IF($M108="",TODAY()-$B108,$M108-$B108))</f>
        <v/>
      </c>
      <c r="O108" s="30">
        <f>IF(OR($A108="",$L108=""),"",IF(OR($K108="Resolved",$K108="Will not fix"),"Closed",IF(TODAY()&gt;$L108,"OVERDUE","On time")))</f>
        <v/>
      </c>
      <c r="P108" s="27" t="n"/>
    </row>
    <row r="109">
      <c r="A109" s="27" t="n"/>
      <c r="B109" s="29" t="n"/>
      <c r="C109" s="27" t="n"/>
      <c r="D109" s="27" t="n"/>
      <c r="E109" s="27" t="n"/>
      <c r="F109" s="27" t="n"/>
      <c r="G109" s="23" t="n"/>
      <c r="H109" s="27" t="n"/>
      <c r="I109" s="27" t="n"/>
      <c r="J109" s="27" t="n"/>
      <c r="K109" s="23" t="n"/>
      <c r="L109" s="29" t="n"/>
      <c r="M109" s="29" t="n"/>
      <c r="N109" s="30">
        <f>IF($A109="","",IF($M109="",TODAY()-$B109,$M109-$B109))</f>
        <v/>
      </c>
      <c r="O109" s="30">
        <f>IF(OR($A109="",$L109=""),"",IF(OR($K109="Resolved",$K109="Will not fix"),"Closed",IF(TODAY()&gt;$L109,"OVERDUE","On time")))</f>
        <v/>
      </c>
      <c r="P109" s="27" t="n"/>
    </row>
    <row r="110">
      <c r="A110" s="27" t="n"/>
      <c r="B110" s="29" t="n"/>
      <c r="C110" s="27" t="n"/>
      <c r="D110" s="27" t="n"/>
      <c r="E110" s="27" t="n"/>
      <c r="F110" s="27" t="n"/>
      <c r="G110" s="23" t="n"/>
      <c r="H110" s="27" t="n"/>
      <c r="I110" s="27" t="n"/>
      <c r="J110" s="27" t="n"/>
      <c r="K110" s="23" t="n"/>
      <c r="L110" s="29" t="n"/>
      <c r="M110" s="29" t="n"/>
      <c r="N110" s="30">
        <f>IF($A110="","",IF($M110="",TODAY()-$B110,$M110-$B110))</f>
        <v/>
      </c>
      <c r="O110" s="30">
        <f>IF(OR($A110="",$L110=""),"",IF(OR($K110="Resolved",$K110="Will not fix"),"Closed",IF(TODAY()&gt;$L110,"OVERDUE","On time")))</f>
        <v/>
      </c>
      <c r="P110" s="27" t="n"/>
    </row>
    <row r="111">
      <c r="A111" s="27" t="n"/>
      <c r="B111" s="29" t="n"/>
      <c r="C111" s="27" t="n"/>
      <c r="D111" s="27" t="n"/>
      <c r="E111" s="27" t="n"/>
      <c r="F111" s="27" t="n"/>
      <c r="G111" s="23" t="n"/>
      <c r="H111" s="27" t="n"/>
      <c r="I111" s="27" t="n"/>
      <c r="J111" s="27" t="n"/>
      <c r="K111" s="23" t="n"/>
      <c r="L111" s="29" t="n"/>
      <c r="M111" s="29" t="n"/>
      <c r="N111" s="30">
        <f>IF($A111="","",IF($M111="",TODAY()-$B111,$M111-$B111))</f>
        <v/>
      </c>
      <c r="O111" s="30">
        <f>IF(OR($A111="",$L111=""),"",IF(OR($K111="Resolved",$K111="Will not fix"),"Closed",IF(TODAY()&gt;$L111,"OVERDUE","On time")))</f>
        <v/>
      </c>
      <c r="P111" s="27" t="n"/>
    </row>
    <row r="112">
      <c r="A112" s="27" t="n"/>
      <c r="B112" s="29" t="n"/>
      <c r="C112" s="27" t="n"/>
      <c r="D112" s="27" t="n"/>
      <c r="E112" s="27" t="n"/>
      <c r="F112" s="27" t="n"/>
      <c r="G112" s="23" t="n"/>
      <c r="H112" s="27" t="n"/>
      <c r="I112" s="27" t="n"/>
      <c r="J112" s="27" t="n"/>
      <c r="K112" s="23" t="n"/>
      <c r="L112" s="29" t="n"/>
      <c r="M112" s="29" t="n"/>
      <c r="N112" s="30">
        <f>IF($A112="","",IF($M112="",TODAY()-$B112,$M112-$B112))</f>
        <v/>
      </c>
      <c r="O112" s="30">
        <f>IF(OR($A112="",$L112=""),"",IF(OR($K112="Resolved",$K112="Will not fix"),"Closed",IF(TODAY()&gt;$L112,"OVERDUE","On time")))</f>
        <v/>
      </c>
      <c r="P112" s="27" t="n"/>
    </row>
    <row r="113">
      <c r="A113" s="27" t="n"/>
      <c r="B113" s="29" t="n"/>
      <c r="C113" s="27" t="n"/>
      <c r="D113" s="27" t="n"/>
      <c r="E113" s="27" t="n"/>
      <c r="F113" s="27" t="n"/>
      <c r="G113" s="23" t="n"/>
      <c r="H113" s="27" t="n"/>
      <c r="I113" s="27" t="n"/>
      <c r="J113" s="27" t="n"/>
      <c r="K113" s="23" t="n"/>
      <c r="L113" s="29" t="n"/>
      <c r="M113" s="29" t="n"/>
      <c r="N113" s="30">
        <f>IF($A113="","",IF($M113="",TODAY()-$B113,$M113-$B113))</f>
        <v/>
      </c>
      <c r="O113" s="30">
        <f>IF(OR($A113="",$L113=""),"",IF(OR($K113="Resolved",$K113="Will not fix"),"Closed",IF(TODAY()&gt;$L113,"OVERDUE","On time")))</f>
        <v/>
      </c>
      <c r="P113" s="27" t="n"/>
    </row>
    <row r="114">
      <c r="A114" s="27" t="n"/>
      <c r="B114" s="29" t="n"/>
      <c r="C114" s="27" t="n"/>
      <c r="D114" s="27" t="n"/>
      <c r="E114" s="27" t="n"/>
      <c r="F114" s="27" t="n"/>
      <c r="G114" s="23" t="n"/>
      <c r="H114" s="27" t="n"/>
      <c r="I114" s="27" t="n"/>
      <c r="J114" s="27" t="n"/>
      <c r="K114" s="23" t="n"/>
      <c r="L114" s="29" t="n"/>
      <c r="M114" s="29" t="n"/>
      <c r="N114" s="30">
        <f>IF($A114="","",IF($M114="",TODAY()-$B114,$M114-$B114))</f>
        <v/>
      </c>
      <c r="O114" s="30">
        <f>IF(OR($A114="",$L114=""),"",IF(OR($K114="Resolved",$K114="Will not fix"),"Closed",IF(TODAY()&gt;$L114,"OVERDUE","On time")))</f>
        <v/>
      </c>
      <c r="P114" s="27" t="n"/>
    </row>
    <row r="115">
      <c r="A115" s="27" t="n"/>
      <c r="B115" s="29" t="n"/>
      <c r="C115" s="27" t="n"/>
      <c r="D115" s="27" t="n"/>
      <c r="E115" s="27" t="n"/>
      <c r="F115" s="27" t="n"/>
      <c r="G115" s="23" t="n"/>
      <c r="H115" s="27" t="n"/>
      <c r="I115" s="27" t="n"/>
      <c r="J115" s="27" t="n"/>
      <c r="K115" s="23" t="n"/>
      <c r="L115" s="29" t="n"/>
      <c r="M115" s="29" t="n"/>
      <c r="N115" s="30">
        <f>IF($A115="","",IF($M115="",TODAY()-$B115,$M115-$B115))</f>
        <v/>
      </c>
      <c r="O115" s="30">
        <f>IF(OR($A115="",$L115=""),"",IF(OR($K115="Resolved",$K115="Will not fix"),"Closed",IF(TODAY()&gt;$L115,"OVERDUE","On time")))</f>
        <v/>
      </c>
      <c r="P115" s="27" t="n"/>
    </row>
    <row r="116">
      <c r="A116" s="27" t="n"/>
      <c r="B116" s="29" t="n"/>
      <c r="C116" s="27" t="n"/>
      <c r="D116" s="27" t="n"/>
      <c r="E116" s="27" t="n"/>
      <c r="F116" s="27" t="n"/>
      <c r="G116" s="23" t="n"/>
      <c r="H116" s="27" t="n"/>
      <c r="I116" s="27" t="n"/>
      <c r="J116" s="27" t="n"/>
      <c r="K116" s="23" t="n"/>
      <c r="L116" s="29" t="n"/>
      <c r="M116" s="29" t="n"/>
      <c r="N116" s="30">
        <f>IF($A116="","",IF($M116="",TODAY()-$B116,$M116-$B116))</f>
        <v/>
      </c>
      <c r="O116" s="30">
        <f>IF(OR($A116="",$L116=""),"",IF(OR($K116="Resolved",$K116="Will not fix"),"Closed",IF(TODAY()&gt;$L116,"OVERDUE","On time")))</f>
        <v/>
      </c>
      <c r="P116" s="27" t="n"/>
    </row>
    <row r="117">
      <c r="A117" s="27" t="n"/>
      <c r="B117" s="29" t="n"/>
      <c r="C117" s="27" t="n"/>
      <c r="D117" s="27" t="n"/>
      <c r="E117" s="27" t="n"/>
      <c r="F117" s="27" t="n"/>
      <c r="G117" s="23" t="n"/>
      <c r="H117" s="27" t="n"/>
      <c r="I117" s="27" t="n"/>
      <c r="J117" s="27" t="n"/>
      <c r="K117" s="23" t="n"/>
      <c r="L117" s="29" t="n"/>
      <c r="M117" s="29" t="n"/>
      <c r="N117" s="30">
        <f>IF($A117="","",IF($M117="",TODAY()-$B117,$M117-$B117))</f>
        <v/>
      </c>
      <c r="O117" s="30">
        <f>IF(OR($A117="",$L117=""),"",IF(OR($K117="Resolved",$K117="Will not fix"),"Closed",IF(TODAY()&gt;$L117,"OVERDUE","On time")))</f>
        <v/>
      </c>
      <c r="P117" s="27" t="n"/>
    </row>
    <row r="118">
      <c r="A118" s="27" t="n"/>
      <c r="B118" s="29" t="n"/>
      <c r="C118" s="27" t="n"/>
      <c r="D118" s="27" t="n"/>
      <c r="E118" s="27" t="n"/>
      <c r="F118" s="27" t="n"/>
      <c r="G118" s="23" t="n"/>
      <c r="H118" s="27" t="n"/>
      <c r="I118" s="27" t="n"/>
      <c r="J118" s="27" t="n"/>
      <c r="K118" s="23" t="n"/>
      <c r="L118" s="29" t="n"/>
      <c r="M118" s="29" t="n"/>
      <c r="N118" s="30">
        <f>IF($A118="","",IF($M118="",TODAY()-$B118,$M118-$B118))</f>
        <v/>
      </c>
      <c r="O118" s="30">
        <f>IF(OR($A118="",$L118=""),"",IF(OR($K118="Resolved",$K118="Will not fix"),"Closed",IF(TODAY()&gt;$L118,"OVERDUE","On time")))</f>
        <v/>
      </c>
      <c r="P118" s="27" t="n"/>
    </row>
    <row r="119">
      <c r="A119" s="27" t="n"/>
      <c r="B119" s="29" t="n"/>
      <c r="C119" s="27" t="n"/>
      <c r="D119" s="27" t="n"/>
      <c r="E119" s="27" t="n"/>
      <c r="F119" s="27" t="n"/>
      <c r="G119" s="23" t="n"/>
      <c r="H119" s="27" t="n"/>
      <c r="I119" s="27" t="n"/>
      <c r="J119" s="27" t="n"/>
      <c r="K119" s="23" t="n"/>
      <c r="L119" s="29" t="n"/>
      <c r="M119" s="29" t="n"/>
      <c r="N119" s="30">
        <f>IF($A119="","",IF($M119="",TODAY()-$B119,$M119-$B119))</f>
        <v/>
      </c>
      <c r="O119" s="30">
        <f>IF(OR($A119="",$L119=""),"",IF(OR($K119="Resolved",$K119="Will not fix"),"Closed",IF(TODAY()&gt;$L119,"OVERDUE","On time")))</f>
        <v/>
      </c>
      <c r="P119" s="27" t="n"/>
    </row>
    <row r="120">
      <c r="A120" s="27" t="n"/>
      <c r="B120" s="29" t="n"/>
      <c r="C120" s="27" t="n"/>
      <c r="D120" s="27" t="n"/>
      <c r="E120" s="27" t="n"/>
      <c r="F120" s="27" t="n"/>
      <c r="G120" s="23" t="n"/>
      <c r="H120" s="27" t="n"/>
      <c r="I120" s="27" t="n"/>
      <c r="J120" s="27" t="n"/>
      <c r="K120" s="23" t="n"/>
      <c r="L120" s="29" t="n"/>
      <c r="M120" s="29" t="n"/>
      <c r="N120" s="30">
        <f>IF($A120="","",IF($M120="",TODAY()-$B120,$M120-$B120))</f>
        <v/>
      </c>
      <c r="O120" s="30">
        <f>IF(OR($A120="",$L120=""),"",IF(OR($K120="Resolved",$K120="Will not fix"),"Closed",IF(TODAY()&gt;$L120,"OVERDUE","On time")))</f>
        <v/>
      </c>
      <c r="P120" s="27" t="n"/>
    </row>
    <row r="121">
      <c r="A121" s="27" t="n"/>
      <c r="B121" s="29" t="n"/>
      <c r="C121" s="27" t="n"/>
      <c r="D121" s="27" t="n"/>
      <c r="E121" s="27" t="n"/>
      <c r="F121" s="27" t="n"/>
      <c r="G121" s="23" t="n"/>
      <c r="H121" s="27" t="n"/>
      <c r="I121" s="27" t="n"/>
      <c r="J121" s="27" t="n"/>
      <c r="K121" s="23" t="n"/>
      <c r="L121" s="29" t="n"/>
      <c r="M121" s="29" t="n"/>
      <c r="N121" s="30">
        <f>IF($A121="","",IF($M121="",TODAY()-$B121,$M121-$B121))</f>
        <v/>
      </c>
      <c r="O121" s="30">
        <f>IF(OR($A121="",$L121=""),"",IF(OR($K121="Resolved",$K121="Will not fix"),"Closed",IF(TODAY()&gt;$L121,"OVERDUE","On time")))</f>
        <v/>
      </c>
      <c r="P121" s="27" t="n"/>
    </row>
    <row r="122">
      <c r="A122" s="27" t="n"/>
      <c r="B122" s="29" t="n"/>
      <c r="C122" s="27" t="n"/>
      <c r="D122" s="27" t="n"/>
      <c r="E122" s="27" t="n"/>
      <c r="F122" s="27" t="n"/>
      <c r="G122" s="23" t="n"/>
      <c r="H122" s="27" t="n"/>
      <c r="I122" s="27" t="n"/>
      <c r="J122" s="27" t="n"/>
      <c r="K122" s="23" t="n"/>
      <c r="L122" s="29" t="n"/>
      <c r="M122" s="29" t="n"/>
      <c r="N122" s="30">
        <f>IF($A122="","",IF($M122="",TODAY()-$B122,$M122-$B122))</f>
        <v/>
      </c>
      <c r="O122" s="30">
        <f>IF(OR($A122="",$L122=""),"",IF(OR($K122="Resolved",$K122="Will not fix"),"Closed",IF(TODAY()&gt;$L122,"OVERDUE","On time")))</f>
        <v/>
      </c>
      <c r="P122" s="27" t="n"/>
    </row>
    <row r="123">
      <c r="A123" s="27" t="n"/>
      <c r="B123" s="29" t="n"/>
      <c r="C123" s="27" t="n"/>
      <c r="D123" s="27" t="n"/>
      <c r="E123" s="27" t="n"/>
      <c r="F123" s="27" t="n"/>
      <c r="G123" s="23" t="n"/>
      <c r="H123" s="27" t="n"/>
      <c r="I123" s="27" t="n"/>
      <c r="J123" s="27" t="n"/>
      <c r="K123" s="23" t="n"/>
      <c r="L123" s="29" t="n"/>
      <c r="M123" s="29" t="n"/>
      <c r="N123" s="30">
        <f>IF($A123="","",IF($M123="",TODAY()-$B123,$M123-$B123))</f>
        <v/>
      </c>
      <c r="O123" s="30">
        <f>IF(OR($A123="",$L123=""),"",IF(OR($K123="Resolved",$K123="Will not fix"),"Closed",IF(TODAY()&gt;$L123,"OVERDUE","On time")))</f>
        <v/>
      </c>
      <c r="P123" s="27" t="n"/>
    </row>
    <row r="124">
      <c r="A124" s="27" t="n"/>
      <c r="B124" s="29" t="n"/>
      <c r="C124" s="27" t="n"/>
      <c r="D124" s="27" t="n"/>
      <c r="E124" s="27" t="n"/>
      <c r="F124" s="27" t="n"/>
      <c r="G124" s="23" t="n"/>
      <c r="H124" s="27" t="n"/>
      <c r="I124" s="27" t="n"/>
      <c r="J124" s="27" t="n"/>
      <c r="K124" s="23" t="n"/>
      <c r="L124" s="29" t="n"/>
      <c r="M124" s="29" t="n"/>
      <c r="N124" s="30">
        <f>IF($A124="","",IF($M124="",TODAY()-$B124,$M124-$B124))</f>
        <v/>
      </c>
      <c r="O124" s="30">
        <f>IF(OR($A124="",$L124=""),"",IF(OR($K124="Resolved",$K124="Will not fix"),"Closed",IF(TODAY()&gt;$L124,"OVERDUE","On time")))</f>
        <v/>
      </c>
      <c r="P124" s="27" t="n"/>
    </row>
    <row r="125">
      <c r="A125" s="27" t="n"/>
      <c r="B125" s="29" t="n"/>
      <c r="C125" s="27" t="n"/>
      <c r="D125" s="27" t="n"/>
      <c r="E125" s="27" t="n"/>
      <c r="F125" s="27" t="n"/>
      <c r="G125" s="23" t="n"/>
      <c r="H125" s="27" t="n"/>
      <c r="I125" s="27" t="n"/>
      <c r="J125" s="27" t="n"/>
      <c r="K125" s="23" t="n"/>
      <c r="L125" s="29" t="n"/>
      <c r="M125" s="29" t="n"/>
      <c r="N125" s="30">
        <f>IF($A125="","",IF($M125="",TODAY()-$B125,$M125-$B125))</f>
        <v/>
      </c>
      <c r="O125" s="30">
        <f>IF(OR($A125="",$L125=""),"",IF(OR($K125="Resolved",$K125="Will not fix"),"Closed",IF(TODAY()&gt;$L125,"OVERDUE","On time")))</f>
        <v/>
      </c>
      <c r="P125" s="27" t="n"/>
    </row>
    <row r="126">
      <c r="A126" s="27" t="n"/>
      <c r="B126" s="29" t="n"/>
      <c r="C126" s="27" t="n"/>
      <c r="D126" s="27" t="n"/>
      <c r="E126" s="27" t="n"/>
      <c r="F126" s="27" t="n"/>
      <c r="G126" s="23" t="n"/>
      <c r="H126" s="27" t="n"/>
      <c r="I126" s="27" t="n"/>
      <c r="J126" s="27" t="n"/>
      <c r="K126" s="23" t="n"/>
      <c r="L126" s="29" t="n"/>
      <c r="M126" s="29" t="n"/>
      <c r="N126" s="30">
        <f>IF($A126="","",IF($M126="",TODAY()-$B126,$M126-$B126))</f>
        <v/>
      </c>
      <c r="O126" s="30">
        <f>IF(OR($A126="",$L126=""),"",IF(OR($K126="Resolved",$K126="Will not fix"),"Closed",IF(TODAY()&gt;$L126,"OVERDUE","On time")))</f>
        <v/>
      </c>
      <c r="P126" s="27" t="n"/>
    </row>
    <row r="127">
      <c r="A127" s="27" t="n"/>
      <c r="B127" s="29" t="n"/>
      <c r="C127" s="27" t="n"/>
      <c r="D127" s="27" t="n"/>
      <c r="E127" s="27" t="n"/>
      <c r="F127" s="27" t="n"/>
      <c r="G127" s="23" t="n"/>
      <c r="H127" s="27" t="n"/>
      <c r="I127" s="27" t="n"/>
      <c r="J127" s="27" t="n"/>
      <c r="K127" s="23" t="n"/>
      <c r="L127" s="29" t="n"/>
      <c r="M127" s="29" t="n"/>
      <c r="N127" s="30">
        <f>IF($A127="","",IF($M127="",TODAY()-$B127,$M127-$B127))</f>
        <v/>
      </c>
      <c r="O127" s="30">
        <f>IF(OR($A127="",$L127=""),"",IF(OR($K127="Resolved",$K127="Will not fix"),"Closed",IF(TODAY()&gt;$L127,"OVERDUE","On time")))</f>
        <v/>
      </c>
      <c r="P127" s="27" t="n"/>
    </row>
    <row r="128">
      <c r="A128" s="27" t="n"/>
      <c r="B128" s="29" t="n"/>
      <c r="C128" s="27" t="n"/>
      <c r="D128" s="27" t="n"/>
      <c r="E128" s="27" t="n"/>
      <c r="F128" s="27" t="n"/>
      <c r="G128" s="23" t="n"/>
      <c r="H128" s="27" t="n"/>
      <c r="I128" s="27" t="n"/>
      <c r="J128" s="27" t="n"/>
      <c r="K128" s="23" t="n"/>
      <c r="L128" s="29" t="n"/>
      <c r="M128" s="29" t="n"/>
      <c r="N128" s="30">
        <f>IF($A128="","",IF($M128="",TODAY()-$B128,$M128-$B128))</f>
        <v/>
      </c>
      <c r="O128" s="30">
        <f>IF(OR($A128="",$L128=""),"",IF(OR($K128="Resolved",$K128="Will not fix"),"Closed",IF(TODAY()&gt;$L128,"OVERDUE","On time")))</f>
        <v/>
      </c>
      <c r="P128" s="27" t="n"/>
    </row>
    <row r="129">
      <c r="A129" s="27" t="n"/>
      <c r="B129" s="29" t="n"/>
      <c r="C129" s="27" t="n"/>
      <c r="D129" s="27" t="n"/>
      <c r="E129" s="27" t="n"/>
      <c r="F129" s="27" t="n"/>
      <c r="G129" s="23" t="n"/>
      <c r="H129" s="27" t="n"/>
      <c r="I129" s="27" t="n"/>
      <c r="J129" s="27" t="n"/>
      <c r="K129" s="23" t="n"/>
      <c r="L129" s="29" t="n"/>
      <c r="M129" s="29" t="n"/>
      <c r="N129" s="30">
        <f>IF($A129="","",IF($M129="",TODAY()-$B129,$M129-$B129))</f>
        <v/>
      </c>
      <c r="O129" s="30">
        <f>IF(OR($A129="",$L129=""),"",IF(OR($K129="Resolved",$K129="Will not fix"),"Closed",IF(TODAY()&gt;$L129,"OVERDUE","On time")))</f>
        <v/>
      </c>
      <c r="P129" s="27" t="n"/>
    </row>
    <row r="130">
      <c r="A130" s="27" t="n"/>
      <c r="B130" s="29" t="n"/>
      <c r="C130" s="27" t="n"/>
      <c r="D130" s="27" t="n"/>
      <c r="E130" s="27" t="n"/>
      <c r="F130" s="27" t="n"/>
      <c r="G130" s="23" t="n"/>
      <c r="H130" s="27" t="n"/>
      <c r="I130" s="27" t="n"/>
      <c r="J130" s="27" t="n"/>
      <c r="K130" s="23" t="n"/>
      <c r="L130" s="29" t="n"/>
      <c r="M130" s="29" t="n"/>
      <c r="N130" s="30">
        <f>IF($A130="","",IF($M130="",TODAY()-$B130,$M130-$B130))</f>
        <v/>
      </c>
      <c r="O130" s="30">
        <f>IF(OR($A130="",$L130=""),"",IF(OR($K130="Resolved",$K130="Will not fix"),"Closed",IF(TODAY()&gt;$L130,"OVERDUE","On time")))</f>
        <v/>
      </c>
      <c r="P130" s="27" t="n"/>
    </row>
    <row r="131">
      <c r="A131" s="27" t="n"/>
      <c r="B131" s="29" t="n"/>
      <c r="C131" s="27" t="n"/>
      <c r="D131" s="27" t="n"/>
      <c r="E131" s="27" t="n"/>
      <c r="F131" s="27" t="n"/>
      <c r="G131" s="23" t="n"/>
      <c r="H131" s="27" t="n"/>
      <c r="I131" s="27" t="n"/>
      <c r="J131" s="27" t="n"/>
      <c r="K131" s="23" t="n"/>
      <c r="L131" s="29" t="n"/>
      <c r="M131" s="29" t="n"/>
      <c r="N131" s="30">
        <f>IF($A131="","",IF($M131="",TODAY()-$B131,$M131-$B131))</f>
        <v/>
      </c>
      <c r="O131" s="30">
        <f>IF(OR($A131="",$L131=""),"",IF(OR($K131="Resolved",$K131="Will not fix"),"Closed",IF(TODAY()&gt;$L131,"OVERDUE","On time")))</f>
        <v/>
      </c>
      <c r="P131" s="27" t="n"/>
    </row>
    <row r="132">
      <c r="A132" s="27" t="n"/>
      <c r="B132" s="29" t="n"/>
      <c r="C132" s="27" t="n"/>
      <c r="D132" s="27" t="n"/>
      <c r="E132" s="27" t="n"/>
      <c r="F132" s="27" t="n"/>
      <c r="G132" s="23" t="n"/>
      <c r="H132" s="27" t="n"/>
      <c r="I132" s="27" t="n"/>
      <c r="J132" s="27" t="n"/>
      <c r="K132" s="23" t="n"/>
      <c r="L132" s="29" t="n"/>
      <c r="M132" s="29" t="n"/>
      <c r="N132" s="30">
        <f>IF($A132="","",IF($M132="",TODAY()-$B132,$M132-$B132))</f>
        <v/>
      </c>
      <c r="O132" s="30">
        <f>IF(OR($A132="",$L132=""),"",IF(OR($K132="Resolved",$K132="Will not fix"),"Closed",IF(TODAY()&gt;$L132,"OVERDUE","On time")))</f>
        <v/>
      </c>
      <c r="P132" s="27" t="n"/>
    </row>
    <row r="133">
      <c r="A133" s="27" t="n"/>
      <c r="B133" s="29" t="n"/>
      <c r="C133" s="27" t="n"/>
      <c r="D133" s="27" t="n"/>
      <c r="E133" s="27" t="n"/>
      <c r="F133" s="27" t="n"/>
      <c r="G133" s="23" t="n"/>
      <c r="H133" s="27" t="n"/>
      <c r="I133" s="27" t="n"/>
      <c r="J133" s="27" t="n"/>
      <c r="K133" s="23" t="n"/>
      <c r="L133" s="29" t="n"/>
      <c r="M133" s="29" t="n"/>
      <c r="N133" s="30">
        <f>IF($A133="","",IF($M133="",TODAY()-$B133,$M133-$B133))</f>
        <v/>
      </c>
      <c r="O133" s="30">
        <f>IF(OR($A133="",$L133=""),"",IF(OR($K133="Resolved",$K133="Will not fix"),"Closed",IF(TODAY()&gt;$L133,"OVERDUE","On time")))</f>
        <v/>
      </c>
      <c r="P133" s="27" t="n"/>
    </row>
    <row r="134">
      <c r="A134" s="27" t="n"/>
      <c r="B134" s="29" t="n"/>
      <c r="C134" s="27" t="n"/>
      <c r="D134" s="27" t="n"/>
      <c r="E134" s="27" t="n"/>
      <c r="F134" s="27" t="n"/>
      <c r="G134" s="23" t="n"/>
      <c r="H134" s="27" t="n"/>
      <c r="I134" s="27" t="n"/>
      <c r="J134" s="27" t="n"/>
      <c r="K134" s="23" t="n"/>
      <c r="L134" s="29" t="n"/>
      <c r="M134" s="29" t="n"/>
      <c r="N134" s="30">
        <f>IF($A134="","",IF($M134="",TODAY()-$B134,$M134-$B134))</f>
        <v/>
      </c>
      <c r="O134" s="30">
        <f>IF(OR($A134="",$L134=""),"",IF(OR($K134="Resolved",$K134="Will not fix"),"Closed",IF(TODAY()&gt;$L134,"OVERDUE","On time")))</f>
        <v/>
      </c>
      <c r="P134" s="27" t="n"/>
    </row>
    <row r="135">
      <c r="A135" s="27" t="n"/>
      <c r="B135" s="29" t="n"/>
      <c r="C135" s="27" t="n"/>
      <c r="D135" s="27" t="n"/>
      <c r="E135" s="27" t="n"/>
      <c r="F135" s="27" t="n"/>
      <c r="G135" s="23" t="n"/>
      <c r="H135" s="27" t="n"/>
      <c r="I135" s="27" t="n"/>
      <c r="J135" s="27" t="n"/>
      <c r="K135" s="23" t="n"/>
      <c r="L135" s="29" t="n"/>
      <c r="M135" s="29" t="n"/>
      <c r="N135" s="30">
        <f>IF($A135="","",IF($M135="",TODAY()-$B135,$M135-$B135))</f>
        <v/>
      </c>
      <c r="O135" s="30">
        <f>IF(OR($A135="",$L135=""),"",IF(OR($K135="Resolved",$K135="Will not fix"),"Closed",IF(TODAY()&gt;$L135,"OVERDUE","On time")))</f>
        <v/>
      </c>
      <c r="P135" s="27" t="n"/>
    </row>
    <row r="136">
      <c r="A136" s="27" t="n"/>
      <c r="B136" s="29" t="n"/>
      <c r="C136" s="27" t="n"/>
      <c r="D136" s="27" t="n"/>
      <c r="E136" s="27" t="n"/>
      <c r="F136" s="27" t="n"/>
      <c r="G136" s="23" t="n"/>
      <c r="H136" s="27" t="n"/>
      <c r="I136" s="27" t="n"/>
      <c r="J136" s="27" t="n"/>
      <c r="K136" s="23" t="n"/>
      <c r="L136" s="29" t="n"/>
      <c r="M136" s="29" t="n"/>
      <c r="N136" s="30">
        <f>IF($A136="","",IF($M136="",TODAY()-$B136,$M136-$B136))</f>
        <v/>
      </c>
      <c r="O136" s="30">
        <f>IF(OR($A136="",$L136=""),"",IF(OR($K136="Resolved",$K136="Will not fix"),"Closed",IF(TODAY()&gt;$L136,"OVERDUE","On time")))</f>
        <v/>
      </c>
      <c r="P136" s="27" t="n"/>
    </row>
    <row r="137">
      <c r="A137" s="27" t="n"/>
      <c r="B137" s="29" t="n"/>
      <c r="C137" s="27" t="n"/>
      <c r="D137" s="27" t="n"/>
      <c r="E137" s="27" t="n"/>
      <c r="F137" s="27" t="n"/>
      <c r="G137" s="23" t="n"/>
      <c r="H137" s="27" t="n"/>
      <c r="I137" s="27" t="n"/>
      <c r="J137" s="27" t="n"/>
      <c r="K137" s="23" t="n"/>
      <c r="L137" s="29" t="n"/>
      <c r="M137" s="29" t="n"/>
      <c r="N137" s="30">
        <f>IF($A137="","",IF($M137="",TODAY()-$B137,$M137-$B137))</f>
        <v/>
      </c>
      <c r="O137" s="30">
        <f>IF(OR($A137="",$L137=""),"",IF(OR($K137="Resolved",$K137="Will not fix"),"Closed",IF(TODAY()&gt;$L137,"OVERDUE","On time")))</f>
        <v/>
      </c>
      <c r="P137" s="27" t="n"/>
    </row>
    <row r="138">
      <c r="A138" s="27" t="n"/>
      <c r="B138" s="29" t="n"/>
      <c r="C138" s="27" t="n"/>
      <c r="D138" s="27" t="n"/>
      <c r="E138" s="27" t="n"/>
      <c r="F138" s="27" t="n"/>
      <c r="G138" s="23" t="n"/>
      <c r="H138" s="27" t="n"/>
      <c r="I138" s="27" t="n"/>
      <c r="J138" s="27" t="n"/>
      <c r="K138" s="23" t="n"/>
      <c r="L138" s="29" t="n"/>
      <c r="M138" s="29" t="n"/>
      <c r="N138" s="30">
        <f>IF($A138="","",IF($M138="",TODAY()-$B138,$M138-$B138))</f>
        <v/>
      </c>
      <c r="O138" s="30">
        <f>IF(OR($A138="",$L138=""),"",IF(OR($K138="Resolved",$K138="Will not fix"),"Closed",IF(TODAY()&gt;$L138,"OVERDUE","On time")))</f>
        <v/>
      </c>
      <c r="P138" s="27" t="n"/>
    </row>
    <row r="139">
      <c r="A139" s="27" t="n"/>
      <c r="B139" s="29" t="n"/>
      <c r="C139" s="27" t="n"/>
      <c r="D139" s="27" t="n"/>
      <c r="E139" s="27" t="n"/>
      <c r="F139" s="27" t="n"/>
      <c r="G139" s="23" t="n"/>
      <c r="H139" s="27" t="n"/>
      <c r="I139" s="27" t="n"/>
      <c r="J139" s="27" t="n"/>
      <c r="K139" s="23" t="n"/>
      <c r="L139" s="29" t="n"/>
      <c r="M139" s="29" t="n"/>
      <c r="N139" s="30">
        <f>IF($A139="","",IF($M139="",TODAY()-$B139,$M139-$B139))</f>
        <v/>
      </c>
      <c r="O139" s="30">
        <f>IF(OR($A139="",$L139=""),"",IF(OR($K139="Resolved",$K139="Will not fix"),"Closed",IF(TODAY()&gt;$L139,"OVERDUE","On time")))</f>
        <v/>
      </c>
      <c r="P139" s="27" t="n"/>
    </row>
    <row r="140">
      <c r="A140" s="27" t="n"/>
      <c r="B140" s="29" t="n"/>
      <c r="C140" s="27" t="n"/>
      <c r="D140" s="27" t="n"/>
      <c r="E140" s="27" t="n"/>
      <c r="F140" s="27" t="n"/>
      <c r="G140" s="23" t="n"/>
      <c r="H140" s="27" t="n"/>
      <c r="I140" s="27" t="n"/>
      <c r="J140" s="27" t="n"/>
      <c r="K140" s="23" t="n"/>
      <c r="L140" s="29" t="n"/>
      <c r="M140" s="29" t="n"/>
      <c r="N140" s="30">
        <f>IF($A140="","",IF($M140="",TODAY()-$B140,$M140-$B140))</f>
        <v/>
      </c>
      <c r="O140" s="30">
        <f>IF(OR($A140="",$L140=""),"",IF(OR($K140="Resolved",$K140="Will not fix"),"Closed",IF(TODAY()&gt;$L140,"OVERDUE","On time")))</f>
        <v/>
      </c>
      <c r="P140" s="27" t="n"/>
    </row>
    <row r="141">
      <c r="A141" s="27" t="n"/>
      <c r="B141" s="29" t="n"/>
      <c r="C141" s="27" t="n"/>
      <c r="D141" s="27" t="n"/>
      <c r="E141" s="27" t="n"/>
      <c r="F141" s="27" t="n"/>
      <c r="G141" s="23" t="n"/>
      <c r="H141" s="27" t="n"/>
      <c r="I141" s="27" t="n"/>
      <c r="J141" s="27" t="n"/>
      <c r="K141" s="23" t="n"/>
      <c r="L141" s="29" t="n"/>
      <c r="M141" s="29" t="n"/>
      <c r="N141" s="30">
        <f>IF($A141="","",IF($M141="",TODAY()-$B141,$M141-$B141))</f>
        <v/>
      </c>
      <c r="O141" s="30">
        <f>IF(OR($A141="",$L141=""),"",IF(OR($K141="Resolved",$K141="Will not fix"),"Closed",IF(TODAY()&gt;$L141,"OVERDUE","On time")))</f>
        <v/>
      </c>
      <c r="P141" s="27" t="n"/>
    </row>
    <row r="142">
      <c r="A142" s="27" t="n"/>
      <c r="B142" s="29" t="n"/>
      <c r="C142" s="27" t="n"/>
      <c r="D142" s="27" t="n"/>
      <c r="E142" s="27" t="n"/>
      <c r="F142" s="27" t="n"/>
      <c r="G142" s="23" t="n"/>
      <c r="H142" s="27" t="n"/>
      <c r="I142" s="27" t="n"/>
      <c r="J142" s="27" t="n"/>
      <c r="K142" s="23" t="n"/>
      <c r="L142" s="29" t="n"/>
      <c r="M142" s="29" t="n"/>
      <c r="N142" s="30">
        <f>IF($A142="","",IF($M142="",TODAY()-$B142,$M142-$B142))</f>
        <v/>
      </c>
      <c r="O142" s="30">
        <f>IF(OR($A142="",$L142=""),"",IF(OR($K142="Resolved",$K142="Will not fix"),"Closed",IF(TODAY()&gt;$L142,"OVERDUE","On time")))</f>
        <v/>
      </c>
      <c r="P142" s="27" t="n"/>
    </row>
    <row r="143">
      <c r="A143" s="27" t="n"/>
      <c r="B143" s="29" t="n"/>
      <c r="C143" s="27" t="n"/>
      <c r="D143" s="27" t="n"/>
      <c r="E143" s="27" t="n"/>
      <c r="F143" s="27" t="n"/>
      <c r="G143" s="23" t="n"/>
      <c r="H143" s="27" t="n"/>
      <c r="I143" s="27" t="n"/>
      <c r="J143" s="27" t="n"/>
      <c r="K143" s="23" t="n"/>
      <c r="L143" s="29" t="n"/>
      <c r="M143" s="29" t="n"/>
      <c r="N143" s="30">
        <f>IF($A143="","",IF($M143="",TODAY()-$B143,$M143-$B143))</f>
        <v/>
      </c>
      <c r="O143" s="30">
        <f>IF(OR($A143="",$L143=""),"",IF(OR($K143="Resolved",$K143="Will not fix"),"Closed",IF(TODAY()&gt;$L143,"OVERDUE","On time")))</f>
        <v/>
      </c>
      <c r="P143" s="27" t="n"/>
    </row>
    <row r="144">
      <c r="A144" s="27" t="n"/>
      <c r="B144" s="29" t="n"/>
      <c r="C144" s="27" t="n"/>
      <c r="D144" s="27" t="n"/>
      <c r="E144" s="27" t="n"/>
      <c r="F144" s="27" t="n"/>
      <c r="G144" s="23" t="n"/>
      <c r="H144" s="27" t="n"/>
      <c r="I144" s="27" t="n"/>
      <c r="J144" s="27" t="n"/>
      <c r="K144" s="23" t="n"/>
      <c r="L144" s="29" t="n"/>
      <c r="M144" s="29" t="n"/>
      <c r="N144" s="30">
        <f>IF($A144="","",IF($M144="",TODAY()-$B144,$M144-$B144))</f>
        <v/>
      </c>
      <c r="O144" s="30">
        <f>IF(OR($A144="",$L144=""),"",IF(OR($K144="Resolved",$K144="Will not fix"),"Closed",IF(TODAY()&gt;$L144,"OVERDUE","On time")))</f>
        <v/>
      </c>
      <c r="P144" s="27" t="n"/>
    </row>
    <row r="145">
      <c r="A145" s="27" t="n"/>
      <c r="B145" s="29" t="n"/>
      <c r="C145" s="27" t="n"/>
      <c r="D145" s="27" t="n"/>
      <c r="E145" s="27" t="n"/>
      <c r="F145" s="27" t="n"/>
      <c r="G145" s="23" t="n"/>
      <c r="H145" s="27" t="n"/>
      <c r="I145" s="27" t="n"/>
      <c r="J145" s="27" t="n"/>
      <c r="K145" s="23" t="n"/>
      <c r="L145" s="29" t="n"/>
      <c r="M145" s="29" t="n"/>
      <c r="N145" s="30">
        <f>IF($A145="","",IF($M145="",TODAY()-$B145,$M145-$B145))</f>
        <v/>
      </c>
      <c r="O145" s="30">
        <f>IF(OR($A145="",$L145=""),"",IF(OR($K145="Resolved",$K145="Will not fix"),"Closed",IF(TODAY()&gt;$L145,"OVERDUE","On time")))</f>
        <v/>
      </c>
      <c r="P145" s="27" t="n"/>
    </row>
    <row r="146">
      <c r="A146" s="27" t="n"/>
      <c r="B146" s="29" t="n"/>
      <c r="C146" s="27" t="n"/>
      <c r="D146" s="27" t="n"/>
      <c r="E146" s="27" t="n"/>
      <c r="F146" s="27" t="n"/>
      <c r="G146" s="23" t="n"/>
      <c r="H146" s="27" t="n"/>
      <c r="I146" s="27" t="n"/>
      <c r="J146" s="27" t="n"/>
      <c r="K146" s="23" t="n"/>
      <c r="L146" s="29" t="n"/>
      <c r="M146" s="29" t="n"/>
      <c r="N146" s="30">
        <f>IF($A146="","",IF($M146="",TODAY()-$B146,$M146-$B146))</f>
        <v/>
      </c>
      <c r="O146" s="30">
        <f>IF(OR($A146="",$L146=""),"",IF(OR($K146="Resolved",$K146="Will not fix"),"Closed",IF(TODAY()&gt;$L146,"OVERDUE","On time")))</f>
        <v/>
      </c>
      <c r="P146" s="27" t="n"/>
    </row>
    <row r="147">
      <c r="A147" s="27" t="n"/>
      <c r="B147" s="29" t="n"/>
      <c r="C147" s="27" t="n"/>
      <c r="D147" s="27" t="n"/>
      <c r="E147" s="27" t="n"/>
      <c r="F147" s="27" t="n"/>
      <c r="G147" s="23" t="n"/>
      <c r="H147" s="27" t="n"/>
      <c r="I147" s="27" t="n"/>
      <c r="J147" s="27" t="n"/>
      <c r="K147" s="23" t="n"/>
      <c r="L147" s="29" t="n"/>
      <c r="M147" s="29" t="n"/>
      <c r="N147" s="30">
        <f>IF($A147="","",IF($M147="",TODAY()-$B147,$M147-$B147))</f>
        <v/>
      </c>
      <c r="O147" s="30">
        <f>IF(OR($A147="",$L147=""),"",IF(OR($K147="Resolved",$K147="Will not fix"),"Closed",IF(TODAY()&gt;$L147,"OVERDUE","On time")))</f>
        <v/>
      </c>
      <c r="P147" s="27" t="n"/>
    </row>
    <row r="148">
      <c r="A148" s="27" t="n"/>
      <c r="B148" s="29" t="n"/>
      <c r="C148" s="27" t="n"/>
      <c r="D148" s="27" t="n"/>
      <c r="E148" s="27" t="n"/>
      <c r="F148" s="27" t="n"/>
      <c r="G148" s="23" t="n"/>
      <c r="H148" s="27" t="n"/>
      <c r="I148" s="27" t="n"/>
      <c r="J148" s="27" t="n"/>
      <c r="K148" s="23" t="n"/>
      <c r="L148" s="29" t="n"/>
      <c r="M148" s="29" t="n"/>
      <c r="N148" s="30">
        <f>IF($A148="","",IF($M148="",TODAY()-$B148,$M148-$B148))</f>
        <v/>
      </c>
      <c r="O148" s="30">
        <f>IF(OR($A148="",$L148=""),"",IF(OR($K148="Resolved",$K148="Will not fix"),"Closed",IF(TODAY()&gt;$L148,"OVERDUE","On time")))</f>
        <v/>
      </c>
      <c r="P148" s="27" t="n"/>
    </row>
    <row r="149">
      <c r="A149" s="27" t="n"/>
      <c r="B149" s="29" t="n"/>
      <c r="C149" s="27" t="n"/>
      <c r="D149" s="27" t="n"/>
      <c r="E149" s="27" t="n"/>
      <c r="F149" s="27" t="n"/>
      <c r="G149" s="23" t="n"/>
      <c r="H149" s="27" t="n"/>
      <c r="I149" s="27" t="n"/>
      <c r="J149" s="27" t="n"/>
      <c r="K149" s="23" t="n"/>
      <c r="L149" s="29" t="n"/>
      <c r="M149" s="29" t="n"/>
      <c r="N149" s="30">
        <f>IF($A149="","",IF($M149="",TODAY()-$B149,$M149-$B149))</f>
        <v/>
      </c>
      <c r="O149" s="30">
        <f>IF(OR($A149="",$L149=""),"",IF(OR($K149="Resolved",$K149="Will not fix"),"Closed",IF(TODAY()&gt;$L149,"OVERDUE","On time")))</f>
        <v/>
      </c>
      <c r="P149" s="27" t="n"/>
    </row>
    <row r="150">
      <c r="A150" s="27" t="n"/>
      <c r="B150" s="29" t="n"/>
      <c r="C150" s="27" t="n"/>
      <c r="D150" s="27" t="n"/>
      <c r="E150" s="27" t="n"/>
      <c r="F150" s="27" t="n"/>
      <c r="G150" s="23" t="n"/>
      <c r="H150" s="27" t="n"/>
      <c r="I150" s="27" t="n"/>
      <c r="J150" s="27" t="n"/>
      <c r="K150" s="23" t="n"/>
      <c r="L150" s="29" t="n"/>
      <c r="M150" s="29" t="n"/>
      <c r="N150" s="30">
        <f>IF($A150="","",IF($M150="",TODAY()-$B150,$M150-$B150))</f>
        <v/>
      </c>
      <c r="O150" s="30">
        <f>IF(OR($A150="",$L150=""),"",IF(OR($K150="Resolved",$K150="Will not fix"),"Closed",IF(TODAY()&gt;$L150,"OVERDUE","On time")))</f>
        <v/>
      </c>
      <c r="P150" s="27" t="n"/>
    </row>
    <row r="151">
      <c r="A151" s="27" t="n"/>
      <c r="B151" s="29" t="n"/>
      <c r="C151" s="27" t="n"/>
      <c r="D151" s="27" t="n"/>
      <c r="E151" s="27" t="n"/>
      <c r="F151" s="27" t="n"/>
      <c r="G151" s="23" t="n"/>
      <c r="H151" s="27" t="n"/>
      <c r="I151" s="27" t="n"/>
      <c r="J151" s="27" t="n"/>
      <c r="K151" s="23" t="n"/>
      <c r="L151" s="29" t="n"/>
      <c r="M151" s="29" t="n"/>
      <c r="N151" s="30">
        <f>IF($A151="","",IF($M151="",TODAY()-$B151,$M151-$B151))</f>
        <v/>
      </c>
      <c r="O151" s="30">
        <f>IF(OR($A151="",$L151=""),"",IF(OR($K151="Resolved",$K151="Will not fix"),"Closed",IF(TODAY()&gt;$L151,"OVERDUE","On time")))</f>
        <v/>
      </c>
      <c r="P151" s="27" t="n"/>
    </row>
    <row r="152">
      <c r="A152" s="27" t="n"/>
      <c r="B152" s="29" t="n"/>
      <c r="C152" s="27" t="n"/>
      <c r="D152" s="27" t="n"/>
      <c r="E152" s="27" t="n"/>
      <c r="F152" s="27" t="n"/>
      <c r="G152" s="23" t="n"/>
      <c r="H152" s="27" t="n"/>
      <c r="I152" s="27" t="n"/>
      <c r="J152" s="27" t="n"/>
      <c r="K152" s="23" t="n"/>
      <c r="L152" s="29" t="n"/>
      <c r="M152" s="29" t="n"/>
      <c r="N152" s="30">
        <f>IF($A152="","",IF($M152="",TODAY()-$B152,$M152-$B152))</f>
        <v/>
      </c>
      <c r="O152" s="30">
        <f>IF(OR($A152="",$L152=""),"",IF(OR($K152="Resolved",$K152="Will not fix"),"Closed",IF(TODAY()&gt;$L152,"OVERDUE","On time")))</f>
        <v/>
      </c>
      <c r="P152" s="27" t="n"/>
    </row>
    <row r="153">
      <c r="A153" s="27" t="n"/>
      <c r="B153" s="29" t="n"/>
      <c r="C153" s="27" t="n"/>
      <c r="D153" s="27" t="n"/>
      <c r="E153" s="27" t="n"/>
      <c r="F153" s="27" t="n"/>
      <c r="G153" s="23" t="n"/>
      <c r="H153" s="27" t="n"/>
      <c r="I153" s="27" t="n"/>
      <c r="J153" s="27" t="n"/>
      <c r="K153" s="23" t="n"/>
      <c r="L153" s="29" t="n"/>
      <c r="M153" s="29" t="n"/>
      <c r="N153" s="30">
        <f>IF($A153="","",IF($M153="",TODAY()-$B153,$M153-$B153))</f>
        <v/>
      </c>
      <c r="O153" s="30">
        <f>IF(OR($A153="",$L153=""),"",IF(OR($K153="Resolved",$K153="Will not fix"),"Closed",IF(TODAY()&gt;$L153,"OVERDUE","On time")))</f>
        <v/>
      </c>
      <c r="P153" s="27" t="n"/>
    </row>
    <row r="154">
      <c r="A154" s="27" t="n"/>
      <c r="B154" s="29" t="n"/>
      <c r="C154" s="27" t="n"/>
      <c r="D154" s="27" t="n"/>
      <c r="E154" s="27" t="n"/>
      <c r="F154" s="27" t="n"/>
      <c r="G154" s="23" t="n"/>
      <c r="H154" s="27" t="n"/>
      <c r="I154" s="27" t="n"/>
      <c r="J154" s="27" t="n"/>
      <c r="K154" s="23" t="n"/>
      <c r="L154" s="29" t="n"/>
      <c r="M154" s="29" t="n"/>
      <c r="N154" s="30">
        <f>IF($A154="","",IF($M154="",TODAY()-$B154,$M154-$B154))</f>
        <v/>
      </c>
      <c r="O154" s="30">
        <f>IF(OR($A154="",$L154=""),"",IF(OR($K154="Resolved",$K154="Will not fix"),"Closed",IF(TODAY()&gt;$L154,"OVERDUE","On time")))</f>
        <v/>
      </c>
      <c r="P154" s="27" t="n"/>
    </row>
    <row r="155">
      <c r="A155" s="27" t="n"/>
      <c r="B155" s="29" t="n"/>
      <c r="C155" s="27" t="n"/>
      <c r="D155" s="27" t="n"/>
      <c r="E155" s="27" t="n"/>
      <c r="F155" s="27" t="n"/>
      <c r="G155" s="23" t="n"/>
      <c r="H155" s="27" t="n"/>
      <c r="I155" s="27" t="n"/>
      <c r="J155" s="27" t="n"/>
      <c r="K155" s="23" t="n"/>
      <c r="L155" s="29" t="n"/>
      <c r="M155" s="29" t="n"/>
      <c r="N155" s="30">
        <f>IF($A155="","",IF($M155="",TODAY()-$B155,$M155-$B155))</f>
        <v/>
      </c>
      <c r="O155" s="30">
        <f>IF(OR($A155="",$L155=""),"",IF(OR($K155="Resolved",$K155="Will not fix"),"Closed",IF(TODAY()&gt;$L155,"OVERDUE","On time")))</f>
        <v/>
      </c>
      <c r="P155" s="27" t="n"/>
    </row>
    <row r="156">
      <c r="A156" s="27" t="n"/>
      <c r="B156" s="29" t="n"/>
      <c r="C156" s="27" t="n"/>
      <c r="D156" s="27" t="n"/>
      <c r="E156" s="27" t="n"/>
      <c r="F156" s="27" t="n"/>
      <c r="G156" s="23" t="n"/>
      <c r="H156" s="27" t="n"/>
      <c r="I156" s="27" t="n"/>
      <c r="J156" s="27" t="n"/>
      <c r="K156" s="23" t="n"/>
      <c r="L156" s="29" t="n"/>
      <c r="M156" s="29" t="n"/>
      <c r="N156" s="30">
        <f>IF($A156="","",IF($M156="",TODAY()-$B156,$M156-$B156))</f>
        <v/>
      </c>
      <c r="O156" s="30">
        <f>IF(OR($A156="",$L156=""),"",IF(OR($K156="Resolved",$K156="Will not fix"),"Closed",IF(TODAY()&gt;$L156,"OVERDUE","On time")))</f>
        <v/>
      </c>
      <c r="P156" s="27" t="n"/>
    </row>
    <row r="157">
      <c r="A157" s="27" t="n"/>
      <c r="B157" s="29" t="n"/>
      <c r="C157" s="27" t="n"/>
      <c r="D157" s="27" t="n"/>
      <c r="E157" s="27" t="n"/>
      <c r="F157" s="27" t="n"/>
      <c r="G157" s="23" t="n"/>
      <c r="H157" s="27" t="n"/>
      <c r="I157" s="27" t="n"/>
      <c r="J157" s="27" t="n"/>
      <c r="K157" s="23" t="n"/>
      <c r="L157" s="29" t="n"/>
      <c r="M157" s="29" t="n"/>
      <c r="N157" s="30">
        <f>IF($A157="","",IF($M157="",TODAY()-$B157,$M157-$B157))</f>
        <v/>
      </c>
      <c r="O157" s="30">
        <f>IF(OR($A157="",$L157=""),"",IF(OR($K157="Resolved",$K157="Will not fix"),"Closed",IF(TODAY()&gt;$L157,"OVERDUE","On time")))</f>
        <v/>
      </c>
      <c r="P157" s="27" t="n"/>
    </row>
    <row r="158">
      <c r="A158" s="27" t="n"/>
      <c r="B158" s="29" t="n"/>
      <c r="C158" s="27" t="n"/>
      <c r="D158" s="27" t="n"/>
      <c r="E158" s="27" t="n"/>
      <c r="F158" s="27" t="n"/>
      <c r="G158" s="23" t="n"/>
      <c r="H158" s="27" t="n"/>
      <c r="I158" s="27" t="n"/>
      <c r="J158" s="27" t="n"/>
      <c r="K158" s="23" t="n"/>
      <c r="L158" s="29" t="n"/>
      <c r="M158" s="29" t="n"/>
      <c r="N158" s="30">
        <f>IF($A158="","",IF($M158="",TODAY()-$B158,$M158-$B158))</f>
        <v/>
      </c>
      <c r="O158" s="30">
        <f>IF(OR($A158="",$L158=""),"",IF(OR($K158="Resolved",$K158="Will not fix"),"Closed",IF(TODAY()&gt;$L158,"OVERDUE","On time")))</f>
        <v/>
      </c>
      <c r="P158" s="27" t="n"/>
    </row>
    <row r="159">
      <c r="A159" s="27" t="n"/>
      <c r="B159" s="29" t="n"/>
      <c r="C159" s="27" t="n"/>
      <c r="D159" s="27" t="n"/>
      <c r="E159" s="27" t="n"/>
      <c r="F159" s="27" t="n"/>
      <c r="G159" s="23" t="n"/>
      <c r="H159" s="27" t="n"/>
      <c r="I159" s="27" t="n"/>
      <c r="J159" s="27" t="n"/>
      <c r="K159" s="23" t="n"/>
      <c r="L159" s="29" t="n"/>
      <c r="M159" s="29" t="n"/>
      <c r="N159" s="30">
        <f>IF($A159="","",IF($M159="",TODAY()-$B159,$M159-$B159))</f>
        <v/>
      </c>
      <c r="O159" s="30">
        <f>IF(OR($A159="",$L159=""),"",IF(OR($K159="Resolved",$K159="Will not fix"),"Closed",IF(TODAY()&gt;$L159,"OVERDUE","On time")))</f>
        <v/>
      </c>
      <c r="P159" s="27" t="n"/>
    </row>
    <row r="160">
      <c r="A160" s="27" t="n"/>
      <c r="B160" s="29" t="n"/>
      <c r="C160" s="27" t="n"/>
      <c r="D160" s="27" t="n"/>
      <c r="E160" s="27" t="n"/>
      <c r="F160" s="27" t="n"/>
      <c r="G160" s="23" t="n"/>
      <c r="H160" s="27" t="n"/>
      <c r="I160" s="27" t="n"/>
      <c r="J160" s="27" t="n"/>
      <c r="K160" s="23" t="n"/>
      <c r="L160" s="29" t="n"/>
      <c r="M160" s="29" t="n"/>
      <c r="N160" s="30">
        <f>IF($A160="","",IF($M160="",TODAY()-$B160,$M160-$B160))</f>
        <v/>
      </c>
      <c r="O160" s="30">
        <f>IF(OR($A160="",$L160=""),"",IF(OR($K160="Resolved",$K160="Will not fix"),"Closed",IF(TODAY()&gt;$L160,"OVERDUE","On time")))</f>
        <v/>
      </c>
      <c r="P160" s="27" t="n"/>
    </row>
    <row r="161">
      <c r="A161" s="27" t="n"/>
      <c r="B161" s="29" t="n"/>
      <c r="C161" s="27" t="n"/>
      <c r="D161" s="27" t="n"/>
      <c r="E161" s="27" t="n"/>
      <c r="F161" s="27" t="n"/>
      <c r="G161" s="23" t="n"/>
      <c r="H161" s="27" t="n"/>
      <c r="I161" s="27" t="n"/>
      <c r="J161" s="27" t="n"/>
      <c r="K161" s="23" t="n"/>
      <c r="L161" s="29" t="n"/>
      <c r="M161" s="29" t="n"/>
      <c r="N161" s="30">
        <f>IF($A161="","",IF($M161="",TODAY()-$B161,$M161-$B161))</f>
        <v/>
      </c>
      <c r="O161" s="30">
        <f>IF(OR($A161="",$L161=""),"",IF(OR($K161="Resolved",$K161="Will not fix"),"Closed",IF(TODAY()&gt;$L161,"OVERDUE","On time")))</f>
        <v/>
      </c>
      <c r="P161" s="27" t="n"/>
    </row>
    <row r="162">
      <c r="A162" s="27" t="n"/>
      <c r="B162" s="29" t="n"/>
      <c r="C162" s="27" t="n"/>
      <c r="D162" s="27" t="n"/>
      <c r="E162" s="27" t="n"/>
      <c r="F162" s="27" t="n"/>
      <c r="G162" s="23" t="n"/>
      <c r="H162" s="27" t="n"/>
      <c r="I162" s="27" t="n"/>
      <c r="J162" s="27" t="n"/>
      <c r="K162" s="23" t="n"/>
      <c r="L162" s="29" t="n"/>
      <c r="M162" s="29" t="n"/>
      <c r="N162" s="30">
        <f>IF($A162="","",IF($M162="",TODAY()-$B162,$M162-$B162))</f>
        <v/>
      </c>
      <c r="O162" s="30">
        <f>IF(OR($A162="",$L162=""),"",IF(OR($K162="Resolved",$K162="Will not fix"),"Closed",IF(TODAY()&gt;$L162,"OVERDUE","On time")))</f>
        <v/>
      </c>
      <c r="P162" s="27" t="n"/>
    </row>
    <row r="163">
      <c r="A163" s="27" t="n"/>
      <c r="B163" s="29" t="n"/>
      <c r="C163" s="27" t="n"/>
      <c r="D163" s="27" t="n"/>
      <c r="E163" s="27" t="n"/>
      <c r="F163" s="27" t="n"/>
      <c r="G163" s="23" t="n"/>
      <c r="H163" s="27" t="n"/>
      <c r="I163" s="27" t="n"/>
      <c r="J163" s="27" t="n"/>
      <c r="K163" s="23" t="n"/>
      <c r="L163" s="29" t="n"/>
      <c r="M163" s="29" t="n"/>
      <c r="N163" s="30">
        <f>IF($A163="","",IF($M163="",TODAY()-$B163,$M163-$B163))</f>
        <v/>
      </c>
      <c r="O163" s="30">
        <f>IF(OR($A163="",$L163=""),"",IF(OR($K163="Resolved",$K163="Will not fix"),"Closed",IF(TODAY()&gt;$L163,"OVERDUE","On time")))</f>
        <v/>
      </c>
      <c r="P163" s="27" t="n"/>
    </row>
    <row r="164">
      <c r="A164" s="27" t="n"/>
      <c r="B164" s="29" t="n"/>
      <c r="C164" s="27" t="n"/>
      <c r="D164" s="27" t="n"/>
      <c r="E164" s="27" t="n"/>
      <c r="F164" s="27" t="n"/>
      <c r="G164" s="23" t="n"/>
      <c r="H164" s="27" t="n"/>
      <c r="I164" s="27" t="n"/>
      <c r="J164" s="27" t="n"/>
      <c r="K164" s="23" t="n"/>
      <c r="L164" s="29" t="n"/>
      <c r="M164" s="29" t="n"/>
      <c r="N164" s="30">
        <f>IF($A164="","",IF($M164="",TODAY()-$B164,$M164-$B164))</f>
        <v/>
      </c>
      <c r="O164" s="30">
        <f>IF(OR($A164="",$L164=""),"",IF(OR($K164="Resolved",$K164="Will not fix"),"Closed",IF(TODAY()&gt;$L164,"OVERDUE","On time")))</f>
        <v/>
      </c>
      <c r="P164" s="27" t="n"/>
    </row>
    <row r="165">
      <c r="A165" s="27" t="n"/>
      <c r="B165" s="29" t="n"/>
      <c r="C165" s="27" t="n"/>
      <c r="D165" s="27" t="n"/>
      <c r="E165" s="27" t="n"/>
      <c r="F165" s="27" t="n"/>
      <c r="G165" s="23" t="n"/>
      <c r="H165" s="27" t="n"/>
      <c r="I165" s="27" t="n"/>
      <c r="J165" s="27" t="n"/>
      <c r="K165" s="23" t="n"/>
      <c r="L165" s="29" t="n"/>
      <c r="M165" s="29" t="n"/>
      <c r="N165" s="30">
        <f>IF($A165="","",IF($M165="",TODAY()-$B165,$M165-$B165))</f>
        <v/>
      </c>
      <c r="O165" s="30">
        <f>IF(OR($A165="",$L165=""),"",IF(OR($K165="Resolved",$K165="Will not fix"),"Closed",IF(TODAY()&gt;$L165,"OVERDUE","On time")))</f>
        <v/>
      </c>
      <c r="P165" s="27" t="n"/>
    </row>
    <row r="166">
      <c r="A166" s="27" t="n"/>
      <c r="B166" s="29" t="n"/>
      <c r="C166" s="27" t="n"/>
      <c r="D166" s="27" t="n"/>
      <c r="E166" s="27" t="n"/>
      <c r="F166" s="27" t="n"/>
      <c r="G166" s="23" t="n"/>
      <c r="H166" s="27" t="n"/>
      <c r="I166" s="27" t="n"/>
      <c r="J166" s="27" t="n"/>
      <c r="K166" s="23" t="n"/>
      <c r="L166" s="29" t="n"/>
      <c r="M166" s="29" t="n"/>
      <c r="N166" s="30">
        <f>IF($A166="","",IF($M166="",TODAY()-$B166,$M166-$B166))</f>
        <v/>
      </c>
      <c r="O166" s="30">
        <f>IF(OR($A166="",$L166=""),"",IF(OR($K166="Resolved",$K166="Will not fix"),"Closed",IF(TODAY()&gt;$L166,"OVERDUE","On time")))</f>
        <v/>
      </c>
      <c r="P166" s="27" t="n"/>
    </row>
    <row r="167">
      <c r="A167" s="27" t="n"/>
      <c r="B167" s="29" t="n"/>
      <c r="C167" s="27" t="n"/>
      <c r="D167" s="27" t="n"/>
      <c r="E167" s="27" t="n"/>
      <c r="F167" s="27" t="n"/>
      <c r="G167" s="23" t="n"/>
      <c r="H167" s="27" t="n"/>
      <c r="I167" s="27" t="n"/>
      <c r="J167" s="27" t="n"/>
      <c r="K167" s="23" t="n"/>
      <c r="L167" s="29" t="n"/>
      <c r="M167" s="29" t="n"/>
      <c r="N167" s="30">
        <f>IF($A167="","",IF($M167="",TODAY()-$B167,$M167-$B167))</f>
        <v/>
      </c>
      <c r="O167" s="30">
        <f>IF(OR($A167="",$L167=""),"",IF(OR($K167="Resolved",$K167="Will not fix"),"Closed",IF(TODAY()&gt;$L167,"OVERDUE","On time")))</f>
        <v/>
      </c>
      <c r="P167" s="27" t="n"/>
    </row>
    <row r="168">
      <c r="A168" s="27" t="n"/>
      <c r="B168" s="29" t="n"/>
      <c r="C168" s="27" t="n"/>
      <c r="D168" s="27" t="n"/>
      <c r="E168" s="27" t="n"/>
      <c r="F168" s="27" t="n"/>
      <c r="G168" s="23" t="n"/>
      <c r="H168" s="27" t="n"/>
      <c r="I168" s="27" t="n"/>
      <c r="J168" s="27" t="n"/>
      <c r="K168" s="23" t="n"/>
      <c r="L168" s="29" t="n"/>
      <c r="M168" s="29" t="n"/>
      <c r="N168" s="30">
        <f>IF($A168="","",IF($M168="",TODAY()-$B168,$M168-$B168))</f>
        <v/>
      </c>
      <c r="O168" s="30">
        <f>IF(OR($A168="",$L168=""),"",IF(OR($K168="Resolved",$K168="Will not fix"),"Closed",IF(TODAY()&gt;$L168,"OVERDUE","On time")))</f>
        <v/>
      </c>
      <c r="P168" s="27" t="n"/>
    </row>
    <row r="169">
      <c r="A169" s="27" t="n"/>
      <c r="B169" s="29" t="n"/>
      <c r="C169" s="27" t="n"/>
      <c r="D169" s="27" t="n"/>
      <c r="E169" s="27" t="n"/>
      <c r="F169" s="27" t="n"/>
      <c r="G169" s="23" t="n"/>
      <c r="H169" s="27" t="n"/>
      <c r="I169" s="27" t="n"/>
      <c r="J169" s="27" t="n"/>
      <c r="K169" s="23" t="n"/>
      <c r="L169" s="29" t="n"/>
      <c r="M169" s="29" t="n"/>
      <c r="N169" s="30">
        <f>IF($A169="","",IF($M169="",TODAY()-$B169,$M169-$B169))</f>
        <v/>
      </c>
      <c r="O169" s="30">
        <f>IF(OR($A169="",$L169=""),"",IF(OR($K169="Resolved",$K169="Will not fix"),"Closed",IF(TODAY()&gt;$L169,"OVERDUE","On time")))</f>
        <v/>
      </c>
      <c r="P169" s="27" t="n"/>
    </row>
    <row r="170">
      <c r="A170" s="27" t="n"/>
      <c r="B170" s="29" t="n"/>
      <c r="C170" s="27" t="n"/>
      <c r="D170" s="27" t="n"/>
      <c r="E170" s="27" t="n"/>
      <c r="F170" s="27" t="n"/>
      <c r="G170" s="23" t="n"/>
      <c r="H170" s="27" t="n"/>
      <c r="I170" s="27" t="n"/>
      <c r="J170" s="27" t="n"/>
      <c r="K170" s="23" t="n"/>
      <c r="L170" s="29" t="n"/>
      <c r="M170" s="29" t="n"/>
      <c r="N170" s="30">
        <f>IF($A170="","",IF($M170="",TODAY()-$B170,$M170-$B170))</f>
        <v/>
      </c>
      <c r="O170" s="30">
        <f>IF(OR($A170="",$L170=""),"",IF(OR($K170="Resolved",$K170="Will not fix"),"Closed",IF(TODAY()&gt;$L170,"OVERDUE","On time")))</f>
        <v/>
      </c>
      <c r="P170" s="27" t="n"/>
    </row>
    <row r="171">
      <c r="A171" s="27" t="n"/>
      <c r="B171" s="29" t="n"/>
      <c r="C171" s="27" t="n"/>
      <c r="D171" s="27" t="n"/>
      <c r="E171" s="27" t="n"/>
      <c r="F171" s="27" t="n"/>
      <c r="G171" s="23" t="n"/>
      <c r="H171" s="27" t="n"/>
      <c r="I171" s="27" t="n"/>
      <c r="J171" s="27" t="n"/>
      <c r="K171" s="23" t="n"/>
      <c r="L171" s="29" t="n"/>
      <c r="M171" s="29" t="n"/>
      <c r="N171" s="30">
        <f>IF($A171="","",IF($M171="",TODAY()-$B171,$M171-$B171))</f>
        <v/>
      </c>
      <c r="O171" s="30">
        <f>IF(OR($A171="",$L171=""),"",IF(OR($K171="Resolved",$K171="Will not fix"),"Closed",IF(TODAY()&gt;$L171,"OVERDUE","On time")))</f>
        <v/>
      </c>
      <c r="P171" s="27" t="n"/>
    </row>
    <row r="172">
      <c r="A172" s="27" t="n"/>
      <c r="B172" s="29" t="n"/>
      <c r="C172" s="27" t="n"/>
      <c r="D172" s="27" t="n"/>
      <c r="E172" s="27" t="n"/>
      <c r="F172" s="27" t="n"/>
      <c r="G172" s="23" t="n"/>
      <c r="H172" s="27" t="n"/>
      <c r="I172" s="27" t="n"/>
      <c r="J172" s="27" t="n"/>
      <c r="K172" s="23" t="n"/>
      <c r="L172" s="29" t="n"/>
      <c r="M172" s="29" t="n"/>
      <c r="N172" s="30">
        <f>IF($A172="","",IF($M172="",TODAY()-$B172,$M172-$B172))</f>
        <v/>
      </c>
      <c r="O172" s="30">
        <f>IF(OR($A172="",$L172=""),"",IF(OR($K172="Resolved",$K172="Will not fix"),"Closed",IF(TODAY()&gt;$L172,"OVERDUE","On time")))</f>
        <v/>
      </c>
      <c r="P172" s="27" t="n"/>
    </row>
    <row r="173">
      <c r="A173" s="27" t="n"/>
      <c r="B173" s="29" t="n"/>
      <c r="C173" s="27" t="n"/>
      <c r="D173" s="27" t="n"/>
      <c r="E173" s="27" t="n"/>
      <c r="F173" s="27" t="n"/>
      <c r="G173" s="23" t="n"/>
      <c r="H173" s="27" t="n"/>
      <c r="I173" s="27" t="n"/>
      <c r="J173" s="27" t="n"/>
      <c r="K173" s="23" t="n"/>
      <c r="L173" s="29" t="n"/>
      <c r="M173" s="29" t="n"/>
      <c r="N173" s="30">
        <f>IF($A173="","",IF($M173="",TODAY()-$B173,$M173-$B173))</f>
        <v/>
      </c>
      <c r="O173" s="30">
        <f>IF(OR($A173="",$L173=""),"",IF(OR($K173="Resolved",$K173="Will not fix"),"Closed",IF(TODAY()&gt;$L173,"OVERDUE","On time")))</f>
        <v/>
      </c>
      <c r="P173" s="27" t="n"/>
    </row>
    <row r="174">
      <c r="A174" s="27" t="n"/>
      <c r="B174" s="29" t="n"/>
      <c r="C174" s="27" t="n"/>
      <c r="D174" s="27" t="n"/>
      <c r="E174" s="27" t="n"/>
      <c r="F174" s="27" t="n"/>
      <c r="G174" s="23" t="n"/>
      <c r="H174" s="27" t="n"/>
      <c r="I174" s="27" t="n"/>
      <c r="J174" s="27" t="n"/>
      <c r="K174" s="23" t="n"/>
      <c r="L174" s="29" t="n"/>
      <c r="M174" s="29" t="n"/>
      <c r="N174" s="30">
        <f>IF($A174="","",IF($M174="",TODAY()-$B174,$M174-$B174))</f>
        <v/>
      </c>
      <c r="O174" s="30">
        <f>IF(OR($A174="",$L174=""),"",IF(OR($K174="Resolved",$K174="Will not fix"),"Closed",IF(TODAY()&gt;$L174,"OVERDUE","On time")))</f>
        <v/>
      </c>
      <c r="P174" s="27" t="n"/>
    </row>
    <row r="175">
      <c r="A175" s="27" t="n"/>
      <c r="B175" s="29" t="n"/>
      <c r="C175" s="27" t="n"/>
      <c r="D175" s="27" t="n"/>
      <c r="E175" s="27" t="n"/>
      <c r="F175" s="27" t="n"/>
      <c r="G175" s="23" t="n"/>
      <c r="H175" s="27" t="n"/>
      <c r="I175" s="27" t="n"/>
      <c r="J175" s="27" t="n"/>
      <c r="K175" s="23" t="n"/>
      <c r="L175" s="29" t="n"/>
      <c r="M175" s="29" t="n"/>
      <c r="N175" s="30">
        <f>IF($A175="","",IF($M175="",TODAY()-$B175,$M175-$B175))</f>
        <v/>
      </c>
      <c r="O175" s="30">
        <f>IF(OR($A175="",$L175=""),"",IF(OR($K175="Resolved",$K175="Will not fix"),"Closed",IF(TODAY()&gt;$L175,"OVERDUE","On time")))</f>
        <v/>
      </c>
      <c r="P175" s="27" t="n"/>
    </row>
    <row r="176">
      <c r="A176" s="27" t="n"/>
      <c r="B176" s="29" t="n"/>
      <c r="C176" s="27" t="n"/>
      <c r="D176" s="27" t="n"/>
      <c r="E176" s="27" t="n"/>
      <c r="F176" s="27" t="n"/>
      <c r="G176" s="23" t="n"/>
      <c r="H176" s="27" t="n"/>
      <c r="I176" s="27" t="n"/>
      <c r="J176" s="27" t="n"/>
      <c r="K176" s="23" t="n"/>
      <c r="L176" s="29" t="n"/>
      <c r="M176" s="29" t="n"/>
      <c r="N176" s="30">
        <f>IF($A176="","",IF($M176="",TODAY()-$B176,$M176-$B176))</f>
        <v/>
      </c>
      <c r="O176" s="30">
        <f>IF(OR($A176="",$L176=""),"",IF(OR($K176="Resolved",$K176="Will not fix"),"Closed",IF(TODAY()&gt;$L176,"OVERDUE","On time")))</f>
        <v/>
      </c>
      <c r="P176" s="27" t="n"/>
    </row>
    <row r="177">
      <c r="A177" s="27" t="n"/>
      <c r="B177" s="29" t="n"/>
      <c r="C177" s="27" t="n"/>
      <c r="D177" s="27" t="n"/>
      <c r="E177" s="27" t="n"/>
      <c r="F177" s="27" t="n"/>
      <c r="G177" s="23" t="n"/>
      <c r="H177" s="27" t="n"/>
      <c r="I177" s="27" t="n"/>
      <c r="J177" s="27" t="n"/>
      <c r="K177" s="23" t="n"/>
      <c r="L177" s="29" t="n"/>
      <c r="M177" s="29" t="n"/>
      <c r="N177" s="30">
        <f>IF($A177="","",IF($M177="",TODAY()-$B177,$M177-$B177))</f>
        <v/>
      </c>
      <c r="O177" s="30">
        <f>IF(OR($A177="",$L177=""),"",IF(OR($K177="Resolved",$K177="Will not fix"),"Closed",IF(TODAY()&gt;$L177,"OVERDUE","On time")))</f>
        <v/>
      </c>
      <c r="P177" s="27" t="n"/>
    </row>
    <row r="178">
      <c r="A178" s="27" t="n"/>
      <c r="B178" s="29" t="n"/>
      <c r="C178" s="27" t="n"/>
      <c r="D178" s="27" t="n"/>
      <c r="E178" s="27" t="n"/>
      <c r="F178" s="27" t="n"/>
      <c r="G178" s="23" t="n"/>
      <c r="H178" s="27" t="n"/>
      <c r="I178" s="27" t="n"/>
      <c r="J178" s="27" t="n"/>
      <c r="K178" s="23" t="n"/>
      <c r="L178" s="29" t="n"/>
      <c r="M178" s="29" t="n"/>
      <c r="N178" s="30">
        <f>IF($A178="","",IF($M178="",TODAY()-$B178,$M178-$B178))</f>
        <v/>
      </c>
      <c r="O178" s="30">
        <f>IF(OR($A178="",$L178=""),"",IF(OR($K178="Resolved",$K178="Will not fix"),"Closed",IF(TODAY()&gt;$L178,"OVERDUE","On time")))</f>
        <v/>
      </c>
      <c r="P178" s="27" t="n"/>
    </row>
    <row r="179">
      <c r="A179" s="27" t="n"/>
      <c r="B179" s="29" t="n"/>
      <c r="C179" s="27" t="n"/>
      <c r="D179" s="27" t="n"/>
      <c r="E179" s="27" t="n"/>
      <c r="F179" s="27" t="n"/>
      <c r="G179" s="23" t="n"/>
      <c r="H179" s="27" t="n"/>
      <c r="I179" s="27" t="n"/>
      <c r="J179" s="27" t="n"/>
      <c r="K179" s="23" t="n"/>
      <c r="L179" s="29" t="n"/>
      <c r="M179" s="29" t="n"/>
      <c r="N179" s="30">
        <f>IF($A179="","",IF($M179="",TODAY()-$B179,$M179-$B179))</f>
        <v/>
      </c>
      <c r="O179" s="30">
        <f>IF(OR($A179="",$L179=""),"",IF(OR($K179="Resolved",$K179="Will not fix"),"Closed",IF(TODAY()&gt;$L179,"OVERDUE","On time")))</f>
        <v/>
      </c>
      <c r="P179" s="27" t="n"/>
    </row>
    <row r="180">
      <c r="A180" s="27" t="n"/>
      <c r="B180" s="29" t="n"/>
      <c r="C180" s="27" t="n"/>
      <c r="D180" s="27" t="n"/>
      <c r="E180" s="27" t="n"/>
      <c r="F180" s="27" t="n"/>
      <c r="G180" s="23" t="n"/>
      <c r="H180" s="27" t="n"/>
      <c r="I180" s="27" t="n"/>
      <c r="J180" s="27" t="n"/>
      <c r="K180" s="23" t="n"/>
      <c r="L180" s="29" t="n"/>
      <c r="M180" s="29" t="n"/>
      <c r="N180" s="30">
        <f>IF($A180="","",IF($M180="",TODAY()-$B180,$M180-$B180))</f>
        <v/>
      </c>
      <c r="O180" s="30">
        <f>IF(OR($A180="",$L180=""),"",IF(OR($K180="Resolved",$K180="Will not fix"),"Closed",IF(TODAY()&gt;$L180,"OVERDUE","On time")))</f>
        <v/>
      </c>
      <c r="P180" s="27" t="n"/>
    </row>
    <row r="181">
      <c r="A181" s="27" t="n"/>
      <c r="B181" s="29" t="n"/>
      <c r="C181" s="27" t="n"/>
      <c r="D181" s="27" t="n"/>
      <c r="E181" s="27" t="n"/>
      <c r="F181" s="27" t="n"/>
      <c r="G181" s="23" t="n"/>
      <c r="H181" s="27" t="n"/>
      <c r="I181" s="27" t="n"/>
      <c r="J181" s="27" t="n"/>
      <c r="K181" s="23" t="n"/>
      <c r="L181" s="29" t="n"/>
      <c r="M181" s="29" t="n"/>
      <c r="N181" s="30">
        <f>IF($A181="","",IF($M181="",TODAY()-$B181,$M181-$B181))</f>
        <v/>
      </c>
      <c r="O181" s="30">
        <f>IF(OR($A181="",$L181=""),"",IF(OR($K181="Resolved",$K181="Will not fix"),"Closed",IF(TODAY()&gt;$L181,"OVERDUE","On time")))</f>
        <v/>
      </c>
      <c r="P181" s="27" t="n"/>
    </row>
    <row r="182">
      <c r="A182" s="27" t="n"/>
      <c r="B182" s="29" t="n"/>
      <c r="C182" s="27" t="n"/>
      <c r="D182" s="27" t="n"/>
      <c r="E182" s="27" t="n"/>
      <c r="F182" s="27" t="n"/>
      <c r="G182" s="23" t="n"/>
      <c r="H182" s="27" t="n"/>
      <c r="I182" s="27" t="n"/>
      <c r="J182" s="27" t="n"/>
      <c r="K182" s="23" t="n"/>
      <c r="L182" s="29" t="n"/>
      <c r="M182" s="29" t="n"/>
      <c r="N182" s="30">
        <f>IF($A182="","",IF($M182="",TODAY()-$B182,$M182-$B182))</f>
        <v/>
      </c>
      <c r="O182" s="30">
        <f>IF(OR($A182="",$L182=""),"",IF(OR($K182="Resolved",$K182="Will not fix"),"Closed",IF(TODAY()&gt;$L182,"OVERDUE","On time")))</f>
        <v/>
      </c>
      <c r="P182" s="27" t="n"/>
    </row>
    <row r="183">
      <c r="A183" s="27" t="n"/>
      <c r="B183" s="29" t="n"/>
      <c r="C183" s="27" t="n"/>
      <c r="D183" s="27" t="n"/>
      <c r="E183" s="27" t="n"/>
      <c r="F183" s="27" t="n"/>
      <c r="G183" s="23" t="n"/>
      <c r="H183" s="27" t="n"/>
      <c r="I183" s="27" t="n"/>
      <c r="J183" s="27" t="n"/>
      <c r="K183" s="23" t="n"/>
      <c r="L183" s="29" t="n"/>
      <c r="M183" s="29" t="n"/>
      <c r="N183" s="30">
        <f>IF($A183="","",IF($M183="",TODAY()-$B183,$M183-$B183))</f>
        <v/>
      </c>
      <c r="O183" s="30">
        <f>IF(OR($A183="",$L183=""),"",IF(OR($K183="Resolved",$K183="Will not fix"),"Closed",IF(TODAY()&gt;$L183,"OVERDUE","On time")))</f>
        <v/>
      </c>
      <c r="P183" s="27" t="n"/>
    </row>
    <row r="184">
      <c r="A184" s="27" t="n"/>
      <c r="B184" s="29" t="n"/>
      <c r="C184" s="27" t="n"/>
      <c r="D184" s="27" t="n"/>
      <c r="E184" s="27" t="n"/>
      <c r="F184" s="27" t="n"/>
      <c r="G184" s="23" t="n"/>
      <c r="H184" s="27" t="n"/>
      <c r="I184" s="27" t="n"/>
      <c r="J184" s="27" t="n"/>
      <c r="K184" s="23" t="n"/>
      <c r="L184" s="29" t="n"/>
      <c r="M184" s="29" t="n"/>
      <c r="N184" s="30">
        <f>IF($A184="","",IF($M184="",TODAY()-$B184,$M184-$B184))</f>
        <v/>
      </c>
      <c r="O184" s="30">
        <f>IF(OR($A184="",$L184=""),"",IF(OR($K184="Resolved",$K184="Will not fix"),"Closed",IF(TODAY()&gt;$L184,"OVERDUE","On time")))</f>
        <v/>
      </c>
      <c r="P184" s="27" t="n"/>
    </row>
    <row r="185">
      <c r="A185" s="27" t="n"/>
      <c r="B185" s="29" t="n"/>
      <c r="C185" s="27" t="n"/>
      <c r="D185" s="27" t="n"/>
      <c r="E185" s="27" t="n"/>
      <c r="F185" s="27" t="n"/>
      <c r="G185" s="23" t="n"/>
      <c r="H185" s="27" t="n"/>
      <c r="I185" s="27" t="n"/>
      <c r="J185" s="27" t="n"/>
      <c r="K185" s="23" t="n"/>
      <c r="L185" s="29" t="n"/>
      <c r="M185" s="29" t="n"/>
      <c r="N185" s="30">
        <f>IF($A185="","",IF($M185="",TODAY()-$B185,$M185-$B185))</f>
        <v/>
      </c>
      <c r="O185" s="30">
        <f>IF(OR($A185="",$L185=""),"",IF(OR($K185="Resolved",$K185="Will not fix"),"Closed",IF(TODAY()&gt;$L185,"OVERDUE","On time")))</f>
        <v/>
      </c>
      <c r="P185" s="27" t="n"/>
    </row>
    <row r="186">
      <c r="A186" s="27" t="n"/>
      <c r="B186" s="29" t="n"/>
      <c r="C186" s="27" t="n"/>
      <c r="D186" s="27" t="n"/>
      <c r="E186" s="27" t="n"/>
      <c r="F186" s="27" t="n"/>
      <c r="G186" s="23" t="n"/>
      <c r="H186" s="27" t="n"/>
      <c r="I186" s="27" t="n"/>
      <c r="J186" s="27" t="n"/>
      <c r="K186" s="23" t="n"/>
      <c r="L186" s="29" t="n"/>
      <c r="M186" s="29" t="n"/>
      <c r="N186" s="30">
        <f>IF($A186="","",IF($M186="",TODAY()-$B186,$M186-$B186))</f>
        <v/>
      </c>
      <c r="O186" s="30">
        <f>IF(OR($A186="",$L186=""),"",IF(OR($K186="Resolved",$K186="Will not fix"),"Closed",IF(TODAY()&gt;$L186,"OVERDUE","On time")))</f>
        <v/>
      </c>
      <c r="P186" s="27" t="n"/>
    </row>
    <row r="187">
      <c r="A187" s="27" t="n"/>
      <c r="B187" s="29" t="n"/>
      <c r="C187" s="27" t="n"/>
      <c r="D187" s="27" t="n"/>
      <c r="E187" s="27" t="n"/>
      <c r="F187" s="27" t="n"/>
      <c r="G187" s="23" t="n"/>
      <c r="H187" s="27" t="n"/>
      <c r="I187" s="27" t="n"/>
      <c r="J187" s="27" t="n"/>
      <c r="K187" s="23" t="n"/>
      <c r="L187" s="29" t="n"/>
      <c r="M187" s="29" t="n"/>
      <c r="N187" s="30">
        <f>IF($A187="","",IF($M187="",TODAY()-$B187,$M187-$B187))</f>
        <v/>
      </c>
      <c r="O187" s="30">
        <f>IF(OR($A187="",$L187=""),"",IF(OR($K187="Resolved",$K187="Will not fix"),"Closed",IF(TODAY()&gt;$L187,"OVERDUE","On time")))</f>
        <v/>
      </c>
      <c r="P187" s="27" t="n"/>
    </row>
    <row r="188">
      <c r="A188" s="27" t="n"/>
      <c r="B188" s="29" t="n"/>
      <c r="C188" s="27" t="n"/>
      <c r="D188" s="27" t="n"/>
      <c r="E188" s="27" t="n"/>
      <c r="F188" s="27" t="n"/>
      <c r="G188" s="23" t="n"/>
      <c r="H188" s="27" t="n"/>
      <c r="I188" s="27" t="n"/>
      <c r="J188" s="27" t="n"/>
      <c r="K188" s="23" t="n"/>
      <c r="L188" s="29" t="n"/>
      <c r="M188" s="29" t="n"/>
      <c r="N188" s="30">
        <f>IF($A188="","",IF($M188="",TODAY()-$B188,$M188-$B188))</f>
        <v/>
      </c>
      <c r="O188" s="30">
        <f>IF(OR($A188="",$L188=""),"",IF(OR($K188="Resolved",$K188="Will not fix"),"Closed",IF(TODAY()&gt;$L188,"OVERDUE","On time")))</f>
        <v/>
      </c>
      <c r="P188" s="27" t="n"/>
    </row>
    <row r="189">
      <c r="A189" s="27" t="n"/>
      <c r="B189" s="29" t="n"/>
      <c r="C189" s="27" t="n"/>
      <c r="D189" s="27" t="n"/>
      <c r="E189" s="27" t="n"/>
      <c r="F189" s="27" t="n"/>
      <c r="G189" s="23" t="n"/>
      <c r="H189" s="27" t="n"/>
      <c r="I189" s="27" t="n"/>
      <c r="J189" s="27" t="n"/>
      <c r="K189" s="23" t="n"/>
      <c r="L189" s="29" t="n"/>
      <c r="M189" s="29" t="n"/>
      <c r="N189" s="30">
        <f>IF($A189="","",IF($M189="",TODAY()-$B189,$M189-$B189))</f>
        <v/>
      </c>
      <c r="O189" s="30">
        <f>IF(OR($A189="",$L189=""),"",IF(OR($K189="Resolved",$K189="Will not fix"),"Closed",IF(TODAY()&gt;$L189,"OVERDUE","On time")))</f>
        <v/>
      </c>
      <c r="P189" s="27" t="n"/>
    </row>
    <row r="190">
      <c r="A190" s="27" t="n"/>
      <c r="B190" s="29" t="n"/>
      <c r="C190" s="27" t="n"/>
      <c r="D190" s="27" t="n"/>
      <c r="E190" s="27" t="n"/>
      <c r="F190" s="27" t="n"/>
      <c r="G190" s="23" t="n"/>
      <c r="H190" s="27" t="n"/>
      <c r="I190" s="27" t="n"/>
      <c r="J190" s="27" t="n"/>
      <c r="K190" s="23" t="n"/>
      <c r="L190" s="29" t="n"/>
      <c r="M190" s="29" t="n"/>
      <c r="N190" s="30">
        <f>IF($A190="","",IF($M190="",TODAY()-$B190,$M190-$B190))</f>
        <v/>
      </c>
      <c r="O190" s="30">
        <f>IF(OR($A190="",$L190=""),"",IF(OR($K190="Resolved",$K190="Will not fix"),"Closed",IF(TODAY()&gt;$L190,"OVERDUE","On time")))</f>
        <v/>
      </c>
      <c r="P190" s="27" t="n"/>
    </row>
    <row r="191">
      <c r="A191" s="27" t="n"/>
      <c r="B191" s="29" t="n"/>
      <c r="C191" s="27" t="n"/>
      <c r="D191" s="27" t="n"/>
      <c r="E191" s="27" t="n"/>
      <c r="F191" s="27" t="n"/>
      <c r="G191" s="23" t="n"/>
      <c r="H191" s="27" t="n"/>
      <c r="I191" s="27" t="n"/>
      <c r="J191" s="27" t="n"/>
      <c r="K191" s="23" t="n"/>
      <c r="L191" s="29" t="n"/>
      <c r="M191" s="29" t="n"/>
      <c r="N191" s="30">
        <f>IF($A191="","",IF($M191="",TODAY()-$B191,$M191-$B191))</f>
        <v/>
      </c>
      <c r="O191" s="30">
        <f>IF(OR($A191="",$L191=""),"",IF(OR($K191="Resolved",$K191="Will not fix"),"Closed",IF(TODAY()&gt;$L191,"OVERDUE","On time")))</f>
        <v/>
      </c>
      <c r="P191" s="27" t="n"/>
    </row>
    <row r="192">
      <c r="A192" s="27" t="n"/>
      <c r="B192" s="29" t="n"/>
      <c r="C192" s="27" t="n"/>
      <c r="D192" s="27" t="n"/>
      <c r="E192" s="27" t="n"/>
      <c r="F192" s="27" t="n"/>
      <c r="G192" s="23" t="n"/>
      <c r="H192" s="27" t="n"/>
      <c r="I192" s="27" t="n"/>
      <c r="J192" s="27" t="n"/>
      <c r="K192" s="23" t="n"/>
      <c r="L192" s="29" t="n"/>
      <c r="M192" s="29" t="n"/>
      <c r="N192" s="30">
        <f>IF($A192="","",IF($M192="",TODAY()-$B192,$M192-$B192))</f>
        <v/>
      </c>
      <c r="O192" s="30">
        <f>IF(OR($A192="",$L192=""),"",IF(OR($K192="Resolved",$K192="Will not fix"),"Closed",IF(TODAY()&gt;$L192,"OVERDUE","On time")))</f>
        <v/>
      </c>
      <c r="P192" s="27" t="n"/>
    </row>
    <row r="193">
      <c r="A193" s="27" t="n"/>
      <c r="B193" s="29" t="n"/>
      <c r="C193" s="27" t="n"/>
      <c r="D193" s="27" t="n"/>
      <c r="E193" s="27" t="n"/>
      <c r="F193" s="27" t="n"/>
      <c r="G193" s="23" t="n"/>
      <c r="H193" s="27" t="n"/>
      <c r="I193" s="27" t="n"/>
      <c r="J193" s="27" t="n"/>
      <c r="K193" s="23" t="n"/>
      <c r="L193" s="29" t="n"/>
      <c r="M193" s="29" t="n"/>
      <c r="N193" s="30">
        <f>IF($A193="","",IF($M193="",TODAY()-$B193,$M193-$B193))</f>
        <v/>
      </c>
      <c r="O193" s="30">
        <f>IF(OR($A193="",$L193=""),"",IF(OR($K193="Resolved",$K193="Will not fix"),"Closed",IF(TODAY()&gt;$L193,"OVERDUE","On time")))</f>
        <v/>
      </c>
      <c r="P193" s="27" t="n"/>
    </row>
    <row r="194">
      <c r="A194" s="27" t="n"/>
      <c r="B194" s="29" t="n"/>
      <c r="C194" s="27" t="n"/>
      <c r="D194" s="27" t="n"/>
      <c r="E194" s="27" t="n"/>
      <c r="F194" s="27" t="n"/>
      <c r="G194" s="23" t="n"/>
      <c r="H194" s="27" t="n"/>
      <c r="I194" s="27" t="n"/>
      <c r="J194" s="27" t="n"/>
      <c r="K194" s="23" t="n"/>
      <c r="L194" s="29" t="n"/>
      <c r="M194" s="29" t="n"/>
      <c r="N194" s="30">
        <f>IF($A194="","",IF($M194="",TODAY()-$B194,$M194-$B194))</f>
        <v/>
      </c>
      <c r="O194" s="30">
        <f>IF(OR($A194="",$L194=""),"",IF(OR($K194="Resolved",$K194="Will not fix"),"Closed",IF(TODAY()&gt;$L194,"OVERDUE","On time")))</f>
        <v/>
      </c>
      <c r="P194" s="27" t="n"/>
    </row>
    <row r="195">
      <c r="A195" s="27" t="n"/>
      <c r="B195" s="29" t="n"/>
      <c r="C195" s="27" t="n"/>
      <c r="D195" s="27" t="n"/>
      <c r="E195" s="27" t="n"/>
      <c r="F195" s="27" t="n"/>
      <c r="G195" s="23" t="n"/>
      <c r="H195" s="27" t="n"/>
      <c r="I195" s="27" t="n"/>
      <c r="J195" s="27" t="n"/>
      <c r="K195" s="23" t="n"/>
      <c r="L195" s="29" t="n"/>
      <c r="M195" s="29" t="n"/>
      <c r="N195" s="30">
        <f>IF($A195="","",IF($M195="",TODAY()-$B195,$M195-$B195))</f>
        <v/>
      </c>
      <c r="O195" s="30">
        <f>IF(OR($A195="",$L195=""),"",IF(OR($K195="Resolved",$K195="Will not fix"),"Closed",IF(TODAY()&gt;$L195,"OVERDUE","On time")))</f>
        <v/>
      </c>
      <c r="P195" s="27" t="n"/>
    </row>
    <row r="196">
      <c r="A196" s="27" t="n"/>
      <c r="B196" s="29" t="n"/>
      <c r="C196" s="27" t="n"/>
      <c r="D196" s="27" t="n"/>
      <c r="E196" s="27" t="n"/>
      <c r="F196" s="27" t="n"/>
      <c r="G196" s="23" t="n"/>
      <c r="H196" s="27" t="n"/>
      <c r="I196" s="27" t="n"/>
      <c r="J196" s="27" t="n"/>
      <c r="K196" s="23" t="n"/>
      <c r="L196" s="29" t="n"/>
      <c r="M196" s="29" t="n"/>
      <c r="N196" s="30">
        <f>IF($A196="","",IF($M196="",TODAY()-$B196,$M196-$B196))</f>
        <v/>
      </c>
      <c r="O196" s="30">
        <f>IF(OR($A196="",$L196=""),"",IF(OR($K196="Resolved",$K196="Will not fix"),"Closed",IF(TODAY()&gt;$L196,"OVERDUE","On time")))</f>
        <v/>
      </c>
      <c r="P196" s="27" t="n"/>
    </row>
    <row r="197">
      <c r="A197" s="27" t="n"/>
      <c r="B197" s="29" t="n"/>
      <c r="C197" s="27" t="n"/>
      <c r="D197" s="27" t="n"/>
      <c r="E197" s="27" t="n"/>
      <c r="F197" s="27" t="n"/>
      <c r="G197" s="23" t="n"/>
      <c r="H197" s="27" t="n"/>
      <c r="I197" s="27" t="n"/>
      <c r="J197" s="27" t="n"/>
      <c r="K197" s="23" t="n"/>
      <c r="L197" s="29" t="n"/>
      <c r="M197" s="29" t="n"/>
      <c r="N197" s="30">
        <f>IF($A197="","",IF($M197="",TODAY()-$B197,$M197-$B197))</f>
        <v/>
      </c>
      <c r="O197" s="30">
        <f>IF(OR($A197="",$L197=""),"",IF(OR($K197="Resolved",$K197="Will not fix"),"Closed",IF(TODAY()&gt;$L197,"OVERDUE","On time")))</f>
        <v/>
      </c>
      <c r="P197" s="27" t="n"/>
    </row>
    <row r="198">
      <c r="A198" s="27" t="n"/>
      <c r="B198" s="29" t="n"/>
      <c r="C198" s="27" t="n"/>
      <c r="D198" s="27" t="n"/>
      <c r="E198" s="27" t="n"/>
      <c r="F198" s="27" t="n"/>
      <c r="G198" s="23" t="n"/>
      <c r="H198" s="27" t="n"/>
      <c r="I198" s="27" t="n"/>
      <c r="J198" s="27" t="n"/>
      <c r="K198" s="23" t="n"/>
      <c r="L198" s="29" t="n"/>
      <c r="M198" s="29" t="n"/>
      <c r="N198" s="30">
        <f>IF($A198="","",IF($M198="",TODAY()-$B198,$M198-$B198))</f>
        <v/>
      </c>
      <c r="O198" s="30">
        <f>IF(OR($A198="",$L198=""),"",IF(OR($K198="Resolved",$K198="Will not fix"),"Closed",IF(TODAY()&gt;$L198,"OVERDUE","On time")))</f>
        <v/>
      </c>
      <c r="P198" s="27" t="n"/>
    </row>
    <row r="199">
      <c r="A199" s="27" t="n"/>
      <c r="B199" s="29" t="n"/>
      <c r="C199" s="27" t="n"/>
      <c r="D199" s="27" t="n"/>
      <c r="E199" s="27" t="n"/>
      <c r="F199" s="27" t="n"/>
      <c r="G199" s="23" t="n"/>
      <c r="H199" s="27" t="n"/>
      <c r="I199" s="27" t="n"/>
      <c r="J199" s="27" t="n"/>
      <c r="K199" s="23" t="n"/>
      <c r="L199" s="29" t="n"/>
      <c r="M199" s="29" t="n"/>
      <c r="N199" s="30">
        <f>IF($A199="","",IF($M199="",TODAY()-$B199,$M199-$B199))</f>
        <v/>
      </c>
      <c r="O199" s="30">
        <f>IF(OR($A199="",$L199=""),"",IF(OR($K199="Resolved",$K199="Will not fix"),"Closed",IF(TODAY()&gt;$L199,"OVERDUE","On time")))</f>
        <v/>
      </c>
      <c r="P199" s="27" t="n"/>
    </row>
    <row r="200">
      <c r="A200" s="27" t="n"/>
      <c r="B200" s="29" t="n"/>
      <c r="C200" s="27" t="n"/>
      <c r="D200" s="27" t="n"/>
      <c r="E200" s="27" t="n"/>
      <c r="F200" s="27" t="n"/>
      <c r="G200" s="23" t="n"/>
      <c r="H200" s="27" t="n"/>
      <c r="I200" s="27" t="n"/>
      <c r="J200" s="27" t="n"/>
      <c r="K200" s="23" t="n"/>
      <c r="L200" s="29" t="n"/>
      <c r="M200" s="29" t="n"/>
      <c r="N200" s="30">
        <f>IF($A200="","",IF($M200="",TODAY()-$B200,$M200-$B200))</f>
        <v/>
      </c>
      <c r="O200" s="30">
        <f>IF(OR($A200="",$L200=""),"",IF(OR($K200="Resolved",$K200="Will not fix"),"Closed",IF(TODAY()&gt;$L200,"OVERDUE","On time")))</f>
        <v/>
      </c>
      <c r="P200" s="27" t="n"/>
    </row>
    <row r="201">
      <c r="A201" s="27" t="n"/>
      <c r="B201" s="29" t="n"/>
      <c r="C201" s="27" t="n"/>
      <c r="D201" s="27" t="n"/>
      <c r="E201" s="27" t="n"/>
      <c r="F201" s="27" t="n"/>
      <c r="G201" s="23" t="n"/>
      <c r="H201" s="27" t="n"/>
      <c r="I201" s="27" t="n"/>
      <c r="J201" s="27" t="n"/>
      <c r="K201" s="23" t="n"/>
      <c r="L201" s="29" t="n"/>
      <c r="M201" s="29" t="n"/>
      <c r="N201" s="30">
        <f>IF($A201="","",IF($M201="",TODAY()-$B201,$M201-$B201))</f>
        <v/>
      </c>
      <c r="O201" s="30">
        <f>IF(OR($A201="",$L201=""),"",IF(OR($K201="Resolved",$K201="Will not fix"),"Closed",IF(TODAY()&gt;$L201,"OVERDUE","On time")))</f>
        <v/>
      </c>
      <c r="P201" s="27" t="n"/>
    </row>
    <row r="202">
      <c r="A202" s="27" t="n"/>
      <c r="B202" s="29" t="n"/>
      <c r="C202" s="27" t="n"/>
      <c r="D202" s="27" t="n"/>
      <c r="E202" s="27" t="n"/>
      <c r="F202" s="27" t="n"/>
      <c r="G202" s="23" t="n"/>
      <c r="H202" s="27" t="n"/>
      <c r="I202" s="27" t="n"/>
      <c r="J202" s="27" t="n"/>
      <c r="K202" s="23" t="n"/>
      <c r="L202" s="29" t="n"/>
      <c r="M202" s="29" t="n"/>
      <c r="N202" s="30">
        <f>IF($A202="","",IF($M202="",TODAY()-$B202,$M202-$B202))</f>
        <v/>
      </c>
      <c r="O202" s="30">
        <f>IF(OR($A202="",$L202=""),"",IF(OR($K202="Resolved",$K202="Will not fix"),"Closed",IF(TODAY()&gt;$L202,"OVERDUE","On time")))</f>
        <v/>
      </c>
      <c r="P202" s="27" t="n"/>
    </row>
    <row r="203">
      <c r="A203" s="27" t="n"/>
      <c r="B203" s="29" t="n"/>
      <c r="C203" s="27" t="n"/>
      <c r="D203" s="27" t="n"/>
      <c r="E203" s="27" t="n"/>
      <c r="F203" s="27" t="n"/>
      <c r="G203" s="23" t="n"/>
      <c r="H203" s="27" t="n"/>
      <c r="I203" s="27" t="n"/>
      <c r="J203" s="27" t="n"/>
      <c r="K203" s="23" t="n"/>
      <c r="L203" s="29" t="n"/>
      <c r="M203" s="29" t="n"/>
      <c r="N203" s="30">
        <f>IF($A203="","",IF($M203="",TODAY()-$B203,$M203-$B203))</f>
        <v/>
      </c>
      <c r="O203" s="30">
        <f>IF(OR($A203="",$L203=""),"",IF(OR($K203="Resolved",$K203="Will not fix"),"Closed",IF(TODAY()&gt;$L203,"OVERDUE","On time")))</f>
        <v/>
      </c>
      <c r="P203" s="27" t="n"/>
    </row>
    <row r="204">
      <c r="A204" s="27" t="n"/>
      <c r="B204" s="29" t="n"/>
      <c r="C204" s="27" t="n"/>
      <c r="D204" s="27" t="n"/>
      <c r="E204" s="27" t="n"/>
      <c r="F204" s="27" t="n"/>
      <c r="G204" s="23" t="n"/>
      <c r="H204" s="27" t="n"/>
      <c r="I204" s="27" t="n"/>
      <c r="J204" s="27" t="n"/>
      <c r="K204" s="23" t="n"/>
      <c r="L204" s="29" t="n"/>
      <c r="M204" s="29" t="n"/>
      <c r="N204" s="30">
        <f>IF($A204="","",IF($M204="",TODAY()-$B204,$M204-$B204))</f>
        <v/>
      </c>
      <c r="O204" s="30">
        <f>IF(OR($A204="",$L204=""),"",IF(OR($K204="Resolved",$K204="Will not fix"),"Closed",IF(TODAY()&gt;$L204,"OVERDUE","On time")))</f>
        <v/>
      </c>
      <c r="P204" s="27" t="n"/>
    </row>
    <row r="205">
      <c r="A205" s="27" t="n"/>
      <c r="B205" s="29" t="n"/>
      <c r="C205" s="27" t="n"/>
      <c r="D205" s="27" t="n"/>
      <c r="E205" s="27" t="n"/>
      <c r="F205" s="27" t="n"/>
      <c r="G205" s="23" t="n"/>
      <c r="H205" s="27" t="n"/>
      <c r="I205" s="27" t="n"/>
      <c r="J205" s="27" t="n"/>
      <c r="K205" s="23" t="n"/>
      <c r="L205" s="29" t="n"/>
      <c r="M205" s="29" t="n"/>
      <c r="N205" s="30">
        <f>IF($A205="","",IF($M205="",TODAY()-$B205,$M205-$B205))</f>
        <v/>
      </c>
      <c r="O205" s="30">
        <f>IF(OR($A205="",$L205=""),"",IF(OR($K205="Resolved",$K205="Will not fix"),"Closed",IF(TODAY()&gt;$L205,"OVERDUE","On time")))</f>
        <v/>
      </c>
      <c r="P205" s="27" t="n"/>
    </row>
    <row r="206">
      <c r="A206" s="27" t="n"/>
      <c r="B206" s="29" t="n"/>
      <c r="C206" s="27" t="n"/>
      <c r="D206" s="27" t="n"/>
      <c r="E206" s="27" t="n"/>
      <c r="F206" s="27" t="n"/>
      <c r="G206" s="23" t="n"/>
      <c r="H206" s="27" t="n"/>
      <c r="I206" s="27" t="n"/>
      <c r="J206" s="27" t="n"/>
      <c r="K206" s="23" t="n"/>
      <c r="L206" s="29" t="n"/>
      <c r="M206" s="29" t="n"/>
      <c r="N206" s="30">
        <f>IF($A206="","",IF($M206="",TODAY()-$B206,$M206-$B206))</f>
        <v/>
      </c>
      <c r="O206" s="30">
        <f>IF(OR($A206="",$L206=""),"",IF(OR($K206="Resolved",$K206="Will not fix"),"Closed",IF(TODAY()&gt;$L206,"OVERDUE","On time")))</f>
        <v/>
      </c>
      <c r="P206" s="27" t="n"/>
    </row>
    <row r="207">
      <c r="A207" s="27" t="n"/>
      <c r="B207" s="29" t="n"/>
      <c r="C207" s="27" t="n"/>
      <c r="D207" s="27" t="n"/>
      <c r="E207" s="27" t="n"/>
      <c r="F207" s="27" t="n"/>
      <c r="G207" s="23" t="n"/>
      <c r="H207" s="27" t="n"/>
      <c r="I207" s="27" t="n"/>
      <c r="J207" s="27" t="n"/>
      <c r="K207" s="23" t="n"/>
      <c r="L207" s="29" t="n"/>
      <c r="M207" s="29" t="n"/>
      <c r="N207" s="30">
        <f>IF($A207="","",IF($M207="",TODAY()-$B207,$M207-$B207))</f>
        <v/>
      </c>
      <c r="O207" s="30">
        <f>IF(OR($A207="",$L207=""),"",IF(OR($K207="Resolved",$K207="Will not fix"),"Closed",IF(TODAY()&gt;$L207,"OVERDUE","On time")))</f>
        <v/>
      </c>
      <c r="P207" s="27" t="n"/>
    </row>
    <row r="208">
      <c r="A208" s="27" t="n"/>
      <c r="B208" s="29" t="n"/>
      <c r="C208" s="27" t="n"/>
      <c r="D208" s="27" t="n"/>
      <c r="E208" s="27" t="n"/>
      <c r="F208" s="27" t="n"/>
      <c r="G208" s="23" t="n"/>
      <c r="H208" s="27" t="n"/>
      <c r="I208" s="27" t="n"/>
      <c r="J208" s="27" t="n"/>
      <c r="K208" s="23" t="n"/>
      <c r="L208" s="29" t="n"/>
      <c r="M208" s="29" t="n"/>
      <c r="N208" s="30">
        <f>IF($A208="","",IF($M208="",TODAY()-$B208,$M208-$B208))</f>
        <v/>
      </c>
      <c r="O208" s="30">
        <f>IF(OR($A208="",$L208=""),"",IF(OR($K208="Resolved",$K208="Will not fix"),"Closed",IF(TODAY()&gt;$L208,"OVERDUE","On time")))</f>
        <v/>
      </c>
      <c r="P208" s="27" t="n"/>
    </row>
    <row r="209">
      <c r="A209" s="27" t="n"/>
      <c r="B209" s="29" t="n"/>
      <c r="C209" s="27" t="n"/>
      <c r="D209" s="27" t="n"/>
      <c r="E209" s="27" t="n"/>
      <c r="F209" s="27" t="n"/>
      <c r="G209" s="23" t="n"/>
      <c r="H209" s="27" t="n"/>
      <c r="I209" s="27" t="n"/>
      <c r="J209" s="27" t="n"/>
      <c r="K209" s="23" t="n"/>
      <c r="L209" s="29" t="n"/>
      <c r="M209" s="29" t="n"/>
      <c r="N209" s="30">
        <f>IF($A209="","",IF($M209="",TODAY()-$B209,$M209-$B209))</f>
        <v/>
      </c>
      <c r="O209" s="30">
        <f>IF(OR($A209="",$L209=""),"",IF(OR($K209="Resolved",$K209="Will not fix"),"Closed",IF(TODAY()&gt;$L209,"OVERDUE","On time")))</f>
        <v/>
      </c>
      <c r="P209" s="27" t="n"/>
    </row>
    <row r="210">
      <c r="A210" s="27" t="n"/>
      <c r="B210" s="29" t="n"/>
      <c r="C210" s="27" t="n"/>
      <c r="D210" s="27" t="n"/>
      <c r="E210" s="27" t="n"/>
      <c r="F210" s="27" t="n"/>
      <c r="G210" s="23" t="n"/>
      <c r="H210" s="27" t="n"/>
      <c r="I210" s="27" t="n"/>
      <c r="J210" s="27" t="n"/>
      <c r="K210" s="23" t="n"/>
      <c r="L210" s="29" t="n"/>
      <c r="M210" s="29" t="n"/>
      <c r="N210" s="30">
        <f>IF($A210="","",IF($M210="",TODAY()-$B210,$M210-$B210))</f>
        <v/>
      </c>
      <c r="O210" s="30">
        <f>IF(OR($A210="",$L210=""),"",IF(OR($K210="Resolved",$K210="Will not fix"),"Closed",IF(TODAY()&gt;$L210,"OVERDUE","On time")))</f>
        <v/>
      </c>
      <c r="P210" s="27" t="n"/>
    </row>
    <row r="211">
      <c r="A211" s="27" t="n"/>
      <c r="B211" s="29" t="n"/>
      <c r="C211" s="27" t="n"/>
      <c r="D211" s="27" t="n"/>
      <c r="E211" s="27" t="n"/>
      <c r="F211" s="27" t="n"/>
      <c r="G211" s="23" t="n"/>
      <c r="H211" s="27" t="n"/>
      <c r="I211" s="27" t="n"/>
      <c r="J211" s="27" t="n"/>
      <c r="K211" s="23" t="n"/>
      <c r="L211" s="29" t="n"/>
      <c r="M211" s="29" t="n"/>
      <c r="N211" s="30">
        <f>IF($A211="","",IF($M211="",TODAY()-$B211,$M211-$B211))</f>
        <v/>
      </c>
      <c r="O211" s="30">
        <f>IF(OR($A211="",$L211=""),"",IF(OR($K211="Resolved",$K211="Will not fix"),"Closed",IF(TODAY()&gt;$L211,"OVERDUE","On time")))</f>
        <v/>
      </c>
      <c r="P211" s="27" t="n"/>
    </row>
    <row r="212">
      <c r="A212" s="27" t="n"/>
      <c r="B212" s="29" t="n"/>
      <c r="C212" s="27" t="n"/>
      <c r="D212" s="27" t="n"/>
      <c r="E212" s="27" t="n"/>
      <c r="F212" s="27" t="n"/>
      <c r="G212" s="23" t="n"/>
      <c r="H212" s="27" t="n"/>
      <c r="I212" s="27" t="n"/>
      <c r="J212" s="27" t="n"/>
      <c r="K212" s="23" t="n"/>
      <c r="L212" s="29" t="n"/>
      <c r="M212" s="29" t="n"/>
      <c r="N212" s="30">
        <f>IF($A212="","",IF($M212="",TODAY()-$B212,$M212-$B212))</f>
        <v/>
      </c>
      <c r="O212" s="30">
        <f>IF(OR($A212="",$L212=""),"",IF(OR($K212="Resolved",$K212="Will not fix"),"Closed",IF(TODAY()&gt;$L212,"OVERDUE","On time")))</f>
        <v/>
      </c>
      <c r="P212" s="27" t="n"/>
    </row>
    <row r="213">
      <c r="A213" s="27" t="n"/>
      <c r="B213" s="29" t="n"/>
      <c r="C213" s="27" t="n"/>
      <c r="D213" s="27" t="n"/>
      <c r="E213" s="27" t="n"/>
      <c r="F213" s="27" t="n"/>
      <c r="G213" s="23" t="n"/>
      <c r="H213" s="27" t="n"/>
      <c r="I213" s="27" t="n"/>
      <c r="J213" s="27" t="n"/>
      <c r="K213" s="23" t="n"/>
      <c r="L213" s="29" t="n"/>
      <c r="M213" s="29" t="n"/>
      <c r="N213" s="30">
        <f>IF($A213="","",IF($M213="",TODAY()-$B213,$M213-$B213))</f>
        <v/>
      </c>
      <c r="O213" s="30">
        <f>IF(OR($A213="",$L213=""),"",IF(OR($K213="Resolved",$K213="Will not fix"),"Closed",IF(TODAY()&gt;$L213,"OVERDUE","On time")))</f>
        <v/>
      </c>
      <c r="P213" s="27" t="n"/>
    </row>
    <row r="214">
      <c r="A214" s="27" t="n"/>
      <c r="B214" s="29" t="n"/>
      <c r="C214" s="27" t="n"/>
      <c r="D214" s="27" t="n"/>
      <c r="E214" s="27" t="n"/>
      <c r="F214" s="27" t="n"/>
      <c r="G214" s="23" t="n"/>
      <c r="H214" s="27" t="n"/>
      <c r="I214" s="27" t="n"/>
      <c r="J214" s="27" t="n"/>
      <c r="K214" s="23" t="n"/>
      <c r="L214" s="29" t="n"/>
      <c r="M214" s="29" t="n"/>
      <c r="N214" s="30">
        <f>IF($A214="","",IF($M214="",TODAY()-$B214,$M214-$B214))</f>
        <v/>
      </c>
      <c r="O214" s="30">
        <f>IF(OR($A214="",$L214=""),"",IF(OR($K214="Resolved",$K214="Will not fix"),"Closed",IF(TODAY()&gt;$L214,"OVERDUE","On time")))</f>
        <v/>
      </c>
      <c r="P214" s="27" t="n"/>
    </row>
    <row r="215">
      <c r="A215" s="27" t="n"/>
      <c r="B215" s="29" t="n"/>
      <c r="C215" s="27" t="n"/>
      <c r="D215" s="27" t="n"/>
      <c r="E215" s="27" t="n"/>
      <c r="F215" s="27" t="n"/>
      <c r="G215" s="23" t="n"/>
      <c r="H215" s="27" t="n"/>
      <c r="I215" s="27" t="n"/>
      <c r="J215" s="27" t="n"/>
      <c r="K215" s="23" t="n"/>
      <c r="L215" s="29" t="n"/>
      <c r="M215" s="29" t="n"/>
      <c r="N215" s="30">
        <f>IF($A215="","",IF($M215="",TODAY()-$B215,$M215-$B215))</f>
        <v/>
      </c>
      <c r="O215" s="30">
        <f>IF(OR($A215="",$L215=""),"",IF(OR($K215="Resolved",$K215="Will not fix"),"Closed",IF(TODAY()&gt;$L215,"OVERDUE","On time")))</f>
        <v/>
      </c>
      <c r="P215" s="27" t="n"/>
    </row>
    <row r="216">
      <c r="A216" s="27" t="n"/>
      <c r="B216" s="29" t="n"/>
      <c r="C216" s="27" t="n"/>
      <c r="D216" s="27" t="n"/>
      <c r="E216" s="27" t="n"/>
      <c r="F216" s="27" t="n"/>
      <c r="G216" s="23" t="n"/>
      <c r="H216" s="27" t="n"/>
      <c r="I216" s="27" t="n"/>
      <c r="J216" s="27" t="n"/>
      <c r="K216" s="23" t="n"/>
      <c r="L216" s="29" t="n"/>
      <c r="M216" s="29" t="n"/>
      <c r="N216" s="30">
        <f>IF($A216="","",IF($M216="",TODAY()-$B216,$M216-$B216))</f>
        <v/>
      </c>
      <c r="O216" s="30">
        <f>IF(OR($A216="",$L216=""),"",IF(OR($K216="Resolved",$K216="Will not fix"),"Closed",IF(TODAY()&gt;$L216,"OVERDUE","On time")))</f>
        <v/>
      </c>
      <c r="P216" s="27" t="n"/>
    </row>
    <row r="217">
      <c r="A217" s="27" t="n"/>
      <c r="B217" s="29" t="n"/>
      <c r="C217" s="27" t="n"/>
      <c r="D217" s="27" t="n"/>
      <c r="E217" s="27" t="n"/>
      <c r="F217" s="27" t="n"/>
      <c r="G217" s="23" t="n"/>
      <c r="H217" s="27" t="n"/>
      <c r="I217" s="27" t="n"/>
      <c r="J217" s="27" t="n"/>
      <c r="K217" s="23" t="n"/>
      <c r="L217" s="29" t="n"/>
      <c r="M217" s="29" t="n"/>
      <c r="N217" s="30">
        <f>IF($A217="","",IF($M217="",TODAY()-$B217,$M217-$B217))</f>
        <v/>
      </c>
      <c r="O217" s="30">
        <f>IF(OR($A217="",$L217=""),"",IF(OR($K217="Resolved",$K217="Will not fix"),"Closed",IF(TODAY()&gt;$L217,"OVERDUE","On time")))</f>
        <v/>
      </c>
      <c r="P217" s="27" t="n"/>
    </row>
    <row r="218">
      <c r="A218" s="27" t="n"/>
      <c r="B218" s="29" t="n"/>
      <c r="C218" s="27" t="n"/>
      <c r="D218" s="27" t="n"/>
      <c r="E218" s="27" t="n"/>
      <c r="F218" s="27" t="n"/>
      <c r="G218" s="23" t="n"/>
      <c r="H218" s="27" t="n"/>
      <c r="I218" s="27" t="n"/>
      <c r="J218" s="27" t="n"/>
      <c r="K218" s="23" t="n"/>
      <c r="L218" s="29" t="n"/>
      <c r="M218" s="29" t="n"/>
      <c r="N218" s="30">
        <f>IF($A218="","",IF($M218="",TODAY()-$B218,$M218-$B218))</f>
        <v/>
      </c>
      <c r="O218" s="30">
        <f>IF(OR($A218="",$L218=""),"",IF(OR($K218="Resolved",$K218="Will not fix"),"Closed",IF(TODAY()&gt;$L218,"OVERDUE","On time")))</f>
        <v/>
      </c>
      <c r="P218" s="27" t="n"/>
    </row>
    <row r="219">
      <c r="A219" s="27" t="n"/>
      <c r="B219" s="29" t="n"/>
      <c r="C219" s="27" t="n"/>
      <c r="D219" s="27" t="n"/>
      <c r="E219" s="27" t="n"/>
      <c r="F219" s="27" t="n"/>
      <c r="G219" s="23" t="n"/>
      <c r="H219" s="27" t="n"/>
      <c r="I219" s="27" t="n"/>
      <c r="J219" s="27" t="n"/>
      <c r="K219" s="23" t="n"/>
      <c r="L219" s="29" t="n"/>
      <c r="M219" s="29" t="n"/>
      <c r="N219" s="30">
        <f>IF($A219="","",IF($M219="",TODAY()-$B219,$M219-$B219))</f>
        <v/>
      </c>
      <c r="O219" s="30">
        <f>IF(OR($A219="",$L219=""),"",IF(OR($K219="Resolved",$K219="Will not fix"),"Closed",IF(TODAY()&gt;$L219,"OVERDUE","On time")))</f>
        <v/>
      </c>
      <c r="P219" s="27" t="n"/>
    </row>
    <row r="220">
      <c r="A220" s="27" t="n"/>
      <c r="B220" s="29" t="n"/>
      <c r="C220" s="27" t="n"/>
      <c r="D220" s="27" t="n"/>
      <c r="E220" s="27" t="n"/>
      <c r="F220" s="27" t="n"/>
      <c r="G220" s="23" t="n"/>
      <c r="H220" s="27" t="n"/>
      <c r="I220" s="27" t="n"/>
      <c r="J220" s="27" t="n"/>
      <c r="K220" s="23" t="n"/>
      <c r="L220" s="29" t="n"/>
      <c r="M220" s="29" t="n"/>
      <c r="N220" s="30">
        <f>IF($A220="","",IF($M220="",TODAY()-$B220,$M220-$B220))</f>
        <v/>
      </c>
      <c r="O220" s="30">
        <f>IF(OR($A220="",$L220=""),"",IF(OR($K220="Resolved",$K220="Will not fix"),"Closed",IF(TODAY()&gt;$L220,"OVERDUE","On time")))</f>
        <v/>
      </c>
      <c r="P220" s="27" t="n"/>
    </row>
    <row r="221">
      <c r="A221" s="27" t="n"/>
      <c r="B221" s="29" t="n"/>
      <c r="C221" s="27" t="n"/>
      <c r="D221" s="27" t="n"/>
      <c r="E221" s="27" t="n"/>
      <c r="F221" s="27" t="n"/>
      <c r="G221" s="23" t="n"/>
      <c r="H221" s="27" t="n"/>
      <c r="I221" s="27" t="n"/>
      <c r="J221" s="27" t="n"/>
      <c r="K221" s="23" t="n"/>
      <c r="L221" s="29" t="n"/>
      <c r="M221" s="29" t="n"/>
      <c r="N221" s="30">
        <f>IF($A221="","",IF($M221="",TODAY()-$B221,$M221-$B221))</f>
        <v/>
      </c>
      <c r="O221" s="30">
        <f>IF(OR($A221="",$L221=""),"",IF(OR($K221="Resolved",$K221="Will not fix"),"Closed",IF(TODAY()&gt;$L221,"OVERDUE","On time")))</f>
        <v/>
      </c>
      <c r="P221" s="27" t="n"/>
    </row>
    <row r="222">
      <c r="A222" s="27" t="n"/>
      <c r="B222" s="29" t="n"/>
      <c r="C222" s="27" t="n"/>
      <c r="D222" s="27" t="n"/>
      <c r="E222" s="27" t="n"/>
      <c r="F222" s="27" t="n"/>
      <c r="G222" s="23" t="n"/>
      <c r="H222" s="27" t="n"/>
      <c r="I222" s="27" t="n"/>
      <c r="J222" s="27" t="n"/>
      <c r="K222" s="23" t="n"/>
      <c r="L222" s="29" t="n"/>
      <c r="M222" s="29" t="n"/>
      <c r="N222" s="30">
        <f>IF($A222="","",IF($M222="",TODAY()-$B222,$M222-$B222))</f>
        <v/>
      </c>
      <c r="O222" s="30">
        <f>IF(OR($A222="",$L222=""),"",IF(OR($K222="Resolved",$K222="Will not fix"),"Closed",IF(TODAY()&gt;$L222,"OVERDUE","On time")))</f>
        <v/>
      </c>
      <c r="P222" s="27" t="n"/>
    </row>
    <row r="223">
      <c r="A223" s="27" t="n"/>
      <c r="B223" s="29" t="n"/>
      <c r="C223" s="27" t="n"/>
      <c r="D223" s="27" t="n"/>
      <c r="E223" s="27" t="n"/>
      <c r="F223" s="27" t="n"/>
      <c r="G223" s="23" t="n"/>
      <c r="H223" s="27" t="n"/>
      <c r="I223" s="27" t="n"/>
      <c r="J223" s="27" t="n"/>
      <c r="K223" s="23" t="n"/>
      <c r="L223" s="29" t="n"/>
      <c r="M223" s="29" t="n"/>
      <c r="N223" s="30">
        <f>IF($A223="","",IF($M223="",TODAY()-$B223,$M223-$B223))</f>
        <v/>
      </c>
      <c r="O223" s="30">
        <f>IF(OR($A223="",$L223=""),"",IF(OR($K223="Resolved",$K223="Will not fix"),"Closed",IF(TODAY()&gt;$L223,"OVERDUE","On time")))</f>
        <v/>
      </c>
      <c r="P223" s="27" t="n"/>
    </row>
    <row r="224">
      <c r="A224" s="27" t="n"/>
      <c r="B224" s="29" t="n"/>
      <c r="C224" s="27" t="n"/>
      <c r="D224" s="27" t="n"/>
      <c r="E224" s="27" t="n"/>
      <c r="F224" s="27" t="n"/>
      <c r="G224" s="23" t="n"/>
      <c r="H224" s="27" t="n"/>
      <c r="I224" s="27" t="n"/>
      <c r="J224" s="27" t="n"/>
      <c r="K224" s="23" t="n"/>
      <c r="L224" s="29" t="n"/>
      <c r="M224" s="29" t="n"/>
      <c r="N224" s="30">
        <f>IF($A224="","",IF($M224="",TODAY()-$B224,$M224-$B224))</f>
        <v/>
      </c>
      <c r="O224" s="30">
        <f>IF(OR($A224="",$L224=""),"",IF(OR($K224="Resolved",$K224="Will not fix"),"Closed",IF(TODAY()&gt;$L224,"OVERDUE","On time")))</f>
        <v/>
      </c>
      <c r="P224" s="27" t="n"/>
    </row>
    <row r="225">
      <c r="A225" s="27" t="n"/>
      <c r="B225" s="29" t="n"/>
      <c r="C225" s="27" t="n"/>
      <c r="D225" s="27" t="n"/>
      <c r="E225" s="27" t="n"/>
      <c r="F225" s="27" t="n"/>
      <c r="G225" s="23" t="n"/>
      <c r="H225" s="27" t="n"/>
      <c r="I225" s="27" t="n"/>
      <c r="J225" s="27" t="n"/>
      <c r="K225" s="23" t="n"/>
      <c r="L225" s="29" t="n"/>
      <c r="M225" s="29" t="n"/>
      <c r="N225" s="30">
        <f>IF($A225="","",IF($M225="",TODAY()-$B225,$M225-$B225))</f>
        <v/>
      </c>
      <c r="O225" s="30">
        <f>IF(OR($A225="",$L225=""),"",IF(OR($K225="Resolved",$K225="Will not fix"),"Closed",IF(TODAY()&gt;$L225,"OVERDUE","On time")))</f>
        <v/>
      </c>
      <c r="P225" s="27" t="n"/>
    </row>
    <row r="226">
      <c r="A226" s="27" t="n"/>
      <c r="B226" s="29" t="n"/>
      <c r="C226" s="27" t="n"/>
      <c r="D226" s="27" t="n"/>
      <c r="E226" s="27" t="n"/>
      <c r="F226" s="27" t="n"/>
      <c r="G226" s="23" t="n"/>
      <c r="H226" s="27" t="n"/>
      <c r="I226" s="27" t="n"/>
      <c r="J226" s="27" t="n"/>
      <c r="K226" s="23" t="n"/>
      <c r="L226" s="29" t="n"/>
      <c r="M226" s="29" t="n"/>
      <c r="N226" s="30">
        <f>IF($A226="","",IF($M226="",TODAY()-$B226,$M226-$B226))</f>
        <v/>
      </c>
      <c r="O226" s="30">
        <f>IF(OR($A226="",$L226=""),"",IF(OR($K226="Resolved",$K226="Will not fix"),"Closed",IF(TODAY()&gt;$L226,"OVERDUE","On time")))</f>
        <v/>
      </c>
      <c r="P226" s="27" t="n"/>
    </row>
    <row r="227">
      <c r="A227" s="27" t="n"/>
      <c r="B227" s="29" t="n"/>
      <c r="C227" s="27" t="n"/>
      <c r="D227" s="27" t="n"/>
      <c r="E227" s="27" t="n"/>
      <c r="F227" s="27" t="n"/>
      <c r="G227" s="23" t="n"/>
      <c r="H227" s="27" t="n"/>
      <c r="I227" s="27" t="n"/>
      <c r="J227" s="27" t="n"/>
      <c r="K227" s="23" t="n"/>
      <c r="L227" s="29" t="n"/>
      <c r="M227" s="29" t="n"/>
      <c r="N227" s="30">
        <f>IF($A227="","",IF($M227="",TODAY()-$B227,$M227-$B227))</f>
        <v/>
      </c>
      <c r="O227" s="30">
        <f>IF(OR($A227="",$L227=""),"",IF(OR($K227="Resolved",$K227="Will not fix"),"Closed",IF(TODAY()&gt;$L227,"OVERDUE","On time")))</f>
        <v/>
      </c>
      <c r="P227" s="27" t="n"/>
    </row>
    <row r="228">
      <c r="A228" s="27" t="n"/>
      <c r="B228" s="29" t="n"/>
      <c r="C228" s="27" t="n"/>
      <c r="D228" s="27" t="n"/>
      <c r="E228" s="27" t="n"/>
      <c r="F228" s="27" t="n"/>
      <c r="G228" s="23" t="n"/>
      <c r="H228" s="27" t="n"/>
      <c r="I228" s="27" t="n"/>
      <c r="J228" s="27" t="n"/>
      <c r="K228" s="23" t="n"/>
      <c r="L228" s="29" t="n"/>
      <c r="M228" s="29" t="n"/>
      <c r="N228" s="30">
        <f>IF($A228="","",IF($M228="",TODAY()-$B228,$M228-$B228))</f>
        <v/>
      </c>
      <c r="O228" s="30">
        <f>IF(OR($A228="",$L228=""),"",IF(OR($K228="Resolved",$K228="Will not fix"),"Closed",IF(TODAY()&gt;$L228,"OVERDUE","On time")))</f>
        <v/>
      </c>
      <c r="P228" s="27" t="n"/>
    </row>
    <row r="229">
      <c r="A229" s="27" t="n"/>
      <c r="B229" s="29" t="n"/>
      <c r="C229" s="27" t="n"/>
      <c r="D229" s="27" t="n"/>
      <c r="E229" s="27" t="n"/>
      <c r="F229" s="27" t="n"/>
      <c r="G229" s="23" t="n"/>
      <c r="H229" s="27" t="n"/>
      <c r="I229" s="27" t="n"/>
      <c r="J229" s="27" t="n"/>
      <c r="K229" s="23" t="n"/>
      <c r="L229" s="29" t="n"/>
      <c r="M229" s="29" t="n"/>
      <c r="N229" s="30">
        <f>IF($A229="","",IF($M229="",TODAY()-$B229,$M229-$B229))</f>
        <v/>
      </c>
      <c r="O229" s="30">
        <f>IF(OR($A229="",$L229=""),"",IF(OR($K229="Resolved",$K229="Will not fix"),"Closed",IF(TODAY()&gt;$L229,"OVERDUE","On time")))</f>
        <v/>
      </c>
      <c r="P229" s="27" t="n"/>
    </row>
    <row r="230">
      <c r="A230" s="27" t="n"/>
      <c r="B230" s="29" t="n"/>
      <c r="C230" s="27" t="n"/>
      <c r="D230" s="27" t="n"/>
      <c r="E230" s="27" t="n"/>
      <c r="F230" s="27" t="n"/>
      <c r="G230" s="23" t="n"/>
      <c r="H230" s="27" t="n"/>
      <c r="I230" s="27" t="n"/>
      <c r="J230" s="27" t="n"/>
      <c r="K230" s="23" t="n"/>
      <c r="L230" s="29" t="n"/>
      <c r="M230" s="29" t="n"/>
      <c r="N230" s="30">
        <f>IF($A230="","",IF($M230="",TODAY()-$B230,$M230-$B230))</f>
        <v/>
      </c>
      <c r="O230" s="30">
        <f>IF(OR($A230="",$L230=""),"",IF(OR($K230="Resolved",$K230="Will not fix"),"Closed",IF(TODAY()&gt;$L230,"OVERDUE","On time")))</f>
        <v/>
      </c>
      <c r="P230" s="27" t="n"/>
    </row>
    <row r="231">
      <c r="A231" s="27" t="n"/>
      <c r="B231" s="29" t="n"/>
      <c r="C231" s="27" t="n"/>
      <c r="D231" s="27" t="n"/>
      <c r="E231" s="27" t="n"/>
      <c r="F231" s="27" t="n"/>
      <c r="G231" s="23" t="n"/>
      <c r="H231" s="27" t="n"/>
      <c r="I231" s="27" t="n"/>
      <c r="J231" s="27" t="n"/>
      <c r="K231" s="23" t="n"/>
      <c r="L231" s="29" t="n"/>
      <c r="M231" s="29" t="n"/>
      <c r="N231" s="30">
        <f>IF($A231="","",IF($M231="",TODAY()-$B231,$M231-$B231))</f>
        <v/>
      </c>
      <c r="O231" s="30">
        <f>IF(OR($A231="",$L231=""),"",IF(OR($K231="Resolved",$K231="Will not fix"),"Closed",IF(TODAY()&gt;$L231,"OVERDUE","On time")))</f>
        <v/>
      </c>
      <c r="P231" s="27" t="n"/>
    </row>
    <row r="232">
      <c r="A232" s="27" t="n"/>
      <c r="B232" s="29" t="n"/>
      <c r="C232" s="27" t="n"/>
      <c r="D232" s="27" t="n"/>
      <c r="E232" s="27" t="n"/>
      <c r="F232" s="27" t="n"/>
      <c r="G232" s="23" t="n"/>
      <c r="H232" s="27" t="n"/>
      <c r="I232" s="27" t="n"/>
      <c r="J232" s="27" t="n"/>
      <c r="K232" s="23" t="n"/>
      <c r="L232" s="29" t="n"/>
      <c r="M232" s="29" t="n"/>
      <c r="N232" s="30">
        <f>IF($A232="","",IF($M232="",TODAY()-$B232,$M232-$B232))</f>
        <v/>
      </c>
      <c r="O232" s="30">
        <f>IF(OR($A232="",$L232=""),"",IF(OR($K232="Resolved",$K232="Will not fix"),"Closed",IF(TODAY()&gt;$L232,"OVERDUE","On time")))</f>
        <v/>
      </c>
      <c r="P232" s="27" t="n"/>
    </row>
    <row r="233">
      <c r="A233" s="27" t="n"/>
      <c r="B233" s="29" t="n"/>
      <c r="C233" s="27" t="n"/>
      <c r="D233" s="27" t="n"/>
      <c r="E233" s="27" t="n"/>
      <c r="F233" s="27" t="n"/>
      <c r="G233" s="23" t="n"/>
      <c r="H233" s="27" t="n"/>
      <c r="I233" s="27" t="n"/>
      <c r="J233" s="27" t="n"/>
      <c r="K233" s="23" t="n"/>
      <c r="L233" s="29" t="n"/>
      <c r="M233" s="29" t="n"/>
      <c r="N233" s="30">
        <f>IF($A233="","",IF($M233="",TODAY()-$B233,$M233-$B233))</f>
        <v/>
      </c>
      <c r="O233" s="30">
        <f>IF(OR($A233="",$L233=""),"",IF(OR($K233="Resolved",$K233="Will not fix"),"Closed",IF(TODAY()&gt;$L233,"OVERDUE","On time")))</f>
        <v/>
      </c>
      <c r="P233" s="27" t="n"/>
    </row>
    <row r="234">
      <c r="A234" s="27" t="n"/>
      <c r="B234" s="29" t="n"/>
      <c r="C234" s="27" t="n"/>
      <c r="D234" s="27" t="n"/>
      <c r="E234" s="27" t="n"/>
      <c r="F234" s="27" t="n"/>
      <c r="G234" s="23" t="n"/>
      <c r="H234" s="27" t="n"/>
      <c r="I234" s="27" t="n"/>
      <c r="J234" s="27" t="n"/>
      <c r="K234" s="23" t="n"/>
      <c r="L234" s="29" t="n"/>
      <c r="M234" s="29" t="n"/>
      <c r="N234" s="30">
        <f>IF($A234="","",IF($M234="",TODAY()-$B234,$M234-$B234))</f>
        <v/>
      </c>
      <c r="O234" s="30">
        <f>IF(OR($A234="",$L234=""),"",IF(OR($K234="Resolved",$K234="Will not fix"),"Closed",IF(TODAY()&gt;$L234,"OVERDUE","On time")))</f>
        <v/>
      </c>
      <c r="P234" s="27" t="n"/>
    </row>
    <row r="235">
      <c r="A235" s="27" t="n"/>
      <c r="B235" s="29" t="n"/>
      <c r="C235" s="27" t="n"/>
      <c r="D235" s="27" t="n"/>
      <c r="E235" s="27" t="n"/>
      <c r="F235" s="27" t="n"/>
      <c r="G235" s="23" t="n"/>
      <c r="H235" s="27" t="n"/>
      <c r="I235" s="27" t="n"/>
      <c r="J235" s="27" t="n"/>
      <c r="K235" s="23" t="n"/>
      <c r="L235" s="29" t="n"/>
      <c r="M235" s="29" t="n"/>
      <c r="N235" s="30">
        <f>IF($A235="","",IF($M235="",TODAY()-$B235,$M235-$B235))</f>
        <v/>
      </c>
      <c r="O235" s="30">
        <f>IF(OR($A235="",$L235=""),"",IF(OR($K235="Resolved",$K235="Will not fix"),"Closed",IF(TODAY()&gt;$L235,"OVERDUE","On time")))</f>
        <v/>
      </c>
      <c r="P235" s="27" t="n"/>
    </row>
    <row r="236">
      <c r="A236" s="27" t="n"/>
      <c r="B236" s="29" t="n"/>
      <c r="C236" s="27" t="n"/>
      <c r="D236" s="27" t="n"/>
      <c r="E236" s="27" t="n"/>
      <c r="F236" s="27" t="n"/>
      <c r="G236" s="23" t="n"/>
      <c r="H236" s="27" t="n"/>
      <c r="I236" s="27" t="n"/>
      <c r="J236" s="27" t="n"/>
      <c r="K236" s="23" t="n"/>
      <c r="L236" s="29" t="n"/>
      <c r="M236" s="29" t="n"/>
      <c r="N236" s="30">
        <f>IF($A236="","",IF($M236="",TODAY()-$B236,$M236-$B236))</f>
        <v/>
      </c>
      <c r="O236" s="30">
        <f>IF(OR($A236="",$L236=""),"",IF(OR($K236="Resolved",$K236="Will not fix"),"Closed",IF(TODAY()&gt;$L236,"OVERDUE","On time")))</f>
        <v/>
      </c>
      <c r="P236" s="27" t="n"/>
    </row>
    <row r="237">
      <c r="A237" s="27" t="n"/>
      <c r="B237" s="29" t="n"/>
      <c r="C237" s="27" t="n"/>
      <c r="D237" s="27" t="n"/>
      <c r="E237" s="27" t="n"/>
      <c r="F237" s="27" t="n"/>
      <c r="G237" s="23" t="n"/>
      <c r="H237" s="27" t="n"/>
      <c r="I237" s="27" t="n"/>
      <c r="J237" s="27" t="n"/>
      <c r="K237" s="23" t="n"/>
      <c r="L237" s="29" t="n"/>
      <c r="M237" s="29" t="n"/>
      <c r="N237" s="30">
        <f>IF($A237="","",IF($M237="",TODAY()-$B237,$M237-$B237))</f>
        <v/>
      </c>
      <c r="O237" s="30">
        <f>IF(OR($A237="",$L237=""),"",IF(OR($K237="Resolved",$K237="Will not fix"),"Closed",IF(TODAY()&gt;$L237,"OVERDUE","On time")))</f>
        <v/>
      </c>
      <c r="P237" s="27" t="n"/>
    </row>
    <row r="238">
      <c r="A238" s="27" t="n"/>
      <c r="B238" s="29" t="n"/>
      <c r="C238" s="27" t="n"/>
      <c r="D238" s="27" t="n"/>
      <c r="E238" s="27" t="n"/>
      <c r="F238" s="27" t="n"/>
      <c r="G238" s="23" t="n"/>
      <c r="H238" s="27" t="n"/>
      <c r="I238" s="27" t="n"/>
      <c r="J238" s="27" t="n"/>
      <c r="K238" s="23" t="n"/>
      <c r="L238" s="29" t="n"/>
      <c r="M238" s="29" t="n"/>
      <c r="N238" s="30">
        <f>IF($A238="","",IF($M238="",TODAY()-$B238,$M238-$B238))</f>
        <v/>
      </c>
      <c r="O238" s="30">
        <f>IF(OR($A238="",$L238=""),"",IF(OR($K238="Resolved",$K238="Will not fix"),"Closed",IF(TODAY()&gt;$L238,"OVERDUE","On time")))</f>
        <v/>
      </c>
      <c r="P238" s="27" t="n"/>
    </row>
    <row r="239">
      <c r="A239" s="27" t="n"/>
      <c r="B239" s="29" t="n"/>
      <c r="C239" s="27" t="n"/>
      <c r="D239" s="27" t="n"/>
      <c r="E239" s="27" t="n"/>
      <c r="F239" s="27" t="n"/>
      <c r="G239" s="23" t="n"/>
      <c r="H239" s="27" t="n"/>
      <c r="I239" s="27" t="n"/>
      <c r="J239" s="27" t="n"/>
      <c r="K239" s="23" t="n"/>
      <c r="L239" s="29" t="n"/>
      <c r="M239" s="29" t="n"/>
      <c r="N239" s="30">
        <f>IF($A239="","",IF($M239="",TODAY()-$B239,$M239-$B239))</f>
        <v/>
      </c>
      <c r="O239" s="30">
        <f>IF(OR($A239="",$L239=""),"",IF(OR($K239="Resolved",$K239="Will not fix"),"Closed",IF(TODAY()&gt;$L239,"OVERDUE","On time")))</f>
        <v/>
      </c>
      <c r="P239" s="27" t="n"/>
    </row>
    <row r="240">
      <c r="A240" s="27" t="n"/>
      <c r="B240" s="29" t="n"/>
      <c r="C240" s="27" t="n"/>
      <c r="D240" s="27" t="n"/>
      <c r="E240" s="27" t="n"/>
      <c r="F240" s="27" t="n"/>
      <c r="G240" s="23" t="n"/>
      <c r="H240" s="27" t="n"/>
      <c r="I240" s="27" t="n"/>
      <c r="J240" s="27" t="n"/>
      <c r="K240" s="23" t="n"/>
      <c r="L240" s="29" t="n"/>
      <c r="M240" s="29" t="n"/>
      <c r="N240" s="30">
        <f>IF($A240="","",IF($M240="",TODAY()-$B240,$M240-$B240))</f>
        <v/>
      </c>
      <c r="O240" s="30">
        <f>IF(OR($A240="",$L240=""),"",IF(OR($K240="Resolved",$K240="Will not fix"),"Closed",IF(TODAY()&gt;$L240,"OVERDUE","On time")))</f>
        <v/>
      </c>
      <c r="P240" s="27" t="n"/>
    </row>
    <row r="241">
      <c r="A241" s="27" t="n"/>
      <c r="B241" s="29" t="n"/>
      <c r="C241" s="27" t="n"/>
      <c r="D241" s="27" t="n"/>
      <c r="E241" s="27" t="n"/>
      <c r="F241" s="27" t="n"/>
      <c r="G241" s="23" t="n"/>
      <c r="H241" s="27" t="n"/>
      <c r="I241" s="27" t="n"/>
      <c r="J241" s="27" t="n"/>
      <c r="K241" s="23" t="n"/>
      <c r="L241" s="29" t="n"/>
      <c r="M241" s="29" t="n"/>
      <c r="N241" s="30">
        <f>IF($A241="","",IF($M241="",TODAY()-$B241,$M241-$B241))</f>
        <v/>
      </c>
      <c r="O241" s="30">
        <f>IF(OR($A241="",$L241=""),"",IF(OR($K241="Resolved",$K241="Will not fix"),"Closed",IF(TODAY()&gt;$L241,"OVERDUE","On time")))</f>
        <v/>
      </c>
      <c r="P241" s="27" t="n"/>
    </row>
    <row r="242">
      <c r="A242" s="27" t="n"/>
      <c r="B242" s="29" t="n"/>
      <c r="C242" s="27" t="n"/>
      <c r="D242" s="27" t="n"/>
      <c r="E242" s="27" t="n"/>
      <c r="F242" s="27" t="n"/>
      <c r="G242" s="23" t="n"/>
      <c r="H242" s="27" t="n"/>
      <c r="I242" s="27" t="n"/>
      <c r="J242" s="27" t="n"/>
      <c r="K242" s="23" t="n"/>
      <c r="L242" s="29" t="n"/>
      <c r="M242" s="29" t="n"/>
      <c r="N242" s="30">
        <f>IF($A242="","",IF($M242="",TODAY()-$B242,$M242-$B242))</f>
        <v/>
      </c>
      <c r="O242" s="30">
        <f>IF(OR($A242="",$L242=""),"",IF(OR($K242="Resolved",$K242="Will not fix"),"Closed",IF(TODAY()&gt;$L242,"OVERDUE","On time")))</f>
        <v/>
      </c>
      <c r="P242" s="27" t="n"/>
    </row>
    <row r="243">
      <c r="A243" s="27" t="n"/>
      <c r="B243" s="29" t="n"/>
      <c r="C243" s="27" t="n"/>
      <c r="D243" s="27" t="n"/>
      <c r="E243" s="27" t="n"/>
      <c r="F243" s="27" t="n"/>
      <c r="G243" s="23" t="n"/>
      <c r="H243" s="27" t="n"/>
      <c r="I243" s="27" t="n"/>
      <c r="J243" s="27" t="n"/>
      <c r="K243" s="23" t="n"/>
      <c r="L243" s="29" t="n"/>
      <c r="M243" s="29" t="n"/>
      <c r="N243" s="30">
        <f>IF($A243="","",IF($M243="",TODAY()-$B243,$M243-$B243))</f>
        <v/>
      </c>
      <c r="O243" s="30">
        <f>IF(OR($A243="",$L243=""),"",IF(OR($K243="Resolved",$K243="Will not fix"),"Closed",IF(TODAY()&gt;$L243,"OVERDUE","On time")))</f>
        <v/>
      </c>
      <c r="P243" s="27" t="n"/>
    </row>
    <row r="244">
      <c r="A244" s="27" t="n"/>
      <c r="B244" s="29" t="n"/>
      <c r="C244" s="27" t="n"/>
      <c r="D244" s="27" t="n"/>
      <c r="E244" s="27" t="n"/>
      <c r="F244" s="27" t="n"/>
      <c r="G244" s="23" t="n"/>
      <c r="H244" s="27" t="n"/>
      <c r="I244" s="27" t="n"/>
      <c r="J244" s="27" t="n"/>
      <c r="K244" s="23" t="n"/>
      <c r="L244" s="29" t="n"/>
      <c r="M244" s="29" t="n"/>
      <c r="N244" s="30">
        <f>IF($A244="","",IF($M244="",TODAY()-$B244,$M244-$B244))</f>
        <v/>
      </c>
      <c r="O244" s="30">
        <f>IF(OR($A244="",$L244=""),"",IF(OR($K244="Resolved",$K244="Will not fix"),"Closed",IF(TODAY()&gt;$L244,"OVERDUE","On time")))</f>
        <v/>
      </c>
      <c r="P244" s="27" t="n"/>
    </row>
    <row r="245">
      <c r="A245" s="27" t="n"/>
      <c r="B245" s="29" t="n"/>
      <c r="C245" s="27" t="n"/>
      <c r="D245" s="27" t="n"/>
      <c r="E245" s="27" t="n"/>
      <c r="F245" s="27" t="n"/>
      <c r="G245" s="23" t="n"/>
      <c r="H245" s="27" t="n"/>
      <c r="I245" s="27" t="n"/>
      <c r="J245" s="27" t="n"/>
      <c r="K245" s="23" t="n"/>
      <c r="L245" s="29" t="n"/>
      <c r="M245" s="29" t="n"/>
      <c r="N245" s="30">
        <f>IF($A245="","",IF($M245="",TODAY()-$B245,$M245-$B245))</f>
        <v/>
      </c>
      <c r="O245" s="30">
        <f>IF(OR($A245="",$L245=""),"",IF(OR($K245="Resolved",$K245="Will not fix"),"Closed",IF(TODAY()&gt;$L245,"OVERDUE","On time")))</f>
        <v/>
      </c>
      <c r="P245" s="27" t="n"/>
    </row>
    <row r="246">
      <c r="A246" s="27" t="n"/>
      <c r="B246" s="29" t="n"/>
      <c r="C246" s="27" t="n"/>
      <c r="D246" s="27" t="n"/>
      <c r="E246" s="27" t="n"/>
      <c r="F246" s="27" t="n"/>
      <c r="G246" s="23" t="n"/>
      <c r="H246" s="27" t="n"/>
      <c r="I246" s="27" t="n"/>
      <c r="J246" s="27" t="n"/>
      <c r="K246" s="23" t="n"/>
      <c r="L246" s="29" t="n"/>
      <c r="M246" s="29" t="n"/>
      <c r="N246" s="30">
        <f>IF($A246="","",IF($M246="",TODAY()-$B246,$M246-$B246))</f>
        <v/>
      </c>
      <c r="O246" s="30">
        <f>IF(OR($A246="",$L246=""),"",IF(OR($K246="Resolved",$K246="Will not fix"),"Closed",IF(TODAY()&gt;$L246,"OVERDUE","On time")))</f>
        <v/>
      </c>
      <c r="P246" s="27" t="n"/>
    </row>
    <row r="247">
      <c r="A247" s="27" t="n"/>
      <c r="B247" s="29" t="n"/>
      <c r="C247" s="27" t="n"/>
      <c r="D247" s="27" t="n"/>
      <c r="E247" s="27" t="n"/>
      <c r="F247" s="27" t="n"/>
      <c r="G247" s="23" t="n"/>
      <c r="H247" s="27" t="n"/>
      <c r="I247" s="27" t="n"/>
      <c r="J247" s="27" t="n"/>
      <c r="K247" s="23" t="n"/>
      <c r="L247" s="29" t="n"/>
      <c r="M247" s="29" t="n"/>
      <c r="N247" s="30">
        <f>IF($A247="","",IF($M247="",TODAY()-$B247,$M247-$B247))</f>
        <v/>
      </c>
      <c r="O247" s="30">
        <f>IF(OR($A247="",$L247=""),"",IF(OR($K247="Resolved",$K247="Will not fix"),"Closed",IF(TODAY()&gt;$L247,"OVERDUE","On time")))</f>
        <v/>
      </c>
      <c r="P247" s="27" t="n"/>
    </row>
    <row r="248">
      <c r="A248" s="27" t="n"/>
      <c r="B248" s="29" t="n"/>
      <c r="C248" s="27" t="n"/>
      <c r="D248" s="27" t="n"/>
      <c r="E248" s="27" t="n"/>
      <c r="F248" s="27" t="n"/>
      <c r="G248" s="23" t="n"/>
      <c r="H248" s="27" t="n"/>
      <c r="I248" s="27" t="n"/>
      <c r="J248" s="27" t="n"/>
      <c r="K248" s="23" t="n"/>
      <c r="L248" s="29" t="n"/>
      <c r="M248" s="29" t="n"/>
      <c r="N248" s="30">
        <f>IF($A248="","",IF($M248="",TODAY()-$B248,$M248-$B248))</f>
        <v/>
      </c>
      <c r="O248" s="30">
        <f>IF(OR($A248="",$L248=""),"",IF(OR($K248="Resolved",$K248="Will not fix"),"Closed",IF(TODAY()&gt;$L248,"OVERDUE","On time")))</f>
        <v/>
      </c>
      <c r="P248" s="27" t="n"/>
    </row>
    <row r="249">
      <c r="A249" s="27" t="n"/>
      <c r="B249" s="29" t="n"/>
      <c r="C249" s="27" t="n"/>
      <c r="D249" s="27" t="n"/>
      <c r="E249" s="27" t="n"/>
      <c r="F249" s="27" t="n"/>
      <c r="G249" s="23" t="n"/>
      <c r="H249" s="27" t="n"/>
      <c r="I249" s="27" t="n"/>
      <c r="J249" s="27" t="n"/>
      <c r="K249" s="23" t="n"/>
      <c r="L249" s="29" t="n"/>
      <c r="M249" s="29" t="n"/>
      <c r="N249" s="30">
        <f>IF($A249="","",IF($M249="",TODAY()-$B249,$M249-$B249))</f>
        <v/>
      </c>
      <c r="O249" s="30">
        <f>IF(OR($A249="",$L249=""),"",IF(OR($K249="Resolved",$K249="Will not fix"),"Closed",IF(TODAY()&gt;$L249,"OVERDUE","On time")))</f>
        <v/>
      </c>
      <c r="P249" s="27" t="n"/>
    </row>
    <row r="250">
      <c r="A250" s="27" t="n"/>
      <c r="B250" s="29" t="n"/>
      <c r="C250" s="27" t="n"/>
      <c r="D250" s="27" t="n"/>
      <c r="E250" s="27" t="n"/>
      <c r="F250" s="27" t="n"/>
      <c r="G250" s="23" t="n"/>
      <c r="H250" s="27" t="n"/>
      <c r="I250" s="27" t="n"/>
      <c r="J250" s="27" t="n"/>
      <c r="K250" s="23" t="n"/>
      <c r="L250" s="29" t="n"/>
      <c r="M250" s="29" t="n"/>
      <c r="N250" s="30">
        <f>IF($A250="","",IF($M250="",TODAY()-$B250,$M250-$B250))</f>
        <v/>
      </c>
      <c r="O250" s="30">
        <f>IF(OR($A250="",$L250=""),"",IF(OR($K250="Resolved",$K250="Will not fix"),"Closed",IF(TODAY()&gt;$L250,"OVERDUE","On time")))</f>
        <v/>
      </c>
      <c r="P250" s="27" t="n"/>
    </row>
    <row r="251">
      <c r="A251" s="27" t="n"/>
      <c r="B251" s="29" t="n"/>
      <c r="C251" s="27" t="n"/>
      <c r="D251" s="27" t="n"/>
      <c r="E251" s="27" t="n"/>
      <c r="F251" s="27" t="n"/>
      <c r="G251" s="23" t="n"/>
      <c r="H251" s="27" t="n"/>
      <c r="I251" s="27" t="n"/>
      <c r="J251" s="27" t="n"/>
      <c r="K251" s="23" t="n"/>
      <c r="L251" s="29" t="n"/>
      <c r="M251" s="29" t="n"/>
      <c r="N251" s="30">
        <f>IF($A251="","",IF($M251="",TODAY()-$B251,$M251-$B251))</f>
        <v/>
      </c>
      <c r="O251" s="30">
        <f>IF(OR($A251="",$L251=""),"",IF(OR($K251="Resolved",$K251="Will not fix"),"Closed",IF(TODAY()&gt;$L251,"OVERDUE","On time")))</f>
        <v/>
      </c>
      <c r="P251" s="27" t="n"/>
    </row>
    <row r="252">
      <c r="A252" s="27" t="n"/>
      <c r="B252" s="29" t="n"/>
      <c r="C252" s="27" t="n"/>
      <c r="D252" s="27" t="n"/>
      <c r="E252" s="27" t="n"/>
      <c r="F252" s="27" t="n"/>
      <c r="G252" s="23" t="n"/>
      <c r="H252" s="27" t="n"/>
      <c r="I252" s="27" t="n"/>
      <c r="J252" s="27" t="n"/>
      <c r="K252" s="23" t="n"/>
      <c r="L252" s="29" t="n"/>
      <c r="M252" s="29" t="n"/>
      <c r="N252" s="30">
        <f>IF($A252="","",IF($M252="",TODAY()-$B252,$M252-$B252))</f>
        <v/>
      </c>
      <c r="O252" s="30">
        <f>IF(OR($A252="",$L252=""),"",IF(OR($K252="Resolved",$K252="Will not fix"),"Closed",IF(TODAY()&gt;$L252,"OVERDUE","On time")))</f>
        <v/>
      </c>
      <c r="P252" s="27" t="n"/>
    </row>
    <row r="253">
      <c r="A253" s="27" t="n"/>
      <c r="B253" s="29" t="n"/>
      <c r="C253" s="27" t="n"/>
      <c r="D253" s="27" t="n"/>
      <c r="E253" s="27" t="n"/>
      <c r="F253" s="27" t="n"/>
      <c r="G253" s="23" t="n"/>
      <c r="H253" s="27" t="n"/>
      <c r="I253" s="27" t="n"/>
      <c r="J253" s="27" t="n"/>
      <c r="K253" s="23" t="n"/>
      <c r="L253" s="29" t="n"/>
      <c r="M253" s="29" t="n"/>
      <c r="N253" s="30">
        <f>IF($A253="","",IF($M253="",TODAY()-$B253,$M253-$B253))</f>
        <v/>
      </c>
      <c r="O253" s="30">
        <f>IF(OR($A253="",$L253=""),"",IF(OR($K253="Resolved",$K253="Will not fix"),"Closed",IF(TODAY()&gt;$L253,"OVERDUE","On time")))</f>
        <v/>
      </c>
      <c r="P253" s="27" t="n"/>
    </row>
    <row r="254">
      <c r="A254" s="27" t="n"/>
      <c r="B254" s="29" t="n"/>
      <c r="C254" s="27" t="n"/>
      <c r="D254" s="27" t="n"/>
      <c r="E254" s="27" t="n"/>
      <c r="F254" s="27" t="n"/>
      <c r="G254" s="23" t="n"/>
      <c r="H254" s="27" t="n"/>
      <c r="I254" s="27" t="n"/>
      <c r="J254" s="27" t="n"/>
      <c r="K254" s="23" t="n"/>
      <c r="L254" s="29" t="n"/>
      <c r="M254" s="29" t="n"/>
      <c r="N254" s="30">
        <f>IF($A254="","",IF($M254="",TODAY()-$B254,$M254-$B254))</f>
        <v/>
      </c>
      <c r="O254" s="30">
        <f>IF(OR($A254="",$L254=""),"",IF(OR($K254="Resolved",$K254="Will not fix"),"Closed",IF(TODAY()&gt;$L254,"OVERDUE","On time")))</f>
        <v/>
      </c>
      <c r="P254" s="27" t="n"/>
    </row>
    <row r="255">
      <c r="A255" s="27" t="n"/>
      <c r="B255" s="29" t="n"/>
      <c r="C255" s="27" t="n"/>
      <c r="D255" s="27" t="n"/>
      <c r="E255" s="27" t="n"/>
      <c r="F255" s="27" t="n"/>
      <c r="G255" s="23" t="n"/>
      <c r="H255" s="27" t="n"/>
      <c r="I255" s="27" t="n"/>
      <c r="J255" s="27" t="n"/>
      <c r="K255" s="23" t="n"/>
      <c r="L255" s="29" t="n"/>
      <c r="M255" s="29" t="n"/>
      <c r="N255" s="30">
        <f>IF($A255="","",IF($M255="",TODAY()-$B255,$M255-$B255))</f>
        <v/>
      </c>
      <c r="O255" s="30">
        <f>IF(OR($A255="",$L255=""),"",IF(OR($K255="Resolved",$K255="Will not fix"),"Closed",IF(TODAY()&gt;$L255,"OVERDUE","On time")))</f>
        <v/>
      </c>
      <c r="P255" s="27" t="n"/>
    </row>
    <row r="256">
      <c r="A256" s="27" t="n"/>
      <c r="B256" s="29" t="n"/>
      <c r="C256" s="27" t="n"/>
      <c r="D256" s="27" t="n"/>
      <c r="E256" s="27" t="n"/>
      <c r="F256" s="27" t="n"/>
      <c r="G256" s="23" t="n"/>
      <c r="H256" s="27" t="n"/>
      <c r="I256" s="27" t="n"/>
      <c r="J256" s="27" t="n"/>
      <c r="K256" s="23" t="n"/>
      <c r="L256" s="29" t="n"/>
      <c r="M256" s="29" t="n"/>
      <c r="N256" s="30">
        <f>IF($A256="","",IF($M256="",TODAY()-$B256,$M256-$B256))</f>
        <v/>
      </c>
      <c r="O256" s="30">
        <f>IF(OR($A256="",$L256=""),"",IF(OR($K256="Resolved",$K256="Will not fix"),"Closed",IF(TODAY()&gt;$L256,"OVERDUE","On time")))</f>
        <v/>
      </c>
      <c r="P256" s="27" t="n"/>
    </row>
    <row r="257">
      <c r="A257" s="27" t="n"/>
      <c r="B257" s="29" t="n"/>
      <c r="C257" s="27" t="n"/>
      <c r="D257" s="27" t="n"/>
      <c r="E257" s="27" t="n"/>
      <c r="F257" s="27" t="n"/>
      <c r="G257" s="23" t="n"/>
      <c r="H257" s="27" t="n"/>
      <c r="I257" s="27" t="n"/>
      <c r="J257" s="27" t="n"/>
      <c r="K257" s="23" t="n"/>
      <c r="L257" s="29" t="n"/>
      <c r="M257" s="29" t="n"/>
      <c r="N257" s="30">
        <f>IF($A257="","",IF($M257="",TODAY()-$B257,$M257-$B257))</f>
        <v/>
      </c>
      <c r="O257" s="30">
        <f>IF(OR($A257="",$L257=""),"",IF(OR($K257="Resolved",$K257="Will not fix"),"Closed",IF(TODAY()&gt;$L257,"OVERDUE","On time")))</f>
        <v/>
      </c>
      <c r="P257" s="27" t="n"/>
    </row>
    <row r="258">
      <c r="A258" s="27" t="n"/>
      <c r="B258" s="29" t="n"/>
      <c r="C258" s="27" t="n"/>
      <c r="D258" s="27" t="n"/>
      <c r="E258" s="27" t="n"/>
      <c r="F258" s="27" t="n"/>
      <c r="G258" s="23" t="n"/>
      <c r="H258" s="27" t="n"/>
      <c r="I258" s="27" t="n"/>
      <c r="J258" s="27" t="n"/>
      <c r="K258" s="23" t="n"/>
      <c r="L258" s="29" t="n"/>
      <c r="M258" s="29" t="n"/>
      <c r="N258" s="30">
        <f>IF($A258="","",IF($M258="",TODAY()-$B258,$M258-$B258))</f>
        <v/>
      </c>
      <c r="O258" s="30">
        <f>IF(OR($A258="",$L258=""),"",IF(OR($K258="Resolved",$K258="Will not fix"),"Closed",IF(TODAY()&gt;$L258,"OVERDUE","On time")))</f>
        <v/>
      </c>
      <c r="P258" s="27" t="n"/>
    </row>
    <row r="259">
      <c r="A259" s="27" t="n"/>
      <c r="B259" s="29" t="n"/>
      <c r="C259" s="27" t="n"/>
      <c r="D259" s="27" t="n"/>
      <c r="E259" s="27" t="n"/>
      <c r="F259" s="27" t="n"/>
      <c r="G259" s="23" t="n"/>
      <c r="H259" s="27" t="n"/>
      <c r="I259" s="27" t="n"/>
      <c r="J259" s="27" t="n"/>
      <c r="K259" s="23" t="n"/>
      <c r="L259" s="29" t="n"/>
      <c r="M259" s="29" t="n"/>
      <c r="N259" s="30">
        <f>IF($A259="","",IF($M259="",TODAY()-$B259,$M259-$B259))</f>
        <v/>
      </c>
      <c r="O259" s="30">
        <f>IF(OR($A259="",$L259=""),"",IF(OR($K259="Resolved",$K259="Will not fix"),"Closed",IF(TODAY()&gt;$L259,"OVERDUE","On time")))</f>
        <v/>
      </c>
      <c r="P259" s="27" t="n"/>
    </row>
    <row r="260">
      <c r="A260" s="27" t="n"/>
      <c r="B260" s="29" t="n"/>
      <c r="C260" s="27" t="n"/>
      <c r="D260" s="27" t="n"/>
      <c r="E260" s="27" t="n"/>
      <c r="F260" s="27" t="n"/>
      <c r="G260" s="23" t="n"/>
      <c r="H260" s="27" t="n"/>
      <c r="I260" s="27" t="n"/>
      <c r="J260" s="27" t="n"/>
      <c r="K260" s="23" t="n"/>
      <c r="L260" s="29" t="n"/>
      <c r="M260" s="29" t="n"/>
      <c r="N260" s="30">
        <f>IF($A260="","",IF($M260="",TODAY()-$B260,$M260-$B260))</f>
        <v/>
      </c>
      <c r="O260" s="30">
        <f>IF(OR($A260="",$L260=""),"",IF(OR($K260="Resolved",$K260="Will not fix"),"Closed",IF(TODAY()&gt;$L260,"OVERDUE","On time")))</f>
        <v/>
      </c>
      <c r="P260" s="27" t="n"/>
    </row>
    <row r="261">
      <c r="A261" s="27" t="n"/>
      <c r="B261" s="29" t="n"/>
      <c r="C261" s="27" t="n"/>
      <c r="D261" s="27" t="n"/>
      <c r="E261" s="27" t="n"/>
      <c r="F261" s="27" t="n"/>
      <c r="G261" s="23" t="n"/>
      <c r="H261" s="27" t="n"/>
      <c r="I261" s="27" t="n"/>
      <c r="J261" s="27" t="n"/>
      <c r="K261" s="23" t="n"/>
      <c r="L261" s="29" t="n"/>
      <c r="M261" s="29" t="n"/>
      <c r="N261" s="30">
        <f>IF($A261="","",IF($M261="",TODAY()-$B261,$M261-$B261))</f>
        <v/>
      </c>
      <c r="O261" s="30">
        <f>IF(OR($A261="",$L261=""),"",IF(OR($K261="Resolved",$K261="Will not fix"),"Closed",IF(TODAY()&gt;$L261,"OVERDUE","On time")))</f>
        <v/>
      </c>
      <c r="P261" s="27" t="n"/>
    </row>
    <row r="262">
      <c r="A262" s="27" t="n"/>
      <c r="B262" s="29" t="n"/>
      <c r="C262" s="27" t="n"/>
      <c r="D262" s="27" t="n"/>
      <c r="E262" s="27" t="n"/>
      <c r="F262" s="27" t="n"/>
      <c r="G262" s="23" t="n"/>
      <c r="H262" s="27" t="n"/>
      <c r="I262" s="27" t="n"/>
      <c r="J262" s="27" t="n"/>
      <c r="K262" s="23" t="n"/>
      <c r="L262" s="29" t="n"/>
      <c r="M262" s="29" t="n"/>
      <c r="N262" s="30">
        <f>IF($A262="","",IF($M262="",TODAY()-$B262,$M262-$B262))</f>
        <v/>
      </c>
      <c r="O262" s="30">
        <f>IF(OR($A262="",$L262=""),"",IF(OR($K262="Resolved",$K262="Will not fix"),"Closed",IF(TODAY()&gt;$L262,"OVERDUE","On time")))</f>
        <v/>
      </c>
      <c r="P262" s="27" t="n"/>
    </row>
    <row r="263">
      <c r="A263" s="27" t="n"/>
      <c r="B263" s="29" t="n"/>
      <c r="C263" s="27" t="n"/>
      <c r="D263" s="27" t="n"/>
      <c r="E263" s="27" t="n"/>
      <c r="F263" s="27" t="n"/>
      <c r="G263" s="23" t="n"/>
      <c r="H263" s="27" t="n"/>
      <c r="I263" s="27" t="n"/>
      <c r="J263" s="27" t="n"/>
      <c r="K263" s="23" t="n"/>
      <c r="L263" s="29" t="n"/>
      <c r="M263" s="29" t="n"/>
      <c r="N263" s="30">
        <f>IF($A263="","",IF($M263="",TODAY()-$B263,$M263-$B263))</f>
        <v/>
      </c>
      <c r="O263" s="30">
        <f>IF(OR($A263="",$L263=""),"",IF(OR($K263="Resolved",$K263="Will not fix"),"Closed",IF(TODAY()&gt;$L263,"OVERDUE","On time")))</f>
        <v/>
      </c>
      <c r="P263" s="27" t="n"/>
    </row>
    <row r="264">
      <c r="A264" s="27" t="n"/>
      <c r="B264" s="29" t="n"/>
      <c r="C264" s="27" t="n"/>
      <c r="D264" s="27" t="n"/>
      <c r="E264" s="27" t="n"/>
      <c r="F264" s="27" t="n"/>
      <c r="G264" s="23" t="n"/>
      <c r="H264" s="27" t="n"/>
      <c r="I264" s="27" t="n"/>
      <c r="J264" s="27" t="n"/>
      <c r="K264" s="23" t="n"/>
      <c r="L264" s="29" t="n"/>
      <c r="M264" s="29" t="n"/>
      <c r="N264" s="30">
        <f>IF($A264="","",IF($M264="",TODAY()-$B264,$M264-$B264))</f>
        <v/>
      </c>
      <c r="O264" s="30">
        <f>IF(OR($A264="",$L264=""),"",IF(OR($K264="Resolved",$K264="Will not fix"),"Closed",IF(TODAY()&gt;$L264,"OVERDUE","On time")))</f>
        <v/>
      </c>
      <c r="P264" s="27" t="n"/>
    </row>
    <row r="265">
      <c r="A265" s="27" t="n"/>
      <c r="B265" s="29" t="n"/>
      <c r="C265" s="27" t="n"/>
      <c r="D265" s="27" t="n"/>
      <c r="E265" s="27" t="n"/>
      <c r="F265" s="27" t="n"/>
      <c r="G265" s="23" t="n"/>
      <c r="H265" s="27" t="n"/>
      <c r="I265" s="27" t="n"/>
      <c r="J265" s="27" t="n"/>
      <c r="K265" s="23" t="n"/>
      <c r="L265" s="29" t="n"/>
      <c r="M265" s="29" t="n"/>
      <c r="N265" s="30">
        <f>IF($A265="","",IF($M265="",TODAY()-$B265,$M265-$B265))</f>
        <v/>
      </c>
      <c r="O265" s="30">
        <f>IF(OR($A265="",$L265=""),"",IF(OR($K265="Resolved",$K265="Will not fix"),"Closed",IF(TODAY()&gt;$L265,"OVERDUE","On time")))</f>
        <v/>
      </c>
      <c r="P265" s="27" t="n"/>
    </row>
    <row r="266">
      <c r="A266" s="27" t="n"/>
      <c r="B266" s="29" t="n"/>
      <c r="C266" s="27" t="n"/>
      <c r="D266" s="27" t="n"/>
      <c r="E266" s="27" t="n"/>
      <c r="F266" s="27" t="n"/>
      <c r="G266" s="23" t="n"/>
      <c r="H266" s="27" t="n"/>
      <c r="I266" s="27" t="n"/>
      <c r="J266" s="27" t="n"/>
      <c r="K266" s="23" t="n"/>
      <c r="L266" s="29" t="n"/>
      <c r="M266" s="29" t="n"/>
      <c r="N266" s="30">
        <f>IF($A266="","",IF($M266="",TODAY()-$B266,$M266-$B266))</f>
        <v/>
      </c>
      <c r="O266" s="30">
        <f>IF(OR($A266="",$L266=""),"",IF(OR($K266="Resolved",$K266="Will not fix"),"Closed",IF(TODAY()&gt;$L266,"OVERDUE","On time")))</f>
        <v/>
      </c>
      <c r="P266" s="27" t="n"/>
    </row>
    <row r="267">
      <c r="A267" s="27" t="n"/>
      <c r="B267" s="29" t="n"/>
      <c r="C267" s="27" t="n"/>
      <c r="D267" s="27" t="n"/>
      <c r="E267" s="27" t="n"/>
      <c r="F267" s="27" t="n"/>
      <c r="G267" s="23" t="n"/>
      <c r="H267" s="27" t="n"/>
      <c r="I267" s="27" t="n"/>
      <c r="J267" s="27" t="n"/>
      <c r="K267" s="23" t="n"/>
      <c r="L267" s="29" t="n"/>
      <c r="M267" s="29" t="n"/>
      <c r="N267" s="30">
        <f>IF($A267="","",IF($M267="",TODAY()-$B267,$M267-$B267))</f>
        <v/>
      </c>
      <c r="O267" s="30">
        <f>IF(OR($A267="",$L267=""),"",IF(OR($K267="Resolved",$K267="Will not fix"),"Closed",IF(TODAY()&gt;$L267,"OVERDUE","On time")))</f>
        <v/>
      </c>
      <c r="P267" s="27" t="n"/>
    </row>
    <row r="268">
      <c r="A268" s="27" t="n"/>
      <c r="B268" s="29" t="n"/>
      <c r="C268" s="27" t="n"/>
      <c r="D268" s="27" t="n"/>
      <c r="E268" s="27" t="n"/>
      <c r="F268" s="27" t="n"/>
      <c r="G268" s="23" t="n"/>
      <c r="H268" s="27" t="n"/>
      <c r="I268" s="27" t="n"/>
      <c r="J268" s="27" t="n"/>
      <c r="K268" s="23" t="n"/>
      <c r="L268" s="29" t="n"/>
      <c r="M268" s="29" t="n"/>
      <c r="N268" s="30">
        <f>IF($A268="","",IF($M268="",TODAY()-$B268,$M268-$B268))</f>
        <v/>
      </c>
      <c r="O268" s="30">
        <f>IF(OR($A268="",$L268=""),"",IF(OR($K268="Resolved",$K268="Will not fix"),"Closed",IF(TODAY()&gt;$L268,"OVERDUE","On time")))</f>
        <v/>
      </c>
      <c r="P268" s="27" t="n"/>
    </row>
    <row r="269">
      <c r="A269" s="27" t="n"/>
      <c r="B269" s="29" t="n"/>
      <c r="C269" s="27" t="n"/>
      <c r="D269" s="27" t="n"/>
      <c r="E269" s="27" t="n"/>
      <c r="F269" s="27" t="n"/>
      <c r="G269" s="23" t="n"/>
      <c r="H269" s="27" t="n"/>
      <c r="I269" s="27" t="n"/>
      <c r="J269" s="27" t="n"/>
      <c r="K269" s="23" t="n"/>
      <c r="L269" s="29" t="n"/>
      <c r="M269" s="29" t="n"/>
      <c r="N269" s="30">
        <f>IF($A269="","",IF($M269="",TODAY()-$B269,$M269-$B269))</f>
        <v/>
      </c>
      <c r="O269" s="30">
        <f>IF(OR($A269="",$L269=""),"",IF(OR($K269="Resolved",$K269="Will not fix"),"Closed",IF(TODAY()&gt;$L269,"OVERDUE","On time")))</f>
        <v/>
      </c>
      <c r="P269" s="27" t="n"/>
    </row>
    <row r="270">
      <c r="A270" s="27" t="n"/>
      <c r="B270" s="29" t="n"/>
      <c r="C270" s="27" t="n"/>
      <c r="D270" s="27" t="n"/>
      <c r="E270" s="27" t="n"/>
      <c r="F270" s="27" t="n"/>
      <c r="G270" s="23" t="n"/>
      <c r="H270" s="27" t="n"/>
      <c r="I270" s="27" t="n"/>
      <c r="J270" s="27" t="n"/>
      <c r="K270" s="23" t="n"/>
      <c r="L270" s="29" t="n"/>
      <c r="M270" s="29" t="n"/>
      <c r="N270" s="30">
        <f>IF($A270="","",IF($M270="",TODAY()-$B270,$M270-$B270))</f>
        <v/>
      </c>
      <c r="O270" s="30">
        <f>IF(OR($A270="",$L270=""),"",IF(OR($K270="Resolved",$K270="Will not fix"),"Closed",IF(TODAY()&gt;$L270,"OVERDUE","On time")))</f>
        <v/>
      </c>
      <c r="P270" s="27" t="n"/>
    </row>
    <row r="271">
      <c r="A271" s="27" t="n"/>
      <c r="B271" s="29" t="n"/>
      <c r="C271" s="27" t="n"/>
      <c r="D271" s="27" t="n"/>
      <c r="E271" s="27" t="n"/>
      <c r="F271" s="27" t="n"/>
      <c r="G271" s="23" t="n"/>
      <c r="H271" s="27" t="n"/>
      <c r="I271" s="27" t="n"/>
      <c r="J271" s="27" t="n"/>
      <c r="K271" s="23" t="n"/>
      <c r="L271" s="29" t="n"/>
      <c r="M271" s="29" t="n"/>
      <c r="N271" s="30">
        <f>IF($A271="","",IF($M271="",TODAY()-$B271,$M271-$B271))</f>
        <v/>
      </c>
      <c r="O271" s="30">
        <f>IF(OR($A271="",$L271=""),"",IF(OR($K271="Resolved",$K271="Will not fix"),"Closed",IF(TODAY()&gt;$L271,"OVERDUE","On time")))</f>
        <v/>
      </c>
      <c r="P271" s="27" t="n"/>
    </row>
    <row r="272">
      <c r="A272" s="27" t="n"/>
      <c r="B272" s="29" t="n"/>
      <c r="C272" s="27" t="n"/>
      <c r="D272" s="27" t="n"/>
      <c r="E272" s="27" t="n"/>
      <c r="F272" s="27" t="n"/>
      <c r="G272" s="23" t="n"/>
      <c r="H272" s="27" t="n"/>
      <c r="I272" s="27" t="n"/>
      <c r="J272" s="27" t="n"/>
      <c r="K272" s="23" t="n"/>
      <c r="L272" s="29" t="n"/>
      <c r="M272" s="29" t="n"/>
      <c r="N272" s="30">
        <f>IF($A272="","",IF($M272="",TODAY()-$B272,$M272-$B272))</f>
        <v/>
      </c>
      <c r="O272" s="30">
        <f>IF(OR($A272="",$L272=""),"",IF(OR($K272="Resolved",$K272="Will not fix"),"Closed",IF(TODAY()&gt;$L272,"OVERDUE","On time")))</f>
        <v/>
      </c>
      <c r="P272" s="27" t="n"/>
    </row>
    <row r="273">
      <c r="A273" s="27" t="n"/>
      <c r="B273" s="29" t="n"/>
      <c r="C273" s="27" t="n"/>
      <c r="D273" s="27" t="n"/>
      <c r="E273" s="27" t="n"/>
      <c r="F273" s="27" t="n"/>
      <c r="G273" s="23" t="n"/>
      <c r="H273" s="27" t="n"/>
      <c r="I273" s="27" t="n"/>
      <c r="J273" s="27" t="n"/>
      <c r="K273" s="23" t="n"/>
      <c r="L273" s="29" t="n"/>
      <c r="M273" s="29" t="n"/>
      <c r="N273" s="30">
        <f>IF($A273="","",IF($M273="",TODAY()-$B273,$M273-$B273))</f>
        <v/>
      </c>
      <c r="O273" s="30">
        <f>IF(OR($A273="",$L273=""),"",IF(OR($K273="Resolved",$K273="Will not fix"),"Closed",IF(TODAY()&gt;$L273,"OVERDUE","On time")))</f>
        <v/>
      </c>
      <c r="P273" s="27" t="n"/>
    </row>
    <row r="274">
      <c r="A274" s="27" t="n"/>
      <c r="B274" s="29" t="n"/>
      <c r="C274" s="27" t="n"/>
      <c r="D274" s="27" t="n"/>
      <c r="E274" s="27" t="n"/>
      <c r="F274" s="27" t="n"/>
      <c r="G274" s="23" t="n"/>
      <c r="H274" s="27" t="n"/>
      <c r="I274" s="27" t="n"/>
      <c r="J274" s="27" t="n"/>
      <c r="K274" s="23" t="n"/>
      <c r="L274" s="29" t="n"/>
      <c r="M274" s="29" t="n"/>
      <c r="N274" s="30">
        <f>IF($A274="","",IF($M274="",TODAY()-$B274,$M274-$B274))</f>
        <v/>
      </c>
      <c r="O274" s="30">
        <f>IF(OR($A274="",$L274=""),"",IF(OR($K274="Resolved",$K274="Will not fix"),"Closed",IF(TODAY()&gt;$L274,"OVERDUE","On time")))</f>
        <v/>
      </c>
      <c r="P274" s="27" t="n"/>
    </row>
    <row r="275">
      <c r="A275" s="27" t="n"/>
      <c r="B275" s="29" t="n"/>
      <c r="C275" s="27" t="n"/>
      <c r="D275" s="27" t="n"/>
      <c r="E275" s="27" t="n"/>
      <c r="F275" s="27" t="n"/>
      <c r="G275" s="23" t="n"/>
      <c r="H275" s="27" t="n"/>
      <c r="I275" s="27" t="n"/>
      <c r="J275" s="27" t="n"/>
      <c r="K275" s="23" t="n"/>
      <c r="L275" s="29" t="n"/>
      <c r="M275" s="29" t="n"/>
      <c r="N275" s="30">
        <f>IF($A275="","",IF($M275="",TODAY()-$B275,$M275-$B275))</f>
        <v/>
      </c>
      <c r="O275" s="30">
        <f>IF(OR($A275="",$L275=""),"",IF(OR($K275="Resolved",$K275="Will not fix"),"Closed",IF(TODAY()&gt;$L275,"OVERDUE","On time")))</f>
        <v/>
      </c>
      <c r="P275" s="27" t="n"/>
    </row>
    <row r="276">
      <c r="A276" s="27" t="n"/>
      <c r="B276" s="29" t="n"/>
      <c r="C276" s="27" t="n"/>
      <c r="D276" s="27" t="n"/>
      <c r="E276" s="27" t="n"/>
      <c r="F276" s="27" t="n"/>
      <c r="G276" s="23" t="n"/>
      <c r="H276" s="27" t="n"/>
      <c r="I276" s="27" t="n"/>
      <c r="J276" s="27" t="n"/>
      <c r="K276" s="23" t="n"/>
      <c r="L276" s="29" t="n"/>
      <c r="M276" s="29" t="n"/>
      <c r="N276" s="30">
        <f>IF($A276="","",IF($M276="",TODAY()-$B276,$M276-$B276))</f>
        <v/>
      </c>
      <c r="O276" s="30">
        <f>IF(OR($A276="",$L276=""),"",IF(OR($K276="Resolved",$K276="Will not fix"),"Closed",IF(TODAY()&gt;$L276,"OVERDUE","On time")))</f>
        <v/>
      </c>
      <c r="P276" s="27" t="n"/>
    </row>
    <row r="277">
      <c r="A277" s="27" t="n"/>
      <c r="B277" s="29" t="n"/>
      <c r="C277" s="27" t="n"/>
      <c r="D277" s="27" t="n"/>
      <c r="E277" s="27" t="n"/>
      <c r="F277" s="27" t="n"/>
      <c r="G277" s="23" t="n"/>
      <c r="H277" s="27" t="n"/>
      <c r="I277" s="27" t="n"/>
      <c r="J277" s="27" t="n"/>
      <c r="K277" s="23" t="n"/>
      <c r="L277" s="29" t="n"/>
      <c r="M277" s="29" t="n"/>
      <c r="N277" s="30">
        <f>IF($A277="","",IF($M277="",TODAY()-$B277,$M277-$B277))</f>
        <v/>
      </c>
      <c r="O277" s="30">
        <f>IF(OR($A277="",$L277=""),"",IF(OR($K277="Resolved",$K277="Will not fix"),"Closed",IF(TODAY()&gt;$L277,"OVERDUE","On time")))</f>
        <v/>
      </c>
      <c r="P277" s="27" t="n"/>
    </row>
    <row r="278">
      <c r="A278" s="27" t="n"/>
      <c r="B278" s="29" t="n"/>
      <c r="C278" s="27" t="n"/>
      <c r="D278" s="27" t="n"/>
      <c r="E278" s="27" t="n"/>
      <c r="F278" s="27" t="n"/>
      <c r="G278" s="23" t="n"/>
      <c r="H278" s="27" t="n"/>
      <c r="I278" s="27" t="n"/>
      <c r="J278" s="27" t="n"/>
      <c r="K278" s="23" t="n"/>
      <c r="L278" s="29" t="n"/>
      <c r="M278" s="29" t="n"/>
      <c r="N278" s="30">
        <f>IF($A278="","",IF($M278="",TODAY()-$B278,$M278-$B278))</f>
        <v/>
      </c>
      <c r="O278" s="30">
        <f>IF(OR($A278="",$L278=""),"",IF(OR($K278="Resolved",$K278="Will not fix"),"Closed",IF(TODAY()&gt;$L278,"OVERDUE","On time")))</f>
        <v/>
      </c>
      <c r="P278" s="27" t="n"/>
    </row>
    <row r="279">
      <c r="A279" s="27" t="n"/>
      <c r="B279" s="29" t="n"/>
      <c r="C279" s="27" t="n"/>
      <c r="D279" s="27" t="n"/>
      <c r="E279" s="27" t="n"/>
      <c r="F279" s="27" t="n"/>
      <c r="G279" s="23" t="n"/>
      <c r="H279" s="27" t="n"/>
      <c r="I279" s="27" t="n"/>
      <c r="J279" s="27" t="n"/>
      <c r="K279" s="23" t="n"/>
      <c r="L279" s="29" t="n"/>
      <c r="M279" s="29" t="n"/>
      <c r="N279" s="30">
        <f>IF($A279="","",IF($M279="",TODAY()-$B279,$M279-$B279))</f>
        <v/>
      </c>
      <c r="O279" s="30">
        <f>IF(OR($A279="",$L279=""),"",IF(OR($K279="Resolved",$K279="Will not fix"),"Closed",IF(TODAY()&gt;$L279,"OVERDUE","On time")))</f>
        <v/>
      </c>
      <c r="P279" s="27" t="n"/>
    </row>
    <row r="280">
      <c r="A280" s="27" t="n"/>
      <c r="B280" s="29" t="n"/>
      <c r="C280" s="27" t="n"/>
      <c r="D280" s="27" t="n"/>
      <c r="E280" s="27" t="n"/>
      <c r="F280" s="27" t="n"/>
      <c r="G280" s="23" t="n"/>
      <c r="H280" s="27" t="n"/>
      <c r="I280" s="27" t="n"/>
      <c r="J280" s="27" t="n"/>
      <c r="K280" s="23" t="n"/>
      <c r="L280" s="29" t="n"/>
      <c r="M280" s="29" t="n"/>
      <c r="N280" s="30">
        <f>IF($A280="","",IF($M280="",TODAY()-$B280,$M280-$B280))</f>
        <v/>
      </c>
      <c r="O280" s="30">
        <f>IF(OR($A280="",$L280=""),"",IF(OR($K280="Resolved",$K280="Will not fix"),"Closed",IF(TODAY()&gt;$L280,"OVERDUE","On time")))</f>
        <v/>
      </c>
      <c r="P280" s="27" t="n"/>
    </row>
    <row r="281">
      <c r="A281" s="27" t="n"/>
      <c r="B281" s="29" t="n"/>
      <c r="C281" s="27" t="n"/>
      <c r="D281" s="27" t="n"/>
      <c r="E281" s="27" t="n"/>
      <c r="F281" s="27" t="n"/>
      <c r="G281" s="23" t="n"/>
      <c r="H281" s="27" t="n"/>
      <c r="I281" s="27" t="n"/>
      <c r="J281" s="27" t="n"/>
      <c r="K281" s="23" t="n"/>
      <c r="L281" s="29" t="n"/>
      <c r="M281" s="29" t="n"/>
      <c r="N281" s="30">
        <f>IF($A281="","",IF($M281="",TODAY()-$B281,$M281-$B281))</f>
        <v/>
      </c>
      <c r="O281" s="30">
        <f>IF(OR($A281="",$L281=""),"",IF(OR($K281="Resolved",$K281="Will not fix"),"Closed",IF(TODAY()&gt;$L281,"OVERDUE","On time")))</f>
        <v/>
      </c>
      <c r="P281" s="27" t="n"/>
    </row>
    <row r="282">
      <c r="A282" s="27" t="n"/>
      <c r="B282" s="29" t="n"/>
      <c r="C282" s="27" t="n"/>
      <c r="D282" s="27" t="n"/>
      <c r="E282" s="27" t="n"/>
      <c r="F282" s="27" t="n"/>
      <c r="G282" s="23" t="n"/>
      <c r="H282" s="27" t="n"/>
      <c r="I282" s="27" t="n"/>
      <c r="J282" s="27" t="n"/>
      <c r="K282" s="23" t="n"/>
      <c r="L282" s="29" t="n"/>
      <c r="M282" s="29" t="n"/>
      <c r="N282" s="30">
        <f>IF($A282="","",IF($M282="",TODAY()-$B282,$M282-$B282))</f>
        <v/>
      </c>
      <c r="O282" s="30">
        <f>IF(OR($A282="",$L282=""),"",IF(OR($K282="Resolved",$K282="Will not fix"),"Closed",IF(TODAY()&gt;$L282,"OVERDUE","On time")))</f>
        <v/>
      </c>
      <c r="P282" s="27" t="n"/>
    </row>
    <row r="283">
      <c r="A283" s="27" t="n"/>
      <c r="B283" s="29" t="n"/>
      <c r="C283" s="27" t="n"/>
      <c r="D283" s="27" t="n"/>
      <c r="E283" s="27" t="n"/>
      <c r="F283" s="27" t="n"/>
      <c r="G283" s="23" t="n"/>
      <c r="H283" s="27" t="n"/>
      <c r="I283" s="27" t="n"/>
      <c r="J283" s="27" t="n"/>
      <c r="K283" s="23" t="n"/>
      <c r="L283" s="29" t="n"/>
      <c r="M283" s="29" t="n"/>
      <c r="N283" s="30">
        <f>IF($A283="","",IF($M283="",TODAY()-$B283,$M283-$B283))</f>
        <v/>
      </c>
      <c r="O283" s="30">
        <f>IF(OR($A283="",$L283=""),"",IF(OR($K283="Resolved",$K283="Will not fix"),"Closed",IF(TODAY()&gt;$L283,"OVERDUE","On time")))</f>
        <v/>
      </c>
      <c r="P283" s="27" t="n"/>
    </row>
    <row r="284">
      <c r="A284" s="27" t="n"/>
      <c r="B284" s="29" t="n"/>
      <c r="C284" s="27" t="n"/>
      <c r="D284" s="27" t="n"/>
      <c r="E284" s="27" t="n"/>
      <c r="F284" s="27" t="n"/>
      <c r="G284" s="23" t="n"/>
      <c r="H284" s="27" t="n"/>
      <c r="I284" s="27" t="n"/>
      <c r="J284" s="27" t="n"/>
      <c r="K284" s="23" t="n"/>
      <c r="L284" s="29" t="n"/>
      <c r="M284" s="29" t="n"/>
      <c r="N284" s="30">
        <f>IF($A284="","",IF($M284="",TODAY()-$B284,$M284-$B284))</f>
        <v/>
      </c>
      <c r="O284" s="30">
        <f>IF(OR($A284="",$L284=""),"",IF(OR($K284="Resolved",$K284="Will not fix"),"Closed",IF(TODAY()&gt;$L284,"OVERDUE","On time")))</f>
        <v/>
      </c>
      <c r="P284" s="27" t="n"/>
    </row>
    <row r="285">
      <c r="A285" s="27" t="n"/>
      <c r="B285" s="29" t="n"/>
      <c r="C285" s="27" t="n"/>
      <c r="D285" s="27" t="n"/>
      <c r="E285" s="27" t="n"/>
      <c r="F285" s="27" t="n"/>
      <c r="G285" s="23" t="n"/>
      <c r="H285" s="27" t="n"/>
      <c r="I285" s="27" t="n"/>
      <c r="J285" s="27" t="n"/>
      <c r="K285" s="23" t="n"/>
      <c r="L285" s="29" t="n"/>
      <c r="M285" s="29" t="n"/>
      <c r="N285" s="30">
        <f>IF($A285="","",IF($M285="",TODAY()-$B285,$M285-$B285))</f>
        <v/>
      </c>
      <c r="O285" s="30">
        <f>IF(OR($A285="",$L285=""),"",IF(OR($K285="Resolved",$K285="Will not fix"),"Closed",IF(TODAY()&gt;$L285,"OVERDUE","On time")))</f>
        <v/>
      </c>
      <c r="P285" s="27" t="n"/>
    </row>
    <row r="286">
      <c r="A286" s="27" t="n"/>
      <c r="B286" s="29" t="n"/>
      <c r="C286" s="27" t="n"/>
      <c r="D286" s="27" t="n"/>
      <c r="E286" s="27" t="n"/>
      <c r="F286" s="27" t="n"/>
      <c r="G286" s="23" t="n"/>
      <c r="H286" s="27" t="n"/>
      <c r="I286" s="27" t="n"/>
      <c r="J286" s="27" t="n"/>
      <c r="K286" s="23" t="n"/>
      <c r="L286" s="29" t="n"/>
      <c r="M286" s="29" t="n"/>
      <c r="N286" s="30">
        <f>IF($A286="","",IF($M286="",TODAY()-$B286,$M286-$B286))</f>
        <v/>
      </c>
      <c r="O286" s="30">
        <f>IF(OR($A286="",$L286=""),"",IF(OR($K286="Resolved",$K286="Will not fix"),"Closed",IF(TODAY()&gt;$L286,"OVERDUE","On time")))</f>
        <v/>
      </c>
      <c r="P286" s="27" t="n"/>
    </row>
    <row r="287">
      <c r="A287" s="27" t="n"/>
      <c r="B287" s="29" t="n"/>
      <c r="C287" s="27" t="n"/>
      <c r="D287" s="27" t="n"/>
      <c r="E287" s="27" t="n"/>
      <c r="F287" s="27" t="n"/>
      <c r="G287" s="23" t="n"/>
      <c r="H287" s="27" t="n"/>
      <c r="I287" s="27" t="n"/>
      <c r="J287" s="27" t="n"/>
      <c r="K287" s="23" t="n"/>
      <c r="L287" s="29" t="n"/>
      <c r="M287" s="29" t="n"/>
      <c r="N287" s="30">
        <f>IF($A287="","",IF($M287="",TODAY()-$B287,$M287-$B287))</f>
        <v/>
      </c>
      <c r="O287" s="30">
        <f>IF(OR($A287="",$L287=""),"",IF(OR($K287="Resolved",$K287="Will not fix"),"Closed",IF(TODAY()&gt;$L287,"OVERDUE","On time")))</f>
        <v/>
      </c>
      <c r="P287" s="27" t="n"/>
    </row>
    <row r="288">
      <c r="A288" s="27" t="n"/>
      <c r="B288" s="29" t="n"/>
      <c r="C288" s="27" t="n"/>
      <c r="D288" s="27" t="n"/>
      <c r="E288" s="27" t="n"/>
      <c r="F288" s="27" t="n"/>
      <c r="G288" s="23" t="n"/>
      <c r="H288" s="27" t="n"/>
      <c r="I288" s="27" t="n"/>
      <c r="J288" s="27" t="n"/>
      <c r="K288" s="23" t="n"/>
      <c r="L288" s="29" t="n"/>
      <c r="M288" s="29" t="n"/>
      <c r="N288" s="30">
        <f>IF($A288="","",IF($M288="",TODAY()-$B288,$M288-$B288))</f>
        <v/>
      </c>
      <c r="O288" s="30">
        <f>IF(OR($A288="",$L288=""),"",IF(OR($K288="Resolved",$K288="Will not fix"),"Closed",IF(TODAY()&gt;$L288,"OVERDUE","On time")))</f>
        <v/>
      </c>
      <c r="P288" s="27" t="n"/>
    </row>
    <row r="289">
      <c r="A289" s="27" t="n"/>
      <c r="B289" s="29" t="n"/>
      <c r="C289" s="27" t="n"/>
      <c r="D289" s="27" t="n"/>
      <c r="E289" s="27" t="n"/>
      <c r="F289" s="27" t="n"/>
      <c r="G289" s="23" t="n"/>
      <c r="H289" s="27" t="n"/>
      <c r="I289" s="27" t="n"/>
      <c r="J289" s="27" t="n"/>
      <c r="K289" s="23" t="n"/>
      <c r="L289" s="29" t="n"/>
      <c r="M289" s="29" t="n"/>
      <c r="N289" s="30">
        <f>IF($A289="","",IF($M289="",TODAY()-$B289,$M289-$B289))</f>
        <v/>
      </c>
      <c r="O289" s="30">
        <f>IF(OR($A289="",$L289=""),"",IF(OR($K289="Resolved",$K289="Will not fix"),"Closed",IF(TODAY()&gt;$L289,"OVERDUE","On time")))</f>
        <v/>
      </c>
      <c r="P289" s="27" t="n"/>
    </row>
    <row r="290">
      <c r="A290" s="27" t="n"/>
      <c r="B290" s="29" t="n"/>
      <c r="C290" s="27" t="n"/>
      <c r="D290" s="27" t="n"/>
      <c r="E290" s="27" t="n"/>
      <c r="F290" s="27" t="n"/>
      <c r="G290" s="23" t="n"/>
      <c r="H290" s="27" t="n"/>
      <c r="I290" s="27" t="n"/>
      <c r="J290" s="27" t="n"/>
      <c r="K290" s="23" t="n"/>
      <c r="L290" s="29" t="n"/>
      <c r="M290" s="29" t="n"/>
      <c r="N290" s="30">
        <f>IF($A290="","",IF($M290="",TODAY()-$B290,$M290-$B290))</f>
        <v/>
      </c>
      <c r="O290" s="30">
        <f>IF(OR($A290="",$L290=""),"",IF(OR($K290="Resolved",$K290="Will not fix"),"Closed",IF(TODAY()&gt;$L290,"OVERDUE","On time")))</f>
        <v/>
      </c>
      <c r="P290" s="27" t="n"/>
    </row>
    <row r="291">
      <c r="A291" s="27" t="n"/>
      <c r="B291" s="29" t="n"/>
      <c r="C291" s="27" t="n"/>
      <c r="D291" s="27" t="n"/>
      <c r="E291" s="27" t="n"/>
      <c r="F291" s="27" t="n"/>
      <c r="G291" s="23" t="n"/>
      <c r="H291" s="27" t="n"/>
      <c r="I291" s="27" t="n"/>
      <c r="J291" s="27" t="n"/>
      <c r="K291" s="23" t="n"/>
      <c r="L291" s="29" t="n"/>
      <c r="M291" s="29" t="n"/>
      <c r="N291" s="30">
        <f>IF($A291="","",IF($M291="",TODAY()-$B291,$M291-$B291))</f>
        <v/>
      </c>
      <c r="O291" s="30">
        <f>IF(OR($A291="",$L291=""),"",IF(OR($K291="Resolved",$K291="Will not fix"),"Closed",IF(TODAY()&gt;$L291,"OVERDUE","On time")))</f>
        <v/>
      </c>
      <c r="P291" s="27" t="n"/>
    </row>
    <row r="292">
      <c r="A292" s="27" t="n"/>
      <c r="B292" s="29" t="n"/>
      <c r="C292" s="27" t="n"/>
      <c r="D292" s="27" t="n"/>
      <c r="E292" s="27" t="n"/>
      <c r="F292" s="27" t="n"/>
      <c r="G292" s="23" t="n"/>
      <c r="H292" s="27" t="n"/>
      <c r="I292" s="27" t="n"/>
      <c r="J292" s="27" t="n"/>
      <c r="K292" s="23" t="n"/>
      <c r="L292" s="29" t="n"/>
      <c r="M292" s="29" t="n"/>
      <c r="N292" s="30">
        <f>IF($A292="","",IF($M292="",TODAY()-$B292,$M292-$B292))</f>
        <v/>
      </c>
      <c r="O292" s="30">
        <f>IF(OR($A292="",$L292=""),"",IF(OR($K292="Resolved",$K292="Will not fix"),"Closed",IF(TODAY()&gt;$L292,"OVERDUE","On time")))</f>
        <v/>
      </c>
      <c r="P292" s="27" t="n"/>
    </row>
    <row r="293">
      <c r="A293" s="27" t="n"/>
      <c r="B293" s="29" t="n"/>
      <c r="C293" s="27" t="n"/>
      <c r="D293" s="27" t="n"/>
      <c r="E293" s="27" t="n"/>
      <c r="F293" s="27" t="n"/>
      <c r="G293" s="23" t="n"/>
      <c r="H293" s="27" t="n"/>
      <c r="I293" s="27" t="n"/>
      <c r="J293" s="27" t="n"/>
      <c r="K293" s="23" t="n"/>
      <c r="L293" s="29" t="n"/>
      <c r="M293" s="29" t="n"/>
      <c r="N293" s="30">
        <f>IF($A293="","",IF($M293="",TODAY()-$B293,$M293-$B293))</f>
        <v/>
      </c>
      <c r="O293" s="30">
        <f>IF(OR($A293="",$L293=""),"",IF(OR($K293="Resolved",$K293="Will not fix"),"Closed",IF(TODAY()&gt;$L293,"OVERDUE","On time")))</f>
        <v/>
      </c>
      <c r="P293" s="27" t="n"/>
    </row>
    <row r="294">
      <c r="A294" s="27" t="n"/>
      <c r="B294" s="29" t="n"/>
      <c r="C294" s="27" t="n"/>
      <c r="D294" s="27" t="n"/>
      <c r="E294" s="27" t="n"/>
      <c r="F294" s="27" t="n"/>
      <c r="G294" s="23" t="n"/>
      <c r="H294" s="27" t="n"/>
      <c r="I294" s="27" t="n"/>
      <c r="J294" s="27" t="n"/>
      <c r="K294" s="23" t="n"/>
      <c r="L294" s="29" t="n"/>
      <c r="M294" s="29" t="n"/>
      <c r="N294" s="30">
        <f>IF($A294="","",IF($M294="",TODAY()-$B294,$M294-$B294))</f>
        <v/>
      </c>
      <c r="O294" s="30">
        <f>IF(OR($A294="",$L294=""),"",IF(OR($K294="Resolved",$K294="Will not fix"),"Closed",IF(TODAY()&gt;$L294,"OVERDUE","On time")))</f>
        <v/>
      </c>
      <c r="P294" s="27" t="n"/>
    </row>
    <row r="295">
      <c r="A295" s="27" t="n"/>
      <c r="B295" s="29" t="n"/>
      <c r="C295" s="27" t="n"/>
      <c r="D295" s="27" t="n"/>
      <c r="E295" s="27" t="n"/>
      <c r="F295" s="27" t="n"/>
      <c r="G295" s="23" t="n"/>
      <c r="H295" s="27" t="n"/>
      <c r="I295" s="27" t="n"/>
      <c r="J295" s="27" t="n"/>
      <c r="K295" s="23" t="n"/>
      <c r="L295" s="29" t="n"/>
      <c r="M295" s="29" t="n"/>
      <c r="N295" s="30">
        <f>IF($A295="","",IF($M295="",TODAY()-$B295,$M295-$B295))</f>
        <v/>
      </c>
      <c r="O295" s="30">
        <f>IF(OR($A295="",$L295=""),"",IF(OR($K295="Resolved",$K295="Will not fix"),"Closed",IF(TODAY()&gt;$L295,"OVERDUE","On time")))</f>
        <v/>
      </c>
      <c r="P295" s="27" t="n"/>
    </row>
    <row r="296">
      <c r="A296" s="27" t="n"/>
      <c r="B296" s="29" t="n"/>
      <c r="C296" s="27" t="n"/>
      <c r="D296" s="27" t="n"/>
      <c r="E296" s="27" t="n"/>
      <c r="F296" s="27" t="n"/>
      <c r="G296" s="23" t="n"/>
      <c r="H296" s="27" t="n"/>
      <c r="I296" s="27" t="n"/>
      <c r="J296" s="27" t="n"/>
      <c r="K296" s="23" t="n"/>
      <c r="L296" s="29" t="n"/>
      <c r="M296" s="29" t="n"/>
      <c r="N296" s="30">
        <f>IF($A296="","",IF($M296="",TODAY()-$B296,$M296-$B296))</f>
        <v/>
      </c>
      <c r="O296" s="30">
        <f>IF(OR($A296="",$L296=""),"",IF(OR($K296="Resolved",$K296="Will not fix"),"Closed",IF(TODAY()&gt;$L296,"OVERDUE","On time")))</f>
        <v/>
      </c>
      <c r="P296" s="27" t="n"/>
    </row>
    <row r="297">
      <c r="A297" s="27" t="n"/>
      <c r="B297" s="29" t="n"/>
      <c r="C297" s="27" t="n"/>
      <c r="D297" s="27" t="n"/>
      <c r="E297" s="27" t="n"/>
      <c r="F297" s="27" t="n"/>
      <c r="G297" s="23" t="n"/>
      <c r="H297" s="27" t="n"/>
      <c r="I297" s="27" t="n"/>
      <c r="J297" s="27" t="n"/>
      <c r="K297" s="23" t="n"/>
      <c r="L297" s="29" t="n"/>
      <c r="M297" s="29" t="n"/>
      <c r="N297" s="30">
        <f>IF($A297="","",IF($M297="",TODAY()-$B297,$M297-$B297))</f>
        <v/>
      </c>
      <c r="O297" s="30">
        <f>IF(OR($A297="",$L297=""),"",IF(OR($K297="Resolved",$K297="Will not fix"),"Closed",IF(TODAY()&gt;$L297,"OVERDUE","On time")))</f>
        <v/>
      </c>
      <c r="P297" s="27" t="n"/>
    </row>
    <row r="298">
      <c r="A298" s="27" t="n"/>
      <c r="B298" s="29" t="n"/>
      <c r="C298" s="27" t="n"/>
      <c r="D298" s="27" t="n"/>
      <c r="E298" s="27" t="n"/>
      <c r="F298" s="27" t="n"/>
      <c r="G298" s="23" t="n"/>
      <c r="H298" s="27" t="n"/>
      <c r="I298" s="27" t="n"/>
      <c r="J298" s="27" t="n"/>
      <c r="K298" s="23" t="n"/>
      <c r="L298" s="29" t="n"/>
      <c r="M298" s="29" t="n"/>
      <c r="N298" s="30">
        <f>IF($A298="","",IF($M298="",TODAY()-$B298,$M298-$B298))</f>
        <v/>
      </c>
      <c r="O298" s="30">
        <f>IF(OR($A298="",$L298=""),"",IF(OR($K298="Resolved",$K298="Will not fix"),"Closed",IF(TODAY()&gt;$L298,"OVERDUE","On time")))</f>
        <v/>
      </c>
      <c r="P298" s="27" t="n"/>
    </row>
    <row r="299">
      <c r="A299" s="27" t="n"/>
      <c r="B299" s="29" t="n"/>
      <c r="C299" s="27" t="n"/>
      <c r="D299" s="27" t="n"/>
      <c r="E299" s="27" t="n"/>
      <c r="F299" s="27" t="n"/>
      <c r="G299" s="23" t="n"/>
      <c r="H299" s="27" t="n"/>
      <c r="I299" s="27" t="n"/>
      <c r="J299" s="27" t="n"/>
      <c r="K299" s="23" t="n"/>
      <c r="L299" s="29" t="n"/>
      <c r="M299" s="29" t="n"/>
      <c r="N299" s="30">
        <f>IF($A299="","",IF($M299="",TODAY()-$B299,$M299-$B299))</f>
        <v/>
      </c>
      <c r="O299" s="30">
        <f>IF(OR($A299="",$L299=""),"",IF(OR($K299="Resolved",$K299="Will not fix"),"Closed",IF(TODAY()&gt;$L299,"OVERDUE","On time")))</f>
        <v/>
      </c>
      <c r="P299" s="27" t="n"/>
    </row>
    <row r="300">
      <c r="A300" s="27" t="n"/>
      <c r="B300" s="29" t="n"/>
      <c r="C300" s="27" t="n"/>
      <c r="D300" s="27" t="n"/>
      <c r="E300" s="27" t="n"/>
      <c r="F300" s="27" t="n"/>
      <c r="G300" s="23" t="n"/>
      <c r="H300" s="27" t="n"/>
      <c r="I300" s="27" t="n"/>
      <c r="J300" s="27" t="n"/>
      <c r="K300" s="23" t="n"/>
      <c r="L300" s="29" t="n"/>
      <c r="M300" s="29" t="n"/>
      <c r="N300" s="30">
        <f>IF($A300="","",IF($M300="",TODAY()-$B300,$M300-$B300))</f>
        <v/>
      </c>
      <c r="O300" s="30">
        <f>IF(OR($A300="",$L300=""),"",IF(OR($K300="Resolved",$K300="Will not fix"),"Closed",IF(TODAY()&gt;$L300,"OVERDUE","On time")))</f>
        <v/>
      </c>
      <c r="P300" s="27" t="n"/>
    </row>
    <row r="301">
      <c r="A301" s="27" t="n"/>
      <c r="B301" s="29" t="n"/>
      <c r="C301" s="27" t="n"/>
      <c r="D301" s="27" t="n"/>
      <c r="E301" s="27" t="n"/>
      <c r="F301" s="27" t="n"/>
      <c r="G301" s="23" t="n"/>
      <c r="H301" s="27" t="n"/>
      <c r="I301" s="27" t="n"/>
      <c r="J301" s="27" t="n"/>
      <c r="K301" s="23" t="n"/>
      <c r="L301" s="29" t="n"/>
      <c r="M301" s="29" t="n"/>
      <c r="N301" s="30">
        <f>IF($A301="","",IF($M301="",TODAY()-$B301,$M301-$B301))</f>
        <v/>
      </c>
      <c r="O301" s="30">
        <f>IF(OR($A301="",$L301=""),"",IF(OR($K301="Resolved",$K301="Will not fix"),"Closed",IF(TODAY()&gt;$L301,"OVERDUE","On time")))</f>
        <v/>
      </c>
      <c r="P301" s="27" t="n"/>
    </row>
    <row r="302">
      <c r="A302" s="27" t="n"/>
      <c r="B302" s="29" t="n"/>
      <c r="C302" s="27" t="n"/>
      <c r="D302" s="27" t="n"/>
      <c r="E302" s="27" t="n"/>
      <c r="F302" s="27" t="n"/>
      <c r="G302" s="23" t="n"/>
      <c r="H302" s="27" t="n"/>
      <c r="I302" s="27" t="n"/>
      <c r="J302" s="27" t="n"/>
      <c r="K302" s="23" t="n"/>
      <c r="L302" s="29" t="n"/>
      <c r="M302" s="29" t="n"/>
      <c r="N302" s="30">
        <f>IF($A302="","",IF($M302="",TODAY()-$B302,$M302-$B302))</f>
        <v/>
      </c>
      <c r="O302" s="30">
        <f>IF(OR($A302="",$L302=""),"",IF(OR($K302="Resolved",$K302="Will not fix"),"Closed",IF(TODAY()&gt;$L302,"OVERDUE","On time")))</f>
        <v/>
      </c>
      <c r="P302" s="27" t="n"/>
    </row>
    <row r="303">
      <c r="A303" s="27" t="n"/>
      <c r="B303" s="29" t="n"/>
      <c r="C303" s="27" t="n"/>
      <c r="D303" s="27" t="n"/>
      <c r="E303" s="27" t="n"/>
      <c r="F303" s="27" t="n"/>
      <c r="G303" s="23" t="n"/>
      <c r="H303" s="27" t="n"/>
      <c r="I303" s="27" t="n"/>
      <c r="J303" s="27" t="n"/>
      <c r="K303" s="23" t="n"/>
      <c r="L303" s="29" t="n"/>
      <c r="M303" s="29" t="n"/>
      <c r="N303" s="30">
        <f>IF($A303="","",IF($M303="",TODAY()-$B303,$M303-$B303))</f>
        <v/>
      </c>
      <c r="O303" s="30">
        <f>IF(OR($A303="",$L303=""),"",IF(OR($K303="Resolved",$K303="Will not fix"),"Closed",IF(TODAY()&gt;$L303,"OVERDUE","On time")))</f>
        <v/>
      </c>
      <c r="P303" s="27" t="n"/>
    </row>
    <row r="304">
      <c r="A304" s="27" t="n"/>
      <c r="B304" s="29" t="n"/>
      <c r="C304" s="27" t="n"/>
      <c r="D304" s="27" t="n"/>
      <c r="E304" s="27" t="n"/>
      <c r="F304" s="27" t="n"/>
      <c r="G304" s="23" t="n"/>
      <c r="H304" s="27" t="n"/>
      <c r="I304" s="27" t="n"/>
      <c r="J304" s="27" t="n"/>
      <c r="K304" s="23" t="n"/>
      <c r="L304" s="29" t="n"/>
      <c r="M304" s="29" t="n"/>
      <c r="N304" s="30">
        <f>IF($A304="","",IF($M304="",TODAY()-$B304,$M304-$B304))</f>
        <v/>
      </c>
      <c r="O304" s="30">
        <f>IF(OR($A304="",$L304=""),"",IF(OR($K304="Resolved",$K304="Will not fix"),"Closed",IF(TODAY()&gt;$L304,"OVERDUE","On time")))</f>
        <v/>
      </c>
      <c r="P304" s="27" t="n"/>
    </row>
    <row r="305">
      <c r="A305" s="27" t="n"/>
      <c r="B305" s="29" t="n"/>
      <c r="C305" s="27" t="n"/>
      <c r="D305" s="27" t="n"/>
      <c r="E305" s="27" t="n"/>
      <c r="F305" s="27" t="n"/>
      <c r="G305" s="23" t="n"/>
      <c r="H305" s="27" t="n"/>
      <c r="I305" s="27" t="n"/>
      <c r="J305" s="27" t="n"/>
      <c r="K305" s="23" t="n"/>
      <c r="L305" s="29" t="n"/>
      <c r="M305" s="29" t="n"/>
      <c r="N305" s="30">
        <f>IF($A305="","",IF($M305="",TODAY()-$B305,$M305-$B305))</f>
        <v/>
      </c>
      <c r="O305" s="30">
        <f>IF(OR($A305="",$L305=""),"",IF(OR($K305="Resolved",$K305="Will not fix"),"Closed",IF(TODAY()&gt;$L305,"OVERDUE","On time")))</f>
        <v/>
      </c>
      <c r="P305" s="27" t="n"/>
    </row>
    <row r="306">
      <c r="A306" s="27" t="n"/>
      <c r="B306" s="29" t="n"/>
      <c r="C306" s="27" t="n"/>
      <c r="D306" s="27" t="n"/>
      <c r="E306" s="27" t="n"/>
      <c r="F306" s="27" t="n"/>
      <c r="G306" s="23" t="n"/>
      <c r="H306" s="27" t="n"/>
      <c r="I306" s="27" t="n"/>
      <c r="J306" s="27" t="n"/>
      <c r="K306" s="23" t="n"/>
      <c r="L306" s="29" t="n"/>
      <c r="M306" s="29" t="n"/>
      <c r="N306" s="30">
        <f>IF($A306="","",IF($M306="",TODAY()-$B306,$M306-$B306))</f>
        <v/>
      </c>
      <c r="O306" s="30">
        <f>IF(OR($A306="",$L306=""),"",IF(OR($K306="Resolved",$K306="Will not fix"),"Closed",IF(TODAY()&gt;$L306,"OVERDUE","On time")))</f>
        <v/>
      </c>
      <c r="P306" s="27" t="n"/>
    </row>
    <row r="307">
      <c r="A307" s="27" t="n"/>
      <c r="B307" s="29" t="n"/>
      <c r="C307" s="27" t="n"/>
      <c r="D307" s="27" t="n"/>
      <c r="E307" s="27" t="n"/>
      <c r="F307" s="27" t="n"/>
      <c r="G307" s="23" t="n"/>
      <c r="H307" s="27" t="n"/>
      <c r="I307" s="27" t="n"/>
      <c r="J307" s="27" t="n"/>
      <c r="K307" s="23" t="n"/>
      <c r="L307" s="29" t="n"/>
      <c r="M307" s="29" t="n"/>
      <c r="N307" s="30">
        <f>IF($A307="","",IF($M307="",TODAY()-$B307,$M307-$B307))</f>
        <v/>
      </c>
      <c r="O307" s="30">
        <f>IF(OR($A307="",$L307=""),"",IF(OR($K307="Resolved",$K307="Will not fix"),"Closed",IF(TODAY()&gt;$L307,"OVERDUE","On time")))</f>
        <v/>
      </c>
      <c r="P307" s="27" t="n"/>
    </row>
    <row r="308">
      <c r="A308" s="27" t="n"/>
      <c r="B308" s="29" t="n"/>
      <c r="C308" s="27" t="n"/>
      <c r="D308" s="27" t="n"/>
      <c r="E308" s="27" t="n"/>
      <c r="F308" s="27" t="n"/>
      <c r="G308" s="23" t="n"/>
      <c r="H308" s="27" t="n"/>
      <c r="I308" s="27" t="n"/>
      <c r="J308" s="27" t="n"/>
      <c r="K308" s="23" t="n"/>
      <c r="L308" s="29" t="n"/>
      <c r="M308" s="29" t="n"/>
      <c r="N308" s="30">
        <f>IF($A308="","",IF($M308="",TODAY()-$B308,$M308-$B308))</f>
        <v/>
      </c>
      <c r="O308" s="30">
        <f>IF(OR($A308="",$L308=""),"",IF(OR($K308="Resolved",$K308="Will not fix"),"Closed",IF(TODAY()&gt;$L308,"OVERDUE","On time")))</f>
        <v/>
      </c>
      <c r="P308" s="27" t="n"/>
    </row>
    <row r="309">
      <c r="A309" s="27" t="n"/>
      <c r="B309" s="29" t="n"/>
      <c r="C309" s="27" t="n"/>
      <c r="D309" s="27" t="n"/>
      <c r="E309" s="27" t="n"/>
      <c r="F309" s="27" t="n"/>
      <c r="G309" s="23" t="n"/>
      <c r="H309" s="27" t="n"/>
      <c r="I309" s="27" t="n"/>
      <c r="J309" s="27" t="n"/>
      <c r="K309" s="23" t="n"/>
      <c r="L309" s="29" t="n"/>
      <c r="M309" s="29" t="n"/>
      <c r="N309" s="30">
        <f>IF($A309="","",IF($M309="",TODAY()-$B309,$M309-$B309))</f>
        <v/>
      </c>
      <c r="O309" s="30">
        <f>IF(OR($A309="",$L309=""),"",IF(OR($K309="Resolved",$K309="Will not fix"),"Closed",IF(TODAY()&gt;$L309,"OVERDUE","On time")))</f>
        <v/>
      </c>
      <c r="P309" s="27" t="n"/>
    </row>
    <row r="310">
      <c r="A310" s="27" t="n"/>
      <c r="B310" s="29" t="n"/>
      <c r="C310" s="27" t="n"/>
      <c r="D310" s="27" t="n"/>
      <c r="E310" s="27" t="n"/>
      <c r="F310" s="27" t="n"/>
      <c r="G310" s="23" t="n"/>
      <c r="H310" s="27" t="n"/>
      <c r="I310" s="27" t="n"/>
      <c r="J310" s="27" t="n"/>
      <c r="K310" s="23" t="n"/>
      <c r="L310" s="29" t="n"/>
      <c r="M310" s="29" t="n"/>
      <c r="N310" s="30">
        <f>IF($A310="","",IF($M310="",TODAY()-$B310,$M310-$B310))</f>
        <v/>
      </c>
      <c r="O310" s="30">
        <f>IF(OR($A310="",$L310=""),"",IF(OR($K310="Resolved",$K310="Will not fix"),"Closed",IF(TODAY()&gt;$L310,"OVERDUE","On time")))</f>
        <v/>
      </c>
      <c r="P310" s="27" t="n"/>
    </row>
    <row r="311">
      <c r="A311" s="27" t="n"/>
      <c r="B311" s="29" t="n"/>
      <c r="C311" s="27" t="n"/>
      <c r="D311" s="27" t="n"/>
      <c r="E311" s="27" t="n"/>
      <c r="F311" s="27" t="n"/>
      <c r="G311" s="23" t="n"/>
      <c r="H311" s="27" t="n"/>
      <c r="I311" s="27" t="n"/>
      <c r="J311" s="27" t="n"/>
      <c r="K311" s="23" t="n"/>
      <c r="L311" s="29" t="n"/>
      <c r="M311" s="29" t="n"/>
      <c r="N311" s="30">
        <f>IF($A311="","",IF($M311="",TODAY()-$B311,$M311-$B311))</f>
        <v/>
      </c>
      <c r="O311" s="30">
        <f>IF(OR($A311="",$L311=""),"",IF(OR($K311="Resolved",$K311="Will not fix"),"Closed",IF(TODAY()&gt;$L311,"OVERDUE","On time")))</f>
        <v/>
      </c>
      <c r="P311" s="27" t="n"/>
    </row>
    <row r="312">
      <c r="A312" s="27" t="n"/>
      <c r="B312" s="29" t="n"/>
      <c r="C312" s="27" t="n"/>
      <c r="D312" s="27" t="n"/>
      <c r="E312" s="27" t="n"/>
      <c r="F312" s="27" t="n"/>
      <c r="G312" s="23" t="n"/>
      <c r="H312" s="27" t="n"/>
      <c r="I312" s="27" t="n"/>
      <c r="J312" s="27" t="n"/>
      <c r="K312" s="23" t="n"/>
      <c r="L312" s="29" t="n"/>
      <c r="M312" s="29" t="n"/>
      <c r="N312" s="30">
        <f>IF($A312="","",IF($M312="",TODAY()-$B312,$M312-$B312))</f>
        <v/>
      </c>
      <c r="O312" s="30">
        <f>IF(OR($A312="",$L312=""),"",IF(OR($K312="Resolved",$K312="Will not fix"),"Closed",IF(TODAY()&gt;$L312,"OVERDUE","On time")))</f>
        <v/>
      </c>
      <c r="P312" s="27" t="n"/>
    </row>
    <row r="313">
      <c r="A313" s="27" t="n"/>
      <c r="B313" s="29" t="n"/>
      <c r="C313" s="27" t="n"/>
      <c r="D313" s="27" t="n"/>
      <c r="E313" s="27" t="n"/>
      <c r="F313" s="27" t="n"/>
      <c r="G313" s="23" t="n"/>
      <c r="H313" s="27" t="n"/>
      <c r="I313" s="27" t="n"/>
      <c r="J313" s="27" t="n"/>
      <c r="K313" s="23" t="n"/>
      <c r="L313" s="29" t="n"/>
      <c r="M313" s="29" t="n"/>
      <c r="N313" s="30">
        <f>IF($A313="","",IF($M313="",TODAY()-$B313,$M313-$B313))</f>
        <v/>
      </c>
      <c r="O313" s="30">
        <f>IF(OR($A313="",$L313=""),"",IF(OR($K313="Resolved",$K313="Will not fix"),"Closed",IF(TODAY()&gt;$L313,"OVERDUE","On time")))</f>
        <v/>
      </c>
      <c r="P313" s="27" t="n"/>
    </row>
    <row r="314">
      <c r="A314" s="27" t="n"/>
      <c r="B314" s="29" t="n"/>
      <c r="C314" s="27" t="n"/>
      <c r="D314" s="27" t="n"/>
      <c r="E314" s="27" t="n"/>
      <c r="F314" s="27" t="n"/>
      <c r="G314" s="23" t="n"/>
      <c r="H314" s="27" t="n"/>
      <c r="I314" s="27" t="n"/>
      <c r="J314" s="27" t="n"/>
      <c r="K314" s="23" t="n"/>
      <c r="L314" s="29" t="n"/>
      <c r="M314" s="29" t="n"/>
      <c r="N314" s="30">
        <f>IF($A314="","",IF($M314="",TODAY()-$B314,$M314-$B314))</f>
        <v/>
      </c>
      <c r="O314" s="30">
        <f>IF(OR($A314="",$L314=""),"",IF(OR($K314="Resolved",$K314="Will not fix"),"Closed",IF(TODAY()&gt;$L314,"OVERDUE","On time")))</f>
        <v/>
      </c>
      <c r="P314" s="27" t="n"/>
    </row>
    <row r="315">
      <c r="A315" s="27" t="n"/>
      <c r="B315" s="29" t="n"/>
      <c r="C315" s="27" t="n"/>
      <c r="D315" s="27" t="n"/>
      <c r="E315" s="27" t="n"/>
      <c r="F315" s="27" t="n"/>
      <c r="G315" s="23" t="n"/>
      <c r="H315" s="27" t="n"/>
      <c r="I315" s="27" t="n"/>
      <c r="J315" s="27" t="n"/>
      <c r="K315" s="23" t="n"/>
      <c r="L315" s="29" t="n"/>
      <c r="M315" s="29" t="n"/>
      <c r="N315" s="30">
        <f>IF($A315="","",IF($M315="",TODAY()-$B315,$M315-$B315))</f>
        <v/>
      </c>
      <c r="O315" s="30">
        <f>IF(OR($A315="",$L315=""),"",IF(OR($K315="Resolved",$K315="Will not fix"),"Closed",IF(TODAY()&gt;$L315,"OVERDUE","On time")))</f>
        <v/>
      </c>
      <c r="P315" s="27" t="n"/>
    </row>
    <row r="316">
      <c r="A316" s="27" t="n"/>
      <c r="B316" s="29" t="n"/>
      <c r="C316" s="27" t="n"/>
      <c r="D316" s="27" t="n"/>
      <c r="E316" s="27" t="n"/>
      <c r="F316" s="27" t="n"/>
      <c r="G316" s="23" t="n"/>
      <c r="H316" s="27" t="n"/>
      <c r="I316" s="27" t="n"/>
      <c r="J316" s="27" t="n"/>
      <c r="K316" s="23" t="n"/>
      <c r="L316" s="29" t="n"/>
      <c r="M316" s="29" t="n"/>
      <c r="N316" s="30">
        <f>IF($A316="","",IF($M316="",TODAY()-$B316,$M316-$B316))</f>
        <v/>
      </c>
      <c r="O316" s="30">
        <f>IF(OR($A316="",$L316=""),"",IF(OR($K316="Resolved",$K316="Will not fix"),"Closed",IF(TODAY()&gt;$L316,"OVERDUE","On time")))</f>
        <v/>
      </c>
      <c r="P316" s="27" t="n"/>
    </row>
    <row r="317">
      <c r="A317" s="27" t="n"/>
      <c r="B317" s="29" t="n"/>
      <c r="C317" s="27" t="n"/>
      <c r="D317" s="27" t="n"/>
      <c r="E317" s="27" t="n"/>
      <c r="F317" s="27" t="n"/>
      <c r="G317" s="23" t="n"/>
      <c r="H317" s="27" t="n"/>
      <c r="I317" s="27" t="n"/>
      <c r="J317" s="27" t="n"/>
      <c r="K317" s="23" t="n"/>
      <c r="L317" s="29" t="n"/>
      <c r="M317" s="29" t="n"/>
      <c r="N317" s="30">
        <f>IF($A317="","",IF($M317="",TODAY()-$B317,$M317-$B317))</f>
        <v/>
      </c>
      <c r="O317" s="30">
        <f>IF(OR($A317="",$L317=""),"",IF(OR($K317="Resolved",$K317="Will not fix"),"Closed",IF(TODAY()&gt;$L317,"OVERDUE","On time")))</f>
        <v/>
      </c>
      <c r="P317" s="27" t="n"/>
    </row>
    <row r="318">
      <c r="A318" s="27" t="n"/>
      <c r="B318" s="29" t="n"/>
      <c r="C318" s="27" t="n"/>
      <c r="D318" s="27" t="n"/>
      <c r="E318" s="27" t="n"/>
      <c r="F318" s="27" t="n"/>
      <c r="G318" s="23" t="n"/>
      <c r="H318" s="27" t="n"/>
      <c r="I318" s="27" t="n"/>
      <c r="J318" s="27" t="n"/>
      <c r="K318" s="23" t="n"/>
      <c r="L318" s="29" t="n"/>
      <c r="M318" s="29" t="n"/>
      <c r="N318" s="30">
        <f>IF($A318="","",IF($M318="",TODAY()-$B318,$M318-$B318))</f>
        <v/>
      </c>
      <c r="O318" s="30">
        <f>IF(OR($A318="",$L318=""),"",IF(OR($K318="Resolved",$K318="Will not fix"),"Closed",IF(TODAY()&gt;$L318,"OVERDUE","On time")))</f>
        <v/>
      </c>
      <c r="P318" s="27" t="n"/>
    </row>
    <row r="319">
      <c r="A319" s="27" t="n"/>
      <c r="B319" s="29" t="n"/>
      <c r="C319" s="27" t="n"/>
      <c r="D319" s="27" t="n"/>
      <c r="E319" s="27" t="n"/>
      <c r="F319" s="27" t="n"/>
      <c r="G319" s="23" t="n"/>
      <c r="H319" s="27" t="n"/>
      <c r="I319" s="27" t="n"/>
      <c r="J319" s="27" t="n"/>
      <c r="K319" s="23" t="n"/>
      <c r="L319" s="29" t="n"/>
      <c r="M319" s="29" t="n"/>
      <c r="N319" s="30">
        <f>IF($A319="","",IF($M319="",TODAY()-$B319,$M319-$B319))</f>
        <v/>
      </c>
      <c r="O319" s="30">
        <f>IF(OR($A319="",$L319=""),"",IF(OR($K319="Resolved",$K319="Will not fix"),"Closed",IF(TODAY()&gt;$L319,"OVERDUE","On time")))</f>
        <v/>
      </c>
      <c r="P319" s="27" t="n"/>
    </row>
    <row r="320">
      <c r="A320" s="27" t="n"/>
      <c r="B320" s="29" t="n"/>
      <c r="C320" s="27" t="n"/>
      <c r="D320" s="27" t="n"/>
      <c r="E320" s="27" t="n"/>
      <c r="F320" s="27" t="n"/>
      <c r="G320" s="23" t="n"/>
      <c r="H320" s="27" t="n"/>
      <c r="I320" s="27" t="n"/>
      <c r="J320" s="27" t="n"/>
      <c r="K320" s="23" t="n"/>
      <c r="L320" s="29" t="n"/>
      <c r="M320" s="29" t="n"/>
      <c r="N320" s="30">
        <f>IF($A320="","",IF($M320="",TODAY()-$B320,$M320-$B320))</f>
        <v/>
      </c>
      <c r="O320" s="30">
        <f>IF(OR($A320="",$L320=""),"",IF(OR($K320="Resolved",$K320="Will not fix"),"Closed",IF(TODAY()&gt;$L320,"OVERDUE","On time")))</f>
        <v/>
      </c>
      <c r="P320" s="27" t="n"/>
    </row>
    <row r="321">
      <c r="A321" s="27" t="n"/>
      <c r="B321" s="29" t="n"/>
      <c r="C321" s="27" t="n"/>
      <c r="D321" s="27" t="n"/>
      <c r="E321" s="27" t="n"/>
      <c r="F321" s="27" t="n"/>
      <c r="G321" s="23" t="n"/>
      <c r="H321" s="27" t="n"/>
      <c r="I321" s="27" t="n"/>
      <c r="J321" s="27" t="n"/>
      <c r="K321" s="23" t="n"/>
      <c r="L321" s="29" t="n"/>
      <c r="M321" s="29" t="n"/>
      <c r="N321" s="30">
        <f>IF($A321="","",IF($M321="",TODAY()-$B321,$M321-$B321))</f>
        <v/>
      </c>
      <c r="O321" s="30">
        <f>IF(OR($A321="",$L321=""),"",IF(OR($K321="Resolved",$K321="Will not fix"),"Closed",IF(TODAY()&gt;$L321,"OVERDUE","On time")))</f>
        <v/>
      </c>
      <c r="P321" s="27" t="n"/>
    </row>
    <row r="322">
      <c r="A322" s="27" t="n"/>
      <c r="B322" s="29" t="n"/>
      <c r="C322" s="27" t="n"/>
      <c r="D322" s="27" t="n"/>
      <c r="E322" s="27" t="n"/>
      <c r="F322" s="27" t="n"/>
      <c r="G322" s="23" t="n"/>
      <c r="H322" s="27" t="n"/>
      <c r="I322" s="27" t="n"/>
      <c r="J322" s="27" t="n"/>
      <c r="K322" s="23" t="n"/>
      <c r="L322" s="29" t="n"/>
      <c r="M322" s="29" t="n"/>
      <c r="N322" s="30">
        <f>IF($A322="","",IF($M322="",TODAY()-$B322,$M322-$B322))</f>
        <v/>
      </c>
      <c r="O322" s="30">
        <f>IF(OR($A322="",$L322=""),"",IF(OR($K322="Resolved",$K322="Will not fix"),"Closed",IF(TODAY()&gt;$L322,"OVERDUE","On time")))</f>
        <v/>
      </c>
      <c r="P322" s="27" t="n"/>
    </row>
    <row r="323">
      <c r="A323" s="27" t="n"/>
      <c r="B323" s="29" t="n"/>
      <c r="C323" s="27" t="n"/>
      <c r="D323" s="27" t="n"/>
      <c r="E323" s="27" t="n"/>
      <c r="F323" s="27" t="n"/>
      <c r="G323" s="23" t="n"/>
      <c r="H323" s="27" t="n"/>
      <c r="I323" s="27" t="n"/>
      <c r="J323" s="27" t="n"/>
      <c r="K323" s="23" t="n"/>
      <c r="L323" s="29" t="n"/>
      <c r="M323" s="29" t="n"/>
      <c r="N323" s="30">
        <f>IF($A323="","",IF($M323="",TODAY()-$B323,$M323-$B323))</f>
        <v/>
      </c>
      <c r="O323" s="30">
        <f>IF(OR($A323="",$L323=""),"",IF(OR($K323="Resolved",$K323="Will not fix"),"Closed",IF(TODAY()&gt;$L323,"OVERDUE","On time")))</f>
        <v/>
      </c>
      <c r="P323" s="27" t="n"/>
    </row>
    <row r="324">
      <c r="A324" s="27" t="n"/>
      <c r="B324" s="29" t="n"/>
      <c r="C324" s="27" t="n"/>
      <c r="D324" s="27" t="n"/>
      <c r="E324" s="27" t="n"/>
      <c r="F324" s="27" t="n"/>
      <c r="G324" s="23" t="n"/>
      <c r="H324" s="27" t="n"/>
      <c r="I324" s="27" t="n"/>
      <c r="J324" s="27" t="n"/>
      <c r="K324" s="23" t="n"/>
      <c r="L324" s="29" t="n"/>
      <c r="M324" s="29" t="n"/>
      <c r="N324" s="30">
        <f>IF($A324="","",IF($M324="",TODAY()-$B324,$M324-$B324))</f>
        <v/>
      </c>
      <c r="O324" s="30">
        <f>IF(OR($A324="",$L324=""),"",IF(OR($K324="Resolved",$K324="Will not fix"),"Closed",IF(TODAY()&gt;$L324,"OVERDUE","On time")))</f>
        <v/>
      </c>
      <c r="P324" s="27" t="n"/>
    </row>
    <row r="325">
      <c r="A325" s="27" t="n"/>
      <c r="B325" s="29" t="n"/>
      <c r="C325" s="27" t="n"/>
      <c r="D325" s="27" t="n"/>
      <c r="E325" s="27" t="n"/>
      <c r="F325" s="27" t="n"/>
      <c r="G325" s="23" t="n"/>
      <c r="H325" s="27" t="n"/>
      <c r="I325" s="27" t="n"/>
      <c r="J325" s="27" t="n"/>
      <c r="K325" s="23" t="n"/>
      <c r="L325" s="29" t="n"/>
      <c r="M325" s="29" t="n"/>
      <c r="N325" s="30">
        <f>IF($A325="","",IF($M325="",TODAY()-$B325,$M325-$B325))</f>
        <v/>
      </c>
      <c r="O325" s="30">
        <f>IF(OR($A325="",$L325=""),"",IF(OR($K325="Resolved",$K325="Will not fix"),"Closed",IF(TODAY()&gt;$L325,"OVERDUE","On time")))</f>
        <v/>
      </c>
      <c r="P325" s="27" t="n"/>
    </row>
    <row r="326">
      <c r="A326" s="27" t="n"/>
      <c r="B326" s="29" t="n"/>
      <c r="C326" s="27" t="n"/>
      <c r="D326" s="27" t="n"/>
      <c r="E326" s="27" t="n"/>
      <c r="F326" s="27" t="n"/>
      <c r="G326" s="23" t="n"/>
      <c r="H326" s="27" t="n"/>
      <c r="I326" s="27" t="n"/>
      <c r="J326" s="27" t="n"/>
      <c r="K326" s="23" t="n"/>
      <c r="L326" s="29" t="n"/>
      <c r="M326" s="29" t="n"/>
      <c r="N326" s="30">
        <f>IF($A326="","",IF($M326="",TODAY()-$B326,$M326-$B326))</f>
        <v/>
      </c>
      <c r="O326" s="30">
        <f>IF(OR($A326="",$L326=""),"",IF(OR($K326="Resolved",$K326="Will not fix"),"Closed",IF(TODAY()&gt;$L326,"OVERDUE","On time")))</f>
        <v/>
      </c>
      <c r="P326" s="27" t="n"/>
    </row>
    <row r="327">
      <c r="A327" s="27" t="n"/>
      <c r="B327" s="29" t="n"/>
      <c r="C327" s="27" t="n"/>
      <c r="D327" s="27" t="n"/>
      <c r="E327" s="27" t="n"/>
      <c r="F327" s="27" t="n"/>
      <c r="G327" s="23" t="n"/>
      <c r="H327" s="27" t="n"/>
      <c r="I327" s="27" t="n"/>
      <c r="J327" s="27" t="n"/>
      <c r="K327" s="23" t="n"/>
      <c r="L327" s="29" t="n"/>
      <c r="M327" s="29" t="n"/>
      <c r="N327" s="30">
        <f>IF($A327="","",IF($M327="",TODAY()-$B327,$M327-$B327))</f>
        <v/>
      </c>
      <c r="O327" s="30">
        <f>IF(OR($A327="",$L327=""),"",IF(OR($K327="Resolved",$K327="Will not fix"),"Closed",IF(TODAY()&gt;$L327,"OVERDUE","On time")))</f>
        <v/>
      </c>
      <c r="P327" s="27" t="n"/>
    </row>
    <row r="328">
      <c r="A328" s="27" t="n"/>
      <c r="B328" s="29" t="n"/>
      <c r="C328" s="27" t="n"/>
      <c r="D328" s="27" t="n"/>
      <c r="E328" s="27" t="n"/>
      <c r="F328" s="27" t="n"/>
      <c r="G328" s="23" t="n"/>
      <c r="H328" s="27" t="n"/>
      <c r="I328" s="27" t="n"/>
      <c r="J328" s="27" t="n"/>
      <c r="K328" s="23" t="n"/>
      <c r="L328" s="29" t="n"/>
      <c r="M328" s="29" t="n"/>
      <c r="N328" s="30">
        <f>IF($A328="","",IF($M328="",TODAY()-$B328,$M328-$B328))</f>
        <v/>
      </c>
      <c r="O328" s="30">
        <f>IF(OR($A328="",$L328=""),"",IF(OR($K328="Resolved",$K328="Will not fix"),"Closed",IF(TODAY()&gt;$L328,"OVERDUE","On time")))</f>
        <v/>
      </c>
      <c r="P328" s="27" t="n"/>
    </row>
    <row r="329">
      <c r="A329" s="27" t="n"/>
      <c r="B329" s="29" t="n"/>
      <c r="C329" s="27" t="n"/>
      <c r="D329" s="27" t="n"/>
      <c r="E329" s="27" t="n"/>
      <c r="F329" s="27" t="n"/>
      <c r="G329" s="23" t="n"/>
      <c r="H329" s="27" t="n"/>
      <c r="I329" s="27" t="n"/>
      <c r="J329" s="27" t="n"/>
      <c r="K329" s="23" t="n"/>
      <c r="L329" s="29" t="n"/>
      <c r="M329" s="29" t="n"/>
      <c r="N329" s="30">
        <f>IF($A329="","",IF($M329="",TODAY()-$B329,$M329-$B329))</f>
        <v/>
      </c>
      <c r="O329" s="30">
        <f>IF(OR($A329="",$L329=""),"",IF(OR($K329="Resolved",$K329="Will not fix"),"Closed",IF(TODAY()&gt;$L329,"OVERDUE","On time")))</f>
        <v/>
      </c>
      <c r="P329" s="27" t="n"/>
    </row>
    <row r="330">
      <c r="A330" s="27" t="n"/>
      <c r="B330" s="29" t="n"/>
      <c r="C330" s="27" t="n"/>
      <c r="D330" s="27" t="n"/>
      <c r="E330" s="27" t="n"/>
      <c r="F330" s="27" t="n"/>
      <c r="G330" s="23" t="n"/>
      <c r="H330" s="27" t="n"/>
      <c r="I330" s="27" t="n"/>
      <c r="J330" s="27" t="n"/>
      <c r="K330" s="23" t="n"/>
      <c r="L330" s="29" t="n"/>
      <c r="M330" s="29" t="n"/>
      <c r="N330" s="30">
        <f>IF($A330="","",IF($M330="",TODAY()-$B330,$M330-$B330))</f>
        <v/>
      </c>
      <c r="O330" s="30">
        <f>IF(OR($A330="",$L330=""),"",IF(OR($K330="Resolved",$K330="Will not fix"),"Closed",IF(TODAY()&gt;$L330,"OVERDUE","On time")))</f>
        <v/>
      </c>
      <c r="P330" s="27" t="n"/>
    </row>
    <row r="331">
      <c r="A331" s="27" t="n"/>
      <c r="B331" s="29" t="n"/>
      <c r="C331" s="27" t="n"/>
      <c r="D331" s="27" t="n"/>
      <c r="E331" s="27" t="n"/>
      <c r="F331" s="27" t="n"/>
      <c r="G331" s="23" t="n"/>
      <c r="H331" s="27" t="n"/>
      <c r="I331" s="27" t="n"/>
      <c r="J331" s="27" t="n"/>
      <c r="K331" s="23" t="n"/>
      <c r="L331" s="29" t="n"/>
      <c r="M331" s="29" t="n"/>
      <c r="N331" s="30">
        <f>IF($A331="","",IF($M331="",TODAY()-$B331,$M331-$B331))</f>
        <v/>
      </c>
      <c r="O331" s="30">
        <f>IF(OR($A331="",$L331=""),"",IF(OR($K331="Resolved",$K331="Will not fix"),"Closed",IF(TODAY()&gt;$L331,"OVERDUE","On time")))</f>
        <v/>
      </c>
      <c r="P331" s="27" t="n"/>
    </row>
    <row r="332">
      <c r="A332" s="27" t="n"/>
      <c r="B332" s="29" t="n"/>
      <c r="C332" s="27" t="n"/>
      <c r="D332" s="27" t="n"/>
      <c r="E332" s="27" t="n"/>
      <c r="F332" s="27" t="n"/>
      <c r="G332" s="23" t="n"/>
      <c r="H332" s="27" t="n"/>
      <c r="I332" s="27" t="n"/>
      <c r="J332" s="27" t="n"/>
      <c r="K332" s="23" t="n"/>
      <c r="L332" s="29" t="n"/>
      <c r="M332" s="29" t="n"/>
      <c r="N332" s="30">
        <f>IF($A332="","",IF($M332="",TODAY()-$B332,$M332-$B332))</f>
        <v/>
      </c>
      <c r="O332" s="30">
        <f>IF(OR($A332="",$L332=""),"",IF(OR($K332="Resolved",$K332="Will not fix"),"Closed",IF(TODAY()&gt;$L332,"OVERDUE","On time")))</f>
        <v/>
      </c>
      <c r="P332" s="27" t="n"/>
    </row>
    <row r="333">
      <c r="A333" s="27" t="n"/>
      <c r="B333" s="29" t="n"/>
      <c r="C333" s="27" t="n"/>
      <c r="D333" s="27" t="n"/>
      <c r="E333" s="27" t="n"/>
      <c r="F333" s="27" t="n"/>
      <c r="G333" s="23" t="n"/>
      <c r="H333" s="27" t="n"/>
      <c r="I333" s="27" t="n"/>
      <c r="J333" s="27" t="n"/>
      <c r="K333" s="23" t="n"/>
      <c r="L333" s="29" t="n"/>
      <c r="M333" s="29" t="n"/>
      <c r="N333" s="30">
        <f>IF($A333="","",IF($M333="",TODAY()-$B333,$M333-$B333))</f>
        <v/>
      </c>
      <c r="O333" s="30">
        <f>IF(OR($A333="",$L333=""),"",IF(OR($K333="Resolved",$K333="Will not fix"),"Closed",IF(TODAY()&gt;$L333,"OVERDUE","On time")))</f>
        <v/>
      </c>
      <c r="P333" s="27" t="n"/>
    </row>
    <row r="334">
      <c r="A334" s="27" t="n"/>
      <c r="B334" s="29" t="n"/>
      <c r="C334" s="27" t="n"/>
      <c r="D334" s="27" t="n"/>
      <c r="E334" s="27" t="n"/>
      <c r="F334" s="27" t="n"/>
      <c r="G334" s="23" t="n"/>
      <c r="H334" s="27" t="n"/>
      <c r="I334" s="27" t="n"/>
      <c r="J334" s="27" t="n"/>
      <c r="K334" s="23" t="n"/>
      <c r="L334" s="29" t="n"/>
      <c r="M334" s="29" t="n"/>
      <c r="N334" s="30">
        <f>IF($A334="","",IF($M334="",TODAY()-$B334,$M334-$B334))</f>
        <v/>
      </c>
      <c r="O334" s="30">
        <f>IF(OR($A334="",$L334=""),"",IF(OR($K334="Resolved",$K334="Will not fix"),"Closed",IF(TODAY()&gt;$L334,"OVERDUE","On time")))</f>
        <v/>
      </c>
      <c r="P334" s="27" t="n"/>
    </row>
    <row r="335">
      <c r="A335" s="27" t="n"/>
      <c r="B335" s="29" t="n"/>
      <c r="C335" s="27" t="n"/>
      <c r="D335" s="27" t="n"/>
      <c r="E335" s="27" t="n"/>
      <c r="F335" s="27" t="n"/>
      <c r="G335" s="23" t="n"/>
      <c r="H335" s="27" t="n"/>
      <c r="I335" s="27" t="n"/>
      <c r="J335" s="27" t="n"/>
      <c r="K335" s="23" t="n"/>
      <c r="L335" s="29" t="n"/>
      <c r="M335" s="29" t="n"/>
      <c r="N335" s="30">
        <f>IF($A335="","",IF($M335="",TODAY()-$B335,$M335-$B335))</f>
        <v/>
      </c>
      <c r="O335" s="30">
        <f>IF(OR($A335="",$L335=""),"",IF(OR($K335="Resolved",$K335="Will not fix"),"Closed",IF(TODAY()&gt;$L335,"OVERDUE","On time")))</f>
        <v/>
      </c>
      <c r="P335" s="27" t="n"/>
    </row>
    <row r="336">
      <c r="A336" s="27" t="n"/>
      <c r="B336" s="29" t="n"/>
      <c r="C336" s="27" t="n"/>
      <c r="D336" s="27" t="n"/>
      <c r="E336" s="27" t="n"/>
      <c r="F336" s="27" t="n"/>
      <c r="G336" s="23" t="n"/>
      <c r="H336" s="27" t="n"/>
      <c r="I336" s="27" t="n"/>
      <c r="J336" s="27" t="n"/>
      <c r="K336" s="23" t="n"/>
      <c r="L336" s="29" t="n"/>
      <c r="M336" s="29" t="n"/>
      <c r="N336" s="30">
        <f>IF($A336="","",IF($M336="",TODAY()-$B336,$M336-$B336))</f>
        <v/>
      </c>
      <c r="O336" s="30">
        <f>IF(OR($A336="",$L336=""),"",IF(OR($K336="Resolved",$K336="Will not fix"),"Closed",IF(TODAY()&gt;$L336,"OVERDUE","On time")))</f>
        <v/>
      </c>
      <c r="P336" s="27" t="n"/>
    </row>
    <row r="337">
      <c r="A337" s="27" t="n"/>
      <c r="B337" s="29" t="n"/>
      <c r="C337" s="27" t="n"/>
      <c r="D337" s="27" t="n"/>
      <c r="E337" s="27" t="n"/>
      <c r="F337" s="27" t="n"/>
      <c r="G337" s="23" t="n"/>
      <c r="H337" s="27" t="n"/>
      <c r="I337" s="27" t="n"/>
      <c r="J337" s="27" t="n"/>
      <c r="K337" s="23" t="n"/>
      <c r="L337" s="29" t="n"/>
      <c r="M337" s="29" t="n"/>
      <c r="N337" s="30">
        <f>IF($A337="","",IF($M337="",TODAY()-$B337,$M337-$B337))</f>
        <v/>
      </c>
      <c r="O337" s="30">
        <f>IF(OR($A337="",$L337=""),"",IF(OR($K337="Resolved",$K337="Will not fix"),"Closed",IF(TODAY()&gt;$L337,"OVERDUE","On time")))</f>
        <v/>
      </c>
      <c r="P337" s="27" t="n"/>
    </row>
    <row r="338">
      <c r="A338" s="27" t="n"/>
      <c r="B338" s="29" t="n"/>
      <c r="C338" s="27" t="n"/>
      <c r="D338" s="27" t="n"/>
      <c r="E338" s="27" t="n"/>
      <c r="F338" s="27" t="n"/>
      <c r="G338" s="23" t="n"/>
      <c r="H338" s="27" t="n"/>
      <c r="I338" s="27" t="n"/>
      <c r="J338" s="27" t="n"/>
      <c r="K338" s="23" t="n"/>
      <c r="L338" s="29" t="n"/>
      <c r="M338" s="29" t="n"/>
      <c r="N338" s="30">
        <f>IF($A338="","",IF($M338="",TODAY()-$B338,$M338-$B338))</f>
        <v/>
      </c>
      <c r="O338" s="30">
        <f>IF(OR($A338="",$L338=""),"",IF(OR($K338="Resolved",$K338="Will not fix"),"Closed",IF(TODAY()&gt;$L338,"OVERDUE","On time")))</f>
        <v/>
      </c>
      <c r="P338" s="27" t="n"/>
    </row>
    <row r="339">
      <c r="A339" s="27" t="n"/>
      <c r="B339" s="29" t="n"/>
      <c r="C339" s="27" t="n"/>
      <c r="D339" s="27" t="n"/>
      <c r="E339" s="27" t="n"/>
      <c r="F339" s="27" t="n"/>
      <c r="G339" s="23" t="n"/>
      <c r="H339" s="27" t="n"/>
      <c r="I339" s="27" t="n"/>
      <c r="J339" s="27" t="n"/>
      <c r="K339" s="23" t="n"/>
      <c r="L339" s="29" t="n"/>
      <c r="M339" s="29" t="n"/>
      <c r="N339" s="30">
        <f>IF($A339="","",IF($M339="",TODAY()-$B339,$M339-$B339))</f>
        <v/>
      </c>
      <c r="O339" s="30">
        <f>IF(OR($A339="",$L339=""),"",IF(OR($K339="Resolved",$K339="Will not fix"),"Closed",IF(TODAY()&gt;$L339,"OVERDUE","On time")))</f>
        <v/>
      </c>
      <c r="P339" s="27" t="n"/>
    </row>
    <row r="340">
      <c r="A340" s="27" t="n"/>
      <c r="B340" s="29" t="n"/>
      <c r="C340" s="27" t="n"/>
      <c r="D340" s="27" t="n"/>
      <c r="E340" s="27" t="n"/>
      <c r="F340" s="27" t="n"/>
      <c r="G340" s="23" t="n"/>
      <c r="H340" s="27" t="n"/>
      <c r="I340" s="27" t="n"/>
      <c r="J340" s="27" t="n"/>
      <c r="K340" s="23" t="n"/>
      <c r="L340" s="29" t="n"/>
      <c r="M340" s="29" t="n"/>
      <c r="N340" s="30">
        <f>IF($A340="","",IF($M340="",TODAY()-$B340,$M340-$B340))</f>
        <v/>
      </c>
      <c r="O340" s="30">
        <f>IF(OR($A340="",$L340=""),"",IF(OR($K340="Resolved",$K340="Will not fix"),"Closed",IF(TODAY()&gt;$L340,"OVERDUE","On time")))</f>
        <v/>
      </c>
      <c r="P340" s="27" t="n"/>
    </row>
    <row r="341">
      <c r="A341" s="27" t="n"/>
      <c r="B341" s="29" t="n"/>
      <c r="C341" s="27" t="n"/>
      <c r="D341" s="27" t="n"/>
      <c r="E341" s="27" t="n"/>
      <c r="F341" s="27" t="n"/>
      <c r="G341" s="23" t="n"/>
      <c r="H341" s="27" t="n"/>
      <c r="I341" s="27" t="n"/>
      <c r="J341" s="27" t="n"/>
      <c r="K341" s="23" t="n"/>
      <c r="L341" s="29" t="n"/>
      <c r="M341" s="29" t="n"/>
      <c r="N341" s="30">
        <f>IF($A341="","",IF($M341="",TODAY()-$B341,$M341-$B341))</f>
        <v/>
      </c>
      <c r="O341" s="30">
        <f>IF(OR($A341="",$L341=""),"",IF(OR($K341="Resolved",$K341="Will not fix"),"Closed",IF(TODAY()&gt;$L341,"OVERDUE","On time")))</f>
        <v/>
      </c>
      <c r="P341" s="27" t="n"/>
    </row>
    <row r="342">
      <c r="A342" s="27" t="n"/>
      <c r="B342" s="29" t="n"/>
      <c r="C342" s="27" t="n"/>
      <c r="D342" s="27" t="n"/>
      <c r="E342" s="27" t="n"/>
      <c r="F342" s="27" t="n"/>
      <c r="G342" s="23" t="n"/>
      <c r="H342" s="27" t="n"/>
      <c r="I342" s="27" t="n"/>
      <c r="J342" s="27" t="n"/>
      <c r="K342" s="23" t="n"/>
      <c r="L342" s="29" t="n"/>
      <c r="M342" s="29" t="n"/>
      <c r="N342" s="30">
        <f>IF($A342="","",IF($M342="",TODAY()-$B342,$M342-$B342))</f>
        <v/>
      </c>
      <c r="O342" s="30">
        <f>IF(OR($A342="",$L342=""),"",IF(OR($K342="Resolved",$K342="Will not fix"),"Closed",IF(TODAY()&gt;$L342,"OVERDUE","On time")))</f>
        <v/>
      </c>
      <c r="P342" s="27" t="n"/>
    </row>
    <row r="343">
      <c r="A343" s="27" t="n"/>
      <c r="B343" s="29" t="n"/>
      <c r="C343" s="27" t="n"/>
      <c r="D343" s="27" t="n"/>
      <c r="E343" s="27" t="n"/>
      <c r="F343" s="27" t="n"/>
      <c r="G343" s="23" t="n"/>
      <c r="H343" s="27" t="n"/>
      <c r="I343" s="27" t="n"/>
      <c r="J343" s="27" t="n"/>
      <c r="K343" s="23" t="n"/>
      <c r="L343" s="29" t="n"/>
      <c r="M343" s="29" t="n"/>
      <c r="N343" s="30">
        <f>IF($A343="","",IF($M343="",TODAY()-$B343,$M343-$B343))</f>
        <v/>
      </c>
      <c r="O343" s="30">
        <f>IF(OR($A343="",$L343=""),"",IF(OR($K343="Resolved",$K343="Will not fix"),"Closed",IF(TODAY()&gt;$L343,"OVERDUE","On time")))</f>
        <v/>
      </c>
      <c r="P343" s="27" t="n"/>
    </row>
    <row r="344">
      <c r="A344" s="27" t="n"/>
      <c r="B344" s="29" t="n"/>
      <c r="C344" s="27" t="n"/>
      <c r="D344" s="27" t="n"/>
      <c r="E344" s="27" t="n"/>
      <c r="F344" s="27" t="n"/>
      <c r="G344" s="23" t="n"/>
      <c r="H344" s="27" t="n"/>
      <c r="I344" s="27" t="n"/>
      <c r="J344" s="27" t="n"/>
      <c r="K344" s="23" t="n"/>
      <c r="L344" s="29" t="n"/>
      <c r="M344" s="29" t="n"/>
      <c r="N344" s="30">
        <f>IF($A344="","",IF($M344="",TODAY()-$B344,$M344-$B344))</f>
        <v/>
      </c>
      <c r="O344" s="30">
        <f>IF(OR($A344="",$L344=""),"",IF(OR($K344="Resolved",$K344="Will not fix"),"Closed",IF(TODAY()&gt;$L344,"OVERDUE","On time")))</f>
        <v/>
      </c>
      <c r="P344" s="27" t="n"/>
    </row>
    <row r="345">
      <c r="A345" s="27" t="n"/>
      <c r="B345" s="29" t="n"/>
      <c r="C345" s="27" t="n"/>
      <c r="D345" s="27" t="n"/>
      <c r="E345" s="27" t="n"/>
      <c r="F345" s="27" t="n"/>
      <c r="G345" s="23" t="n"/>
      <c r="H345" s="27" t="n"/>
      <c r="I345" s="27" t="n"/>
      <c r="J345" s="27" t="n"/>
      <c r="K345" s="23" t="n"/>
      <c r="L345" s="29" t="n"/>
      <c r="M345" s="29" t="n"/>
      <c r="N345" s="30">
        <f>IF($A345="","",IF($M345="",TODAY()-$B345,$M345-$B345))</f>
        <v/>
      </c>
      <c r="O345" s="30">
        <f>IF(OR($A345="",$L345=""),"",IF(OR($K345="Resolved",$K345="Will not fix"),"Closed",IF(TODAY()&gt;$L345,"OVERDUE","On time")))</f>
        <v/>
      </c>
      <c r="P345" s="27" t="n"/>
    </row>
    <row r="346">
      <c r="A346" s="27" t="n"/>
      <c r="B346" s="29" t="n"/>
      <c r="C346" s="27" t="n"/>
      <c r="D346" s="27" t="n"/>
      <c r="E346" s="27" t="n"/>
      <c r="F346" s="27" t="n"/>
      <c r="G346" s="23" t="n"/>
      <c r="H346" s="27" t="n"/>
      <c r="I346" s="27" t="n"/>
      <c r="J346" s="27" t="n"/>
      <c r="K346" s="23" t="n"/>
      <c r="L346" s="29" t="n"/>
      <c r="M346" s="29" t="n"/>
      <c r="N346" s="30">
        <f>IF($A346="","",IF($M346="",TODAY()-$B346,$M346-$B346))</f>
        <v/>
      </c>
      <c r="O346" s="30">
        <f>IF(OR($A346="",$L346=""),"",IF(OR($K346="Resolved",$K346="Will not fix"),"Closed",IF(TODAY()&gt;$L346,"OVERDUE","On time")))</f>
        <v/>
      </c>
      <c r="P346" s="27" t="n"/>
    </row>
    <row r="347">
      <c r="A347" s="27" t="n"/>
      <c r="B347" s="29" t="n"/>
      <c r="C347" s="27" t="n"/>
      <c r="D347" s="27" t="n"/>
      <c r="E347" s="27" t="n"/>
      <c r="F347" s="27" t="n"/>
      <c r="G347" s="23" t="n"/>
      <c r="H347" s="27" t="n"/>
      <c r="I347" s="27" t="n"/>
      <c r="J347" s="27" t="n"/>
      <c r="K347" s="23" t="n"/>
      <c r="L347" s="29" t="n"/>
      <c r="M347" s="29" t="n"/>
      <c r="N347" s="30">
        <f>IF($A347="","",IF($M347="",TODAY()-$B347,$M347-$B347))</f>
        <v/>
      </c>
      <c r="O347" s="30">
        <f>IF(OR($A347="",$L347=""),"",IF(OR($K347="Resolved",$K347="Will not fix"),"Closed",IF(TODAY()&gt;$L347,"OVERDUE","On time")))</f>
        <v/>
      </c>
      <c r="P347" s="27" t="n"/>
    </row>
    <row r="348">
      <c r="A348" s="27" t="n"/>
      <c r="B348" s="29" t="n"/>
      <c r="C348" s="27" t="n"/>
      <c r="D348" s="27" t="n"/>
      <c r="E348" s="27" t="n"/>
      <c r="F348" s="27" t="n"/>
      <c r="G348" s="23" t="n"/>
      <c r="H348" s="27" t="n"/>
      <c r="I348" s="27" t="n"/>
      <c r="J348" s="27" t="n"/>
      <c r="K348" s="23" t="n"/>
      <c r="L348" s="29" t="n"/>
      <c r="M348" s="29" t="n"/>
      <c r="N348" s="30">
        <f>IF($A348="","",IF($M348="",TODAY()-$B348,$M348-$B348))</f>
        <v/>
      </c>
      <c r="O348" s="30">
        <f>IF(OR($A348="",$L348=""),"",IF(OR($K348="Resolved",$K348="Will not fix"),"Closed",IF(TODAY()&gt;$L348,"OVERDUE","On time")))</f>
        <v/>
      </c>
      <c r="P348" s="27" t="n"/>
    </row>
    <row r="349">
      <c r="A349" s="27" t="n"/>
      <c r="B349" s="29" t="n"/>
      <c r="C349" s="27" t="n"/>
      <c r="D349" s="27" t="n"/>
      <c r="E349" s="27" t="n"/>
      <c r="F349" s="27" t="n"/>
      <c r="G349" s="23" t="n"/>
      <c r="H349" s="27" t="n"/>
      <c r="I349" s="27" t="n"/>
      <c r="J349" s="27" t="n"/>
      <c r="K349" s="23" t="n"/>
      <c r="L349" s="29" t="n"/>
      <c r="M349" s="29" t="n"/>
      <c r="N349" s="30">
        <f>IF($A349="","",IF($M349="",TODAY()-$B349,$M349-$B349))</f>
        <v/>
      </c>
      <c r="O349" s="30">
        <f>IF(OR($A349="",$L349=""),"",IF(OR($K349="Resolved",$K349="Will not fix"),"Closed",IF(TODAY()&gt;$L349,"OVERDUE","On time")))</f>
        <v/>
      </c>
      <c r="P349" s="27" t="n"/>
    </row>
    <row r="350">
      <c r="A350" s="27" t="n"/>
      <c r="B350" s="29" t="n"/>
      <c r="C350" s="27" t="n"/>
      <c r="D350" s="27" t="n"/>
      <c r="E350" s="27" t="n"/>
      <c r="F350" s="27" t="n"/>
      <c r="G350" s="23" t="n"/>
      <c r="H350" s="27" t="n"/>
      <c r="I350" s="27" t="n"/>
      <c r="J350" s="27" t="n"/>
      <c r="K350" s="23" t="n"/>
      <c r="L350" s="29" t="n"/>
      <c r="M350" s="29" t="n"/>
      <c r="N350" s="30">
        <f>IF($A350="","",IF($M350="",TODAY()-$B350,$M350-$B350))</f>
        <v/>
      </c>
      <c r="O350" s="30">
        <f>IF(OR($A350="",$L350=""),"",IF(OR($K350="Resolved",$K350="Will not fix"),"Closed",IF(TODAY()&gt;$L350,"OVERDUE","On time")))</f>
        <v/>
      </c>
      <c r="P350" s="27" t="n"/>
    </row>
    <row r="351">
      <c r="A351" s="27" t="n"/>
      <c r="B351" s="29" t="n"/>
      <c r="C351" s="27" t="n"/>
      <c r="D351" s="27" t="n"/>
      <c r="E351" s="27" t="n"/>
      <c r="F351" s="27" t="n"/>
      <c r="G351" s="23" t="n"/>
      <c r="H351" s="27" t="n"/>
      <c r="I351" s="27" t="n"/>
      <c r="J351" s="27" t="n"/>
      <c r="K351" s="23" t="n"/>
      <c r="L351" s="29" t="n"/>
      <c r="M351" s="29" t="n"/>
      <c r="N351" s="30">
        <f>IF($A351="","",IF($M351="",TODAY()-$B351,$M351-$B351))</f>
        <v/>
      </c>
      <c r="O351" s="30">
        <f>IF(OR($A351="",$L351=""),"",IF(OR($K351="Resolved",$K351="Will not fix"),"Closed",IF(TODAY()&gt;$L351,"OVERDUE","On time")))</f>
        <v/>
      </c>
      <c r="P351" s="27" t="n"/>
    </row>
    <row r="352">
      <c r="A352" s="27" t="n"/>
      <c r="B352" s="29" t="n"/>
      <c r="C352" s="27" t="n"/>
      <c r="D352" s="27" t="n"/>
      <c r="E352" s="27" t="n"/>
      <c r="F352" s="27" t="n"/>
      <c r="G352" s="23" t="n"/>
      <c r="H352" s="27" t="n"/>
      <c r="I352" s="27" t="n"/>
      <c r="J352" s="27" t="n"/>
      <c r="K352" s="23" t="n"/>
      <c r="L352" s="29" t="n"/>
      <c r="M352" s="29" t="n"/>
      <c r="N352" s="30">
        <f>IF($A352="","",IF($M352="",TODAY()-$B352,$M352-$B352))</f>
        <v/>
      </c>
      <c r="O352" s="30">
        <f>IF(OR($A352="",$L352=""),"",IF(OR($K352="Resolved",$K352="Will not fix"),"Closed",IF(TODAY()&gt;$L352,"OVERDUE","On time")))</f>
        <v/>
      </c>
      <c r="P352" s="27" t="n"/>
    </row>
    <row r="353">
      <c r="A353" s="27" t="n"/>
      <c r="B353" s="29" t="n"/>
      <c r="C353" s="27" t="n"/>
      <c r="D353" s="27" t="n"/>
      <c r="E353" s="27" t="n"/>
      <c r="F353" s="27" t="n"/>
      <c r="G353" s="23" t="n"/>
      <c r="H353" s="27" t="n"/>
      <c r="I353" s="27" t="n"/>
      <c r="J353" s="27" t="n"/>
      <c r="K353" s="23" t="n"/>
      <c r="L353" s="29" t="n"/>
      <c r="M353" s="29" t="n"/>
      <c r="N353" s="30">
        <f>IF($A353="","",IF($M353="",TODAY()-$B353,$M353-$B353))</f>
        <v/>
      </c>
      <c r="O353" s="30">
        <f>IF(OR($A353="",$L353=""),"",IF(OR($K353="Resolved",$K353="Will not fix"),"Closed",IF(TODAY()&gt;$L353,"OVERDUE","On time")))</f>
        <v/>
      </c>
      <c r="P353" s="27" t="n"/>
    </row>
    <row r="354">
      <c r="A354" s="27" t="n"/>
      <c r="B354" s="29" t="n"/>
      <c r="C354" s="27" t="n"/>
      <c r="D354" s="27" t="n"/>
      <c r="E354" s="27" t="n"/>
      <c r="F354" s="27" t="n"/>
      <c r="G354" s="23" t="n"/>
      <c r="H354" s="27" t="n"/>
      <c r="I354" s="27" t="n"/>
      <c r="J354" s="27" t="n"/>
      <c r="K354" s="23" t="n"/>
      <c r="L354" s="29" t="n"/>
      <c r="M354" s="29" t="n"/>
      <c r="N354" s="30">
        <f>IF($A354="","",IF($M354="",TODAY()-$B354,$M354-$B354))</f>
        <v/>
      </c>
      <c r="O354" s="30">
        <f>IF(OR($A354="",$L354=""),"",IF(OR($K354="Resolved",$K354="Will not fix"),"Closed",IF(TODAY()&gt;$L354,"OVERDUE","On time")))</f>
        <v/>
      </c>
      <c r="P354" s="27" t="n"/>
    </row>
    <row r="355">
      <c r="A355" s="27" t="n"/>
      <c r="B355" s="29" t="n"/>
      <c r="C355" s="27" t="n"/>
      <c r="D355" s="27" t="n"/>
      <c r="E355" s="27" t="n"/>
      <c r="F355" s="27" t="n"/>
      <c r="G355" s="23" t="n"/>
      <c r="H355" s="27" t="n"/>
      <c r="I355" s="27" t="n"/>
      <c r="J355" s="27" t="n"/>
      <c r="K355" s="23" t="n"/>
      <c r="L355" s="29" t="n"/>
      <c r="M355" s="29" t="n"/>
      <c r="N355" s="30">
        <f>IF($A355="","",IF($M355="",TODAY()-$B355,$M355-$B355))</f>
        <v/>
      </c>
      <c r="O355" s="30">
        <f>IF(OR($A355="",$L355=""),"",IF(OR($K355="Resolved",$K355="Will not fix"),"Closed",IF(TODAY()&gt;$L355,"OVERDUE","On time")))</f>
        <v/>
      </c>
      <c r="P355" s="27" t="n"/>
    </row>
    <row r="356">
      <c r="A356" s="27" t="n"/>
      <c r="B356" s="29" t="n"/>
      <c r="C356" s="27" t="n"/>
      <c r="D356" s="27" t="n"/>
      <c r="E356" s="27" t="n"/>
      <c r="F356" s="27" t="n"/>
      <c r="G356" s="23" t="n"/>
      <c r="H356" s="27" t="n"/>
      <c r="I356" s="27" t="n"/>
      <c r="J356" s="27" t="n"/>
      <c r="K356" s="23" t="n"/>
      <c r="L356" s="29" t="n"/>
      <c r="M356" s="29" t="n"/>
      <c r="N356" s="30">
        <f>IF($A356="","",IF($M356="",TODAY()-$B356,$M356-$B356))</f>
        <v/>
      </c>
      <c r="O356" s="30">
        <f>IF(OR($A356="",$L356=""),"",IF(OR($K356="Resolved",$K356="Will not fix"),"Closed",IF(TODAY()&gt;$L356,"OVERDUE","On time")))</f>
        <v/>
      </c>
      <c r="P356" s="27" t="n"/>
    </row>
    <row r="357">
      <c r="A357" s="27" t="n"/>
      <c r="B357" s="29" t="n"/>
      <c r="C357" s="27" t="n"/>
      <c r="D357" s="27" t="n"/>
      <c r="E357" s="27" t="n"/>
      <c r="F357" s="27" t="n"/>
      <c r="G357" s="23" t="n"/>
      <c r="H357" s="27" t="n"/>
      <c r="I357" s="27" t="n"/>
      <c r="J357" s="27" t="n"/>
      <c r="K357" s="23" t="n"/>
      <c r="L357" s="29" t="n"/>
      <c r="M357" s="29" t="n"/>
      <c r="N357" s="30">
        <f>IF($A357="","",IF($M357="",TODAY()-$B357,$M357-$B357))</f>
        <v/>
      </c>
      <c r="O357" s="30">
        <f>IF(OR($A357="",$L357=""),"",IF(OR($K357="Resolved",$K357="Will not fix"),"Closed",IF(TODAY()&gt;$L357,"OVERDUE","On time")))</f>
        <v/>
      </c>
      <c r="P357" s="27" t="n"/>
    </row>
    <row r="358">
      <c r="A358" s="27" t="n"/>
      <c r="B358" s="29" t="n"/>
      <c r="C358" s="27" t="n"/>
      <c r="D358" s="27" t="n"/>
      <c r="E358" s="27" t="n"/>
      <c r="F358" s="27" t="n"/>
      <c r="G358" s="23" t="n"/>
      <c r="H358" s="27" t="n"/>
      <c r="I358" s="27" t="n"/>
      <c r="J358" s="27" t="n"/>
      <c r="K358" s="23" t="n"/>
      <c r="L358" s="29" t="n"/>
      <c r="M358" s="29" t="n"/>
      <c r="N358" s="30">
        <f>IF($A358="","",IF($M358="",TODAY()-$B358,$M358-$B358))</f>
        <v/>
      </c>
      <c r="O358" s="30">
        <f>IF(OR($A358="",$L358=""),"",IF(OR($K358="Resolved",$K358="Will not fix"),"Closed",IF(TODAY()&gt;$L358,"OVERDUE","On time")))</f>
        <v/>
      </c>
      <c r="P358" s="27" t="n"/>
    </row>
    <row r="359">
      <c r="A359" s="27" t="n"/>
      <c r="B359" s="29" t="n"/>
      <c r="C359" s="27" t="n"/>
      <c r="D359" s="27" t="n"/>
      <c r="E359" s="27" t="n"/>
      <c r="F359" s="27" t="n"/>
      <c r="G359" s="23" t="n"/>
      <c r="H359" s="27" t="n"/>
      <c r="I359" s="27" t="n"/>
      <c r="J359" s="27" t="n"/>
      <c r="K359" s="23" t="n"/>
      <c r="L359" s="29" t="n"/>
      <c r="M359" s="29" t="n"/>
      <c r="N359" s="30">
        <f>IF($A359="","",IF($M359="",TODAY()-$B359,$M359-$B359))</f>
        <v/>
      </c>
      <c r="O359" s="30">
        <f>IF(OR($A359="",$L359=""),"",IF(OR($K359="Resolved",$K359="Will not fix"),"Closed",IF(TODAY()&gt;$L359,"OVERDUE","On time")))</f>
        <v/>
      </c>
      <c r="P359" s="27" t="n"/>
    </row>
    <row r="360">
      <c r="A360" s="27" t="n"/>
      <c r="B360" s="29" t="n"/>
      <c r="C360" s="27" t="n"/>
      <c r="D360" s="27" t="n"/>
      <c r="E360" s="27" t="n"/>
      <c r="F360" s="27" t="n"/>
      <c r="G360" s="23" t="n"/>
      <c r="H360" s="27" t="n"/>
      <c r="I360" s="27" t="n"/>
      <c r="J360" s="27" t="n"/>
      <c r="K360" s="23" t="n"/>
      <c r="L360" s="29" t="n"/>
      <c r="M360" s="29" t="n"/>
      <c r="N360" s="30">
        <f>IF($A360="","",IF($M360="",TODAY()-$B360,$M360-$B360))</f>
        <v/>
      </c>
      <c r="O360" s="30">
        <f>IF(OR($A360="",$L360=""),"",IF(OR($K360="Resolved",$K360="Will not fix"),"Closed",IF(TODAY()&gt;$L360,"OVERDUE","On time")))</f>
        <v/>
      </c>
      <c r="P360" s="27" t="n"/>
    </row>
    <row r="361">
      <c r="A361" s="27" t="n"/>
      <c r="B361" s="29" t="n"/>
      <c r="C361" s="27" t="n"/>
      <c r="D361" s="27" t="n"/>
      <c r="E361" s="27" t="n"/>
      <c r="F361" s="27" t="n"/>
      <c r="G361" s="23" t="n"/>
      <c r="H361" s="27" t="n"/>
      <c r="I361" s="27" t="n"/>
      <c r="J361" s="27" t="n"/>
      <c r="K361" s="23" t="n"/>
      <c r="L361" s="29" t="n"/>
      <c r="M361" s="29" t="n"/>
      <c r="N361" s="30">
        <f>IF($A361="","",IF($M361="",TODAY()-$B361,$M361-$B361))</f>
        <v/>
      </c>
      <c r="O361" s="30">
        <f>IF(OR($A361="",$L361=""),"",IF(OR($K361="Resolved",$K361="Will not fix"),"Closed",IF(TODAY()&gt;$L361,"OVERDUE","On time")))</f>
        <v/>
      </c>
      <c r="P361" s="27" t="n"/>
    </row>
    <row r="362">
      <c r="A362" s="27" t="n"/>
      <c r="B362" s="29" t="n"/>
      <c r="C362" s="27" t="n"/>
      <c r="D362" s="27" t="n"/>
      <c r="E362" s="27" t="n"/>
      <c r="F362" s="27" t="n"/>
      <c r="G362" s="23" t="n"/>
      <c r="H362" s="27" t="n"/>
      <c r="I362" s="27" t="n"/>
      <c r="J362" s="27" t="n"/>
      <c r="K362" s="23" t="n"/>
      <c r="L362" s="29" t="n"/>
      <c r="M362" s="29" t="n"/>
      <c r="N362" s="30">
        <f>IF($A362="","",IF($M362="",TODAY()-$B362,$M362-$B362))</f>
        <v/>
      </c>
      <c r="O362" s="30">
        <f>IF(OR($A362="",$L362=""),"",IF(OR($K362="Resolved",$K362="Will not fix"),"Closed",IF(TODAY()&gt;$L362,"OVERDUE","On time")))</f>
        <v/>
      </c>
      <c r="P362" s="27" t="n"/>
    </row>
    <row r="363">
      <c r="A363" s="27" t="n"/>
      <c r="B363" s="29" t="n"/>
      <c r="C363" s="27" t="n"/>
      <c r="D363" s="27" t="n"/>
      <c r="E363" s="27" t="n"/>
      <c r="F363" s="27" t="n"/>
      <c r="G363" s="23" t="n"/>
      <c r="H363" s="27" t="n"/>
      <c r="I363" s="27" t="n"/>
      <c r="J363" s="27" t="n"/>
      <c r="K363" s="23" t="n"/>
      <c r="L363" s="29" t="n"/>
      <c r="M363" s="29" t="n"/>
      <c r="N363" s="30">
        <f>IF($A363="","",IF($M363="",TODAY()-$B363,$M363-$B363))</f>
        <v/>
      </c>
      <c r="O363" s="30">
        <f>IF(OR($A363="",$L363=""),"",IF(OR($K363="Resolved",$K363="Will not fix"),"Closed",IF(TODAY()&gt;$L363,"OVERDUE","On time")))</f>
        <v/>
      </c>
      <c r="P363" s="27" t="n"/>
    </row>
    <row r="364">
      <c r="A364" s="27" t="n"/>
      <c r="B364" s="29" t="n"/>
      <c r="C364" s="27" t="n"/>
      <c r="D364" s="27" t="n"/>
      <c r="E364" s="27" t="n"/>
      <c r="F364" s="27" t="n"/>
      <c r="G364" s="23" t="n"/>
      <c r="H364" s="27" t="n"/>
      <c r="I364" s="27" t="n"/>
      <c r="J364" s="27" t="n"/>
      <c r="K364" s="23" t="n"/>
      <c r="L364" s="29" t="n"/>
      <c r="M364" s="29" t="n"/>
      <c r="N364" s="30">
        <f>IF($A364="","",IF($M364="",TODAY()-$B364,$M364-$B364))</f>
        <v/>
      </c>
      <c r="O364" s="30">
        <f>IF(OR($A364="",$L364=""),"",IF(OR($K364="Resolved",$K364="Will not fix"),"Closed",IF(TODAY()&gt;$L364,"OVERDUE","On time")))</f>
        <v/>
      </c>
      <c r="P364" s="27" t="n"/>
    </row>
    <row r="365">
      <c r="A365" s="27" t="n"/>
      <c r="B365" s="29" t="n"/>
      <c r="C365" s="27" t="n"/>
      <c r="D365" s="27" t="n"/>
      <c r="E365" s="27" t="n"/>
      <c r="F365" s="27" t="n"/>
      <c r="G365" s="23" t="n"/>
      <c r="H365" s="27" t="n"/>
      <c r="I365" s="27" t="n"/>
      <c r="J365" s="27" t="n"/>
      <c r="K365" s="23" t="n"/>
      <c r="L365" s="29" t="n"/>
      <c r="M365" s="29" t="n"/>
      <c r="N365" s="30">
        <f>IF($A365="","",IF($M365="",TODAY()-$B365,$M365-$B365))</f>
        <v/>
      </c>
      <c r="O365" s="30">
        <f>IF(OR($A365="",$L365=""),"",IF(OR($K365="Resolved",$K365="Will not fix"),"Closed",IF(TODAY()&gt;$L365,"OVERDUE","On time")))</f>
        <v/>
      </c>
      <c r="P365" s="27" t="n"/>
    </row>
    <row r="366">
      <c r="A366" s="27" t="n"/>
      <c r="B366" s="29" t="n"/>
      <c r="C366" s="27" t="n"/>
      <c r="D366" s="27" t="n"/>
      <c r="E366" s="27" t="n"/>
      <c r="F366" s="27" t="n"/>
      <c r="G366" s="23" t="n"/>
      <c r="H366" s="27" t="n"/>
      <c r="I366" s="27" t="n"/>
      <c r="J366" s="27" t="n"/>
      <c r="K366" s="23" t="n"/>
      <c r="L366" s="29" t="n"/>
      <c r="M366" s="29" t="n"/>
      <c r="N366" s="30">
        <f>IF($A366="","",IF($M366="",TODAY()-$B366,$M366-$B366))</f>
        <v/>
      </c>
      <c r="O366" s="30">
        <f>IF(OR($A366="",$L366=""),"",IF(OR($K366="Resolved",$K366="Will not fix"),"Closed",IF(TODAY()&gt;$L366,"OVERDUE","On time")))</f>
        <v/>
      </c>
      <c r="P366" s="27" t="n"/>
    </row>
    <row r="367">
      <c r="A367" s="27" t="n"/>
      <c r="B367" s="29" t="n"/>
      <c r="C367" s="27" t="n"/>
      <c r="D367" s="27" t="n"/>
      <c r="E367" s="27" t="n"/>
      <c r="F367" s="27" t="n"/>
      <c r="G367" s="23" t="n"/>
      <c r="H367" s="27" t="n"/>
      <c r="I367" s="27" t="n"/>
      <c r="J367" s="27" t="n"/>
      <c r="K367" s="23" t="n"/>
      <c r="L367" s="29" t="n"/>
      <c r="M367" s="29" t="n"/>
      <c r="N367" s="30">
        <f>IF($A367="","",IF($M367="",TODAY()-$B367,$M367-$B367))</f>
        <v/>
      </c>
      <c r="O367" s="30">
        <f>IF(OR($A367="",$L367=""),"",IF(OR($K367="Resolved",$K367="Will not fix"),"Closed",IF(TODAY()&gt;$L367,"OVERDUE","On time")))</f>
        <v/>
      </c>
      <c r="P367" s="27" t="n"/>
    </row>
    <row r="368">
      <c r="A368" s="27" t="n"/>
      <c r="B368" s="29" t="n"/>
      <c r="C368" s="27" t="n"/>
      <c r="D368" s="27" t="n"/>
      <c r="E368" s="27" t="n"/>
      <c r="F368" s="27" t="n"/>
      <c r="G368" s="23" t="n"/>
      <c r="H368" s="27" t="n"/>
      <c r="I368" s="27" t="n"/>
      <c r="J368" s="27" t="n"/>
      <c r="K368" s="23" t="n"/>
      <c r="L368" s="29" t="n"/>
      <c r="M368" s="29" t="n"/>
      <c r="N368" s="30">
        <f>IF($A368="","",IF($M368="",TODAY()-$B368,$M368-$B368))</f>
        <v/>
      </c>
      <c r="O368" s="30">
        <f>IF(OR($A368="",$L368=""),"",IF(OR($K368="Resolved",$K368="Will not fix"),"Closed",IF(TODAY()&gt;$L368,"OVERDUE","On time")))</f>
        <v/>
      </c>
      <c r="P368" s="27" t="n"/>
    </row>
    <row r="369">
      <c r="A369" s="27" t="n"/>
      <c r="B369" s="29" t="n"/>
      <c r="C369" s="27" t="n"/>
      <c r="D369" s="27" t="n"/>
      <c r="E369" s="27" t="n"/>
      <c r="F369" s="27" t="n"/>
      <c r="G369" s="23" t="n"/>
      <c r="H369" s="27" t="n"/>
      <c r="I369" s="27" t="n"/>
      <c r="J369" s="27" t="n"/>
      <c r="K369" s="23" t="n"/>
      <c r="L369" s="29" t="n"/>
      <c r="M369" s="29" t="n"/>
      <c r="N369" s="30">
        <f>IF($A369="","",IF($M369="",TODAY()-$B369,$M369-$B369))</f>
        <v/>
      </c>
      <c r="O369" s="30">
        <f>IF(OR($A369="",$L369=""),"",IF(OR($K369="Resolved",$K369="Will not fix"),"Closed",IF(TODAY()&gt;$L369,"OVERDUE","On time")))</f>
        <v/>
      </c>
      <c r="P369" s="27" t="n"/>
    </row>
    <row r="370">
      <c r="A370" s="27" t="n"/>
      <c r="B370" s="29" t="n"/>
      <c r="C370" s="27" t="n"/>
      <c r="D370" s="27" t="n"/>
      <c r="E370" s="27" t="n"/>
      <c r="F370" s="27" t="n"/>
      <c r="G370" s="23" t="n"/>
      <c r="H370" s="27" t="n"/>
      <c r="I370" s="27" t="n"/>
      <c r="J370" s="27" t="n"/>
      <c r="K370" s="23" t="n"/>
      <c r="L370" s="29" t="n"/>
      <c r="M370" s="29" t="n"/>
      <c r="N370" s="30">
        <f>IF($A370="","",IF($M370="",TODAY()-$B370,$M370-$B370))</f>
        <v/>
      </c>
      <c r="O370" s="30">
        <f>IF(OR($A370="",$L370=""),"",IF(OR($K370="Resolved",$K370="Will not fix"),"Closed",IF(TODAY()&gt;$L370,"OVERDUE","On time")))</f>
        <v/>
      </c>
      <c r="P370" s="27" t="n"/>
    </row>
    <row r="371">
      <c r="A371" s="27" t="n"/>
      <c r="B371" s="29" t="n"/>
      <c r="C371" s="27" t="n"/>
      <c r="D371" s="27" t="n"/>
      <c r="E371" s="27" t="n"/>
      <c r="F371" s="27" t="n"/>
      <c r="G371" s="23" t="n"/>
      <c r="H371" s="27" t="n"/>
      <c r="I371" s="27" t="n"/>
      <c r="J371" s="27" t="n"/>
      <c r="K371" s="23" t="n"/>
      <c r="L371" s="29" t="n"/>
      <c r="M371" s="29" t="n"/>
      <c r="N371" s="30">
        <f>IF($A371="","",IF($M371="",TODAY()-$B371,$M371-$B371))</f>
        <v/>
      </c>
      <c r="O371" s="30">
        <f>IF(OR($A371="",$L371=""),"",IF(OR($K371="Resolved",$K371="Will not fix"),"Closed",IF(TODAY()&gt;$L371,"OVERDUE","On time")))</f>
        <v/>
      </c>
      <c r="P371" s="27" t="n"/>
    </row>
    <row r="372">
      <c r="A372" s="27" t="n"/>
      <c r="B372" s="29" t="n"/>
      <c r="C372" s="27" t="n"/>
      <c r="D372" s="27" t="n"/>
      <c r="E372" s="27" t="n"/>
      <c r="F372" s="27" t="n"/>
      <c r="G372" s="23" t="n"/>
      <c r="H372" s="27" t="n"/>
      <c r="I372" s="27" t="n"/>
      <c r="J372" s="27" t="n"/>
      <c r="K372" s="23" t="n"/>
      <c r="L372" s="29" t="n"/>
      <c r="M372" s="29" t="n"/>
      <c r="N372" s="30">
        <f>IF($A372="","",IF($M372="",TODAY()-$B372,$M372-$B372))</f>
        <v/>
      </c>
      <c r="O372" s="30">
        <f>IF(OR($A372="",$L372=""),"",IF(OR($K372="Resolved",$K372="Will not fix"),"Closed",IF(TODAY()&gt;$L372,"OVERDUE","On time")))</f>
        <v/>
      </c>
      <c r="P372" s="27" t="n"/>
    </row>
    <row r="373">
      <c r="A373" s="27" t="n"/>
      <c r="B373" s="29" t="n"/>
      <c r="C373" s="27" t="n"/>
      <c r="D373" s="27" t="n"/>
      <c r="E373" s="27" t="n"/>
      <c r="F373" s="27" t="n"/>
      <c r="G373" s="23" t="n"/>
      <c r="H373" s="27" t="n"/>
      <c r="I373" s="27" t="n"/>
      <c r="J373" s="27" t="n"/>
      <c r="K373" s="23" t="n"/>
      <c r="L373" s="29" t="n"/>
      <c r="M373" s="29" t="n"/>
      <c r="N373" s="30">
        <f>IF($A373="","",IF($M373="",TODAY()-$B373,$M373-$B373))</f>
        <v/>
      </c>
      <c r="O373" s="30">
        <f>IF(OR($A373="",$L373=""),"",IF(OR($K373="Resolved",$K373="Will not fix"),"Closed",IF(TODAY()&gt;$L373,"OVERDUE","On time")))</f>
        <v/>
      </c>
      <c r="P373" s="27" t="n"/>
    </row>
    <row r="374">
      <c r="A374" s="27" t="n"/>
      <c r="B374" s="29" t="n"/>
      <c r="C374" s="27" t="n"/>
      <c r="D374" s="27" t="n"/>
      <c r="E374" s="27" t="n"/>
      <c r="F374" s="27" t="n"/>
      <c r="G374" s="23" t="n"/>
      <c r="H374" s="27" t="n"/>
      <c r="I374" s="27" t="n"/>
      <c r="J374" s="27" t="n"/>
      <c r="K374" s="23" t="n"/>
      <c r="L374" s="29" t="n"/>
      <c r="M374" s="29" t="n"/>
      <c r="N374" s="30">
        <f>IF($A374="","",IF($M374="",TODAY()-$B374,$M374-$B374))</f>
        <v/>
      </c>
      <c r="O374" s="30">
        <f>IF(OR($A374="",$L374=""),"",IF(OR($K374="Resolved",$K374="Will not fix"),"Closed",IF(TODAY()&gt;$L374,"OVERDUE","On time")))</f>
        <v/>
      </c>
      <c r="P374" s="27" t="n"/>
    </row>
    <row r="375">
      <c r="A375" s="27" t="n"/>
      <c r="B375" s="29" t="n"/>
      <c r="C375" s="27" t="n"/>
      <c r="D375" s="27" t="n"/>
      <c r="E375" s="27" t="n"/>
      <c r="F375" s="27" t="n"/>
      <c r="G375" s="23" t="n"/>
      <c r="H375" s="27" t="n"/>
      <c r="I375" s="27" t="n"/>
      <c r="J375" s="27" t="n"/>
      <c r="K375" s="23" t="n"/>
      <c r="L375" s="29" t="n"/>
      <c r="M375" s="29" t="n"/>
      <c r="N375" s="30">
        <f>IF($A375="","",IF($M375="",TODAY()-$B375,$M375-$B375))</f>
        <v/>
      </c>
      <c r="O375" s="30">
        <f>IF(OR($A375="",$L375=""),"",IF(OR($K375="Resolved",$K375="Will not fix"),"Closed",IF(TODAY()&gt;$L375,"OVERDUE","On time")))</f>
        <v/>
      </c>
      <c r="P375" s="27" t="n"/>
    </row>
    <row r="376">
      <c r="A376" s="27" t="n"/>
      <c r="B376" s="29" t="n"/>
      <c r="C376" s="27" t="n"/>
      <c r="D376" s="27" t="n"/>
      <c r="E376" s="27" t="n"/>
      <c r="F376" s="27" t="n"/>
      <c r="G376" s="23" t="n"/>
      <c r="H376" s="27" t="n"/>
      <c r="I376" s="27" t="n"/>
      <c r="J376" s="27" t="n"/>
      <c r="K376" s="23" t="n"/>
      <c r="L376" s="29" t="n"/>
      <c r="M376" s="29" t="n"/>
      <c r="N376" s="30">
        <f>IF($A376="","",IF($M376="",TODAY()-$B376,$M376-$B376))</f>
        <v/>
      </c>
      <c r="O376" s="30">
        <f>IF(OR($A376="",$L376=""),"",IF(OR($K376="Resolved",$K376="Will not fix"),"Closed",IF(TODAY()&gt;$L376,"OVERDUE","On time")))</f>
        <v/>
      </c>
      <c r="P376" s="27" t="n"/>
    </row>
    <row r="377">
      <c r="A377" s="27" t="n"/>
      <c r="B377" s="29" t="n"/>
      <c r="C377" s="27" t="n"/>
      <c r="D377" s="27" t="n"/>
      <c r="E377" s="27" t="n"/>
      <c r="F377" s="27" t="n"/>
      <c r="G377" s="23" t="n"/>
      <c r="H377" s="27" t="n"/>
      <c r="I377" s="27" t="n"/>
      <c r="J377" s="27" t="n"/>
      <c r="K377" s="23" t="n"/>
      <c r="L377" s="29" t="n"/>
      <c r="M377" s="29" t="n"/>
      <c r="N377" s="30">
        <f>IF($A377="","",IF($M377="",TODAY()-$B377,$M377-$B377))</f>
        <v/>
      </c>
      <c r="O377" s="30">
        <f>IF(OR($A377="",$L377=""),"",IF(OR($K377="Resolved",$K377="Will not fix"),"Closed",IF(TODAY()&gt;$L377,"OVERDUE","On time")))</f>
        <v/>
      </c>
      <c r="P377" s="27" t="n"/>
    </row>
    <row r="378">
      <c r="A378" s="27" t="n"/>
      <c r="B378" s="29" t="n"/>
      <c r="C378" s="27" t="n"/>
      <c r="D378" s="27" t="n"/>
      <c r="E378" s="27" t="n"/>
      <c r="F378" s="27" t="n"/>
      <c r="G378" s="23" t="n"/>
      <c r="H378" s="27" t="n"/>
      <c r="I378" s="27" t="n"/>
      <c r="J378" s="27" t="n"/>
      <c r="K378" s="23" t="n"/>
      <c r="L378" s="29" t="n"/>
      <c r="M378" s="29" t="n"/>
      <c r="N378" s="30">
        <f>IF($A378="","",IF($M378="",TODAY()-$B378,$M378-$B378))</f>
        <v/>
      </c>
      <c r="O378" s="30">
        <f>IF(OR($A378="",$L378=""),"",IF(OR($K378="Resolved",$K378="Will not fix"),"Closed",IF(TODAY()&gt;$L378,"OVERDUE","On time")))</f>
        <v/>
      </c>
      <c r="P378" s="27" t="n"/>
    </row>
    <row r="379">
      <c r="A379" s="27" t="n"/>
      <c r="B379" s="29" t="n"/>
      <c r="C379" s="27" t="n"/>
      <c r="D379" s="27" t="n"/>
      <c r="E379" s="27" t="n"/>
      <c r="F379" s="27" t="n"/>
      <c r="G379" s="23" t="n"/>
      <c r="H379" s="27" t="n"/>
      <c r="I379" s="27" t="n"/>
      <c r="J379" s="27" t="n"/>
      <c r="K379" s="23" t="n"/>
      <c r="L379" s="29" t="n"/>
      <c r="M379" s="29" t="n"/>
      <c r="N379" s="30">
        <f>IF($A379="","",IF($M379="",TODAY()-$B379,$M379-$B379))</f>
        <v/>
      </c>
      <c r="O379" s="30">
        <f>IF(OR($A379="",$L379=""),"",IF(OR($K379="Resolved",$K379="Will not fix"),"Closed",IF(TODAY()&gt;$L379,"OVERDUE","On time")))</f>
        <v/>
      </c>
      <c r="P379" s="27" t="n"/>
    </row>
    <row r="380">
      <c r="A380" s="27" t="n"/>
      <c r="B380" s="29" t="n"/>
      <c r="C380" s="27" t="n"/>
      <c r="D380" s="27" t="n"/>
      <c r="E380" s="27" t="n"/>
      <c r="F380" s="27" t="n"/>
      <c r="G380" s="23" t="n"/>
      <c r="H380" s="27" t="n"/>
      <c r="I380" s="27" t="n"/>
      <c r="J380" s="27" t="n"/>
      <c r="K380" s="23" t="n"/>
      <c r="L380" s="29" t="n"/>
      <c r="M380" s="29" t="n"/>
      <c r="N380" s="30">
        <f>IF($A380="","",IF($M380="",TODAY()-$B380,$M380-$B380))</f>
        <v/>
      </c>
      <c r="O380" s="30">
        <f>IF(OR($A380="",$L380=""),"",IF(OR($K380="Resolved",$K380="Will not fix"),"Closed",IF(TODAY()&gt;$L380,"OVERDUE","On time")))</f>
        <v/>
      </c>
      <c r="P380" s="27" t="n"/>
    </row>
    <row r="381">
      <c r="A381" s="27" t="n"/>
      <c r="B381" s="29" t="n"/>
      <c r="C381" s="27" t="n"/>
      <c r="D381" s="27" t="n"/>
      <c r="E381" s="27" t="n"/>
      <c r="F381" s="27" t="n"/>
      <c r="G381" s="23" t="n"/>
      <c r="H381" s="27" t="n"/>
      <c r="I381" s="27" t="n"/>
      <c r="J381" s="27" t="n"/>
      <c r="K381" s="23" t="n"/>
      <c r="L381" s="29" t="n"/>
      <c r="M381" s="29" t="n"/>
      <c r="N381" s="30">
        <f>IF($A381="","",IF($M381="",TODAY()-$B381,$M381-$B381))</f>
        <v/>
      </c>
      <c r="O381" s="30">
        <f>IF(OR($A381="",$L381=""),"",IF(OR($K381="Resolved",$K381="Will not fix"),"Closed",IF(TODAY()&gt;$L381,"OVERDUE","On time")))</f>
        <v/>
      </c>
      <c r="P381" s="27" t="n"/>
    </row>
    <row r="382">
      <c r="A382" s="27" t="n"/>
      <c r="B382" s="29" t="n"/>
      <c r="C382" s="27" t="n"/>
      <c r="D382" s="27" t="n"/>
      <c r="E382" s="27" t="n"/>
      <c r="F382" s="27" t="n"/>
      <c r="G382" s="23" t="n"/>
      <c r="H382" s="27" t="n"/>
      <c r="I382" s="27" t="n"/>
      <c r="J382" s="27" t="n"/>
      <c r="K382" s="23" t="n"/>
      <c r="L382" s="29" t="n"/>
      <c r="M382" s="29" t="n"/>
      <c r="N382" s="30">
        <f>IF($A382="","",IF($M382="",TODAY()-$B382,$M382-$B382))</f>
        <v/>
      </c>
      <c r="O382" s="30">
        <f>IF(OR($A382="",$L382=""),"",IF(OR($K382="Resolved",$K382="Will not fix"),"Closed",IF(TODAY()&gt;$L382,"OVERDUE","On time")))</f>
        <v/>
      </c>
      <c r="P382" s="27" t="n"/>
    </row>
    <row r="383">
      <c r="A383" s="27" t="n"/>
      <c r="B383" s="29" t="n"/>
      <c r="C383" s="27" t="n"/>
      <c r="D383" s="27" t="n"/>
      <c r="E383" s="27" t="n"/>
      <c r="F383" s="27" t="n"/>
      <c r="G383" s="23" t="n"/>
      <c r="H383" s="27" t="n"/>
      <c r="I383" s="27" t="n"/>
      <c r="J383" s="27" t="n"/>
      <c r="K383" s="23" t="n"/>
      <c r="L383" s="29" t="n"/>
      <c r="M383" s="29" t="n"/>
      <c r="N383" s="30">
        <f>IF($A383="","",IF($M383="",TODAY()-$B383,$M383-$B383))</f>
        <v/>
      </c>
      <c r="O383" s="30">
        <f>IF(OR($A383="",$L383=""),"",IF(OR($K383="Resolved",$K383="Will not fix"),"Closed",IF(TODAY()&gt;$L383,"OVERDUE","On time")))</f>
        <v/>
      </c>
      <c r="P383" s="27" t="n"/>
    </row>
    <row r="384">
      <c r="A384" s="27" t="n"/>
      <c r="B384" s="29" t="n"/>
      <c r="C384" s="27" t="n"/>
      <c r="D384" s="27" t="n"/>
      <c r="E384" s="27" t="n"/>
      <c r="F384" s="27" t="n"/>
      <c r="G384" s="23" t="n"/>
      <c r="H384" s="27" t="n"/>
      <c r="I384" s="27" t="n"/>
      <c r="J384" s="27" t="n"/>
      <c r="K384" s="23" t="n"/>
      <c r="L384" s="29" t="n"/>
      <c r="M384" s="29" t="n"/>
      <c r="N384" s="30">
        <f>IF($A384="","",IF($M384="",TODAY()-$B384,$M384-$B384))</f>
        <v/>
      </c>
      <c r="O384" s="30">
        <f>IF(OR($A384="",$L384=""),"",IF(OR($K384="Resolved",$K384="Will not fix"),"Closed",IF(TODAY()&gt;$L384,"OVERDUE","On time")))</f>
        <v/>
      </c>
      <c r="P384" s="27" t="n"/>
    </row>
    <row r="385">
      <c r="A385" s="27" t="n"/>
      <c r="B385" s="29" t="n"/>
      <c r="C385" s="27" t="n"/>
      <c r="D385" s="27" t="n"/>
      <c r="E385" s="27" t="n"/>
      <c r="F385" s="27" t="n"/>
      <c r="G385" s="23" t="n"/>
      <c r="H385" s="27" t="n"/>
      <c r="I385" s="27" t="n"/>
      <c r="J385" s="27" t="n"/>
      <c r="K385" s="23" t="n"/>
      <c r="L385" s="29" t="n"/>
      <c r="M385" s="29" t="n"/>
      <c r="N385" s="30">
        <f>IF($A385="","",IF($M385="",TODAY()-$B385,$M385-$B385))</f>
        <v/>
      </c>
      <c r="O385" s="30">
        <f>IF(OR($A385="",$L385=""),"",IF(OR($K385="Resolved",$K385="Will not fix"),"Closed",IF(TODAY()&gt;$L385,"OVERDUE","On time")))</f>
        <v/>
      </c>
      <c r="P385" s="27" t="n"/>
    </row>
    <row r="386">
      <c r="A386" s="27" t="n"/>
      <c r="B386" s="29" t="n"/>
      <c r="C386" s="27" t="n"/>
      <c r="D386" s="27" t="n"/>
      <c r="E386" s="27" t="n"/>
      <c r="F386" s="27" t="n"/>
      <c r="G386" s="23" t="n"/>
      <c r="H386" s="27" t="n"/>
      <c r="I386" s="27" t="n"/>
      <c r="J386" s="27" t="n"/>
      <c r="K386" s="23" t="n"/>
      <c r="L386" s="29" t="n"/>
      <c r="M386" s="29" t="n"/>
      <c r="N386" s="30">
        <f>IF($A386="","",IF($M386="",TODAY()-$B386,$M386-$B386))</f>
        <v/>
      </c>
      <c r="O386" s="30">
        <f>IF(OR($A386="",$L386=""),"",IF(OR($K386="Resolved",$K386="Will not fix"),"Closed",IF(TODAY()&gt;$L386,"OVERDUE","On time")))</f>
        <v/>
      </c>
      <c r="P386" s="27" t="n"/>
    </row>
    <row r="387">
      <c r="A387" s="27" t="n"/>
      <c r="B387" s="29" t="n"/>
      <c r="C387" s="27" t="n"/>
      <c r="D387" s="27" t="n"/>
      <c r="E387" s="27" t="n"/>
      <c r="F387" s="27" t="n"/>
      <c r="G387" s="23" t="n"/>
      <c r="H387" s="27" t="n"/>
      <c r="I387" s="27" t="n"/>
      <c r="J387" s="27" t="n"/>
      <c r="K387" s="23" t="n"/>
      <c r="L387" s="29" t="n"/>
      <c r="M387" s="29" t="n"/>
      <c r="N387" s="30">
        <f>IF($A387="","",IF($M387="",TODAY()-$B387,$M387-$B387))</f>
        <v/>
      </c>
      <c r="O387" s="30">
        <f>IF(OR($A387="",$L387=""),"",IF(OR($K387="Resolved",$K387="Will not fix"),"Closed",IF(TODAY()&gt;$L387,"OVERDUE","On time")))</f>
        <v/>
      </c>
      <c r="P387" s="27" t="n"/>
    </row>
    <row r="388">
      <c r="A388" s="27" t="n"/>
      <c r="B388" s="29" t="n"/>
      <c r="C388" s="27" t="n"/>
      <c r="D388" s="27" t="n"/>
      <c r="E388" s="27" t="n"/>
      <c r="F388" s="27" t="n"/>
      <c r="G388" s="23" t="n"/>
      <c r="H388" s="27" t="n"/>
      <c r="I388" s="27" t="n"/>
      <c r="J388" s="27" t="n"/>
      <c r="K388" s="23" t="n"/>
      <c r="L388" s="29" t="n"/>
      <c r="M388" s="29" t="n"/>
      <c r="N388" s="30">
        <f>IF($A388="","",IF($M388="",TODAY()-$B388,$M388-$B388))</f>
        <v/>
      </c>
      <c r="O388" s="30">
        <f>IF(OR($A388="",$L388=""),"",IF(OR($K388="Resolved",$K388="Will not fix"),"Closed",IF(TODAY()&gt;$L388,"OVERDUE","On time")))</f>
        <v/>
      </c>
      <c r="P388" s="27" t="n"/>
    </row>
    <row r="389">
      <c r="A389" s="27" t="n"/>
      <c r="B389" s="29" t="n"/>
      <c r="C389" s="27" t="n"/>
      <c r="D389" s="27" t="n"/>
      <c r="E389" s="27" t="n"/>
      <c r="F389" s="27" t="n"/>
      <c r="G389" s="23" t="n"/>
      <c r="H389" s="27" t="n"/>
      <c r="I389" s="27" t="n"/>
      <c r="J389" s="27" t="n"/>
      <c r="K389" s="23" t="n"/>
      <c r="L389" s="29" t="n"/>
      <c r="M389" s="29" t="n"/>
      <c r="N389" s="30">
        <f>IF($A389="","",IF($M389="",TODAY()-$B389,$M389-$B389))</f>
        <v/>
      </c>
      <c r="O389" s="30">
        <f>IF(OR($A389="",$L389=""),"",IF(OR($K389="Resolved",$K389="Will not fix"),"Closed",IF(TODAY()&gt;$L389,"OVERDUE","On time")))</f>
        <v/>
      </c>
      <c r="P389" s="27" t="n"/>
    </row>
    <row r="390">
      <c r="A390" s="27" t="n"/>
      <c r="B390" s="29" t="n"/>
      <c r="C390" s="27" t="n"/>
      <c r="D390" s="27" t="n"/>
      <c r="E390" s="27" t="n"/>
      <c r="F390" s="27" t="n"/>
      <c r="G390" s="23" t="n"/>
      <c r="H390" s="27" t="n"/>
      <c r="I390" s="27" t="n"/>
      <c r="J390" s="27" t="n"/>
      <c r="K390" s="23" t="n"/>
      <c r="L390" s="29" t="n"/>
      <c r="M390" s="29" t="n"/>
      <c r="N390" s="30">
        <f>IF($A390="","",IF($M390="",TODAY()-$B390,$M390-$B390))</f>
        <v/>
      </c>
      <c r="O390" s="30">
        <f>IF(OR($A390="",$L390=""),"",IF(OR($K390="Resolved",$K390="Will not fix"),"Closed",IF(TODAY()&gt;$L390,"OVERDUE","On time")))</f>
        <v/>
      </c>
      <c r="P390" s="27" t="n"/>
    </row>
    <row r="391">
      <c r="A391" s="27" t="n"/>
      <c r="B391" s="29" t="n"/>
      <c r="C391" s="27" t="n"/>
      <c r="D391" s="27" t="n"/>
      <c r="E391" s="27" t="n"/>
      <c r="F391" s="27" t="n"/>
      <c r="G391" s="23" t="n"/>
      <c r="H391" s="27" t="n"/>
      <c r="I391" s="27" t="n"/>
      <c r="J391" s="27" t="n"/>
      <c r="K391" s="23" t="n"/>
      <c r="L391" s="29" t="n"/>
      <c r="M391" s="29" t="n"/>
      <c r="N391" s="30">
        <f>IF($A391="","",IF($M391="",TODAY()-$B391,$M391-$B391))</f>
        <v/>
      </c>
      <c r="O391" s="30">
        <f>IF(OR($A391="",$L391=""),"",IF(OR($K391="Resolved",$K391="Will not fix"),"Closed",IF(TODAY()&gt;$L391,"OVERDUE","On time")))</f>
        <v/>
      </c>
      <c r="P391" s="27" t="n"/>
    </row>
    <row r="392">
      <c r="A392" s="27" t="n"/>
      <c r="B392" s="29" t="n"/>
      <c r="C392" s="27" t="n"/>
      <c r="D392" s="27" t="n"/>
      <c r="E392" s="27" t="n"/>
      <c r="F392" s="27" t="n"/>
      <c r="G392" s="23" t="n"/>
      <c r="H392" s="27" t="n"/>
      <c r="I392" s="27" t="n"/>
      <c r="J392" s="27" t="n"/>
      <c r="K392" s="23" t="n"/>
      <c r="L392" s="29" t="n"/>
      <c r="M392" s="29" t="n"/>
      <c r="N392" s="30">
        <f>IF($A392="","",IF($M392="",TODAY()-$B392,$M392-$B392))</f>
        <v/>
      </c>
      <c r="O392" s="30">
        <f>IF(OR($A392="",$L392=""),"",IF(OR($K392="Resolved",$K392="Will not fix"),"Closed",IF(TODAY()&gt;$L392,"OVERDUE","On time")))</f>
        <v/>
      </c>
      <c r="P392" s="27" t="n"/>
    </row>
    <row r="393">
      <c r="A393" s="27" t="n"/>
      <c r="B393" s="29" t="n"/>
      <c r="C393" s="27" t="n"/>
      <c r="D393" s="27" t="n"/>
      <c r="E393" s="27" t="n"/>
      <c r="F393" s="27" t="n"/>
      <c r="G393" s="23" t="n"/>
      <c r="H393" s="27" t="n"/>
      <c r="I393" s="27" t="n"/>
      <c r="J393" s="27" t="n"/>
      <c r="K393" s="23" t="n"/>
      <c r="L393" s="29" t="n"/>
      <c r="M393" s="29" t="n"/>
      <c r="N393" s="30">
        <f>IF($A393="","",IF($M393="",TODAY()-$B393,$M393-$B393))</f>
        <v/>
      </c>
      <c r="O393" s="30">
        <f>IF(OR($A393="",$L393=""),"",IF(OR($K393="Resolved",$K393="Will not fix"),"Closed",IF(TODAY()&gt;$L393,"OVERDUE","On time")))</f>
        <v/>
      </c>
      <c r="P393" s="27" t="n"/>
    </row>
    <row r="394">
      <c r="A394" s="27" t="n"/>
      <c r="B394" s="29" t="n"/>
      <c r="C394" s="27" t="n"/>
      <c r="D394" s="27" t="n"/>
      <c r="E394" s="27" t="n"/>
      <c r="F394" s="27" t="n"/>
      <c r="G394" s="23" t="n"/>
      <c r="H394" s="27" t="n"/>
      <c r="I394" s="27" t="n"/>
      <c r="J394" s="27" t="n"/>
      <c r="K394" s="23" t="n"/>
      <c r="L394" s="29" t="n"/>
      <c r="M394" s="29" t="n"/>
      <c r="N394" s="30">
        <f>IF($A394="","",IF($M394="",TODAY()-$B394,$M394-$B394))</f>
        <v/>
      </c>
      <c r="O394" s="30">
        <f>IF(OR($A394="",$L394=""),"",IF(OR($K394="Resolved",$K394="Will not fix"),"Closed",IF(TODAY()&gt;$L394,"OVERDUE","On time")))</f>
        <v/>
      </c>
      <c r="P394" s="27" t="n"/>
    </row>
    <row r="395">
      <c r="A395" s="27" t="n"/>
      <c r="B395" s="29" t="n"/>
      <c r="C395" s="27" t="n"/>
      <c r="D395" s="27" t="n"/>
      <c r="E395" s="27" t="n"/>
      <c r="F395" s="27" t="n"/>
      <c r="G395" s="23" t="n"/>
      <c r="H395" s="27" t="n"/>
      <c r="I395" s="27" t="n"/>
      <c r="J395" s="27" t="n"/>
      <c r="K395" s="23" t="n"/>
      <c r="L395" s="29" t="n"/>
      <c r="M395" s="29" t="n"/>
      <c r="N395" s="30">
        <f>IF($A395="","",IF($M395="",TODAY()-$B395,$M395-$B395))</f>
        <v/>
      </c>
      <c r="O395" s="30">
        <f>IF(OR($A395="",$L395=""),"",IF(OR($K395="Resolved",$K395="Will not fix"),"Closed",IF(TODAY()&gt;$L395,"OVERDUE","On time")))</f>
        <v/>
      </c>
      <c r="P395" s="27" t="n"/>
    </row>
    <row r="396">
      <c r="A396" s="27" t="n"/>
      <c r="B396" s="29" t="n"/>
      <c r="C396" s="27" t="n"/>
      <c r="D396" s="27" t="n"/>
      <c r="E396" s="27" t="n"/>
      <c r="F396" s="27" t="n"/>
      <c r="G396" s="23" t="n"/>
      <c r="H396" s="27" t="n"/>
      <c r="I396" s="27" t="n"/>
      <c r="J396" s="27" t="n"/>
      <c r="K396" s="23" t="n"/>
      <c r="L396" s="29" t="n"/>
      <c r="M396" s="29" t="n"/>
      <c r="N396" s="30">
        <f>IF($A396="","",IF($M396="",TODAY()-$B396,$M396-$B396))</f>
        <v/>
      </c>
      <c r="O396" s="30">
        <f>IF(OR($A396="",$L396=""),"",IF(OR($K396="Resolved",$K396="Will not fix"),"Closed",IF(TODAY()&gt;$L396,"OVERDUE","On time")))</f>
        <v/>
      </c>
      <c r="P396" s="27" t="n"/>
    </row>
    <row r="397">
      <c r="A397" s="27" t="n"/>
      <c r="B397" s="29" t="n"/>
      <c r="C397" s="27" t="n"/>
      <c r="D397" s="27" t="n"/>
      <c r="E397" s="27" t="n"/>
      <c r="F397" s="27" t="n"/>
      <c r="G397" s="23" t="n"/>
      <c r="H397" s="27" t="n"/>
      <c r="I397" s="27" t="n"/>
      <c r="J397" s="27" t="n"/>
      <c r="K397" s="23" t="n"/>
      <c r="L397" s="29" t="n"/>
      <c r="M397" s="29" t="n"/>
      <c r="N397" s="30">
        <f>IF($A397="","",IF($M397="",TODAY()-$B397,$M397-$B397))</f>
        <v/>
      </c>
      <c r="O397" s="30">
        <f>IF(OR($A397="",$L397=""),"",IF(OR($K397="Resolved",$K397="Will not fix"),"Closed",IF(TODAY()&gt;$L397,"OVERDUE","On time")))</f>
        <v/>
      </c>
      <c r="P397" s="27" t="n"/>
    </row>
    <row r="398">
      <c r="A398" s="27" t="n"/>
      <c r="B398" s="29" t="n"/>
      <c r="C398" s="27" t="n"/>
      <c r="D398" s="27" t="n"/>
      <c r="E398" s="27" t="n"/>
      <c r="F398" s="27" t="n"/>
      <c r="G398" s="23" t="n"/>
      <c r="H398" s="27" t="n"/>
      <c r="I398" s="27" t="n"/>
      <c r="J398" s="27" t="n"/>
      <c r="K398" s="23" t="n"/>
      <c r="L398" s="29" t="n"/>
      <c r="M398" s="29" t="n"/>
      <c r="N398" s="30">
        <f>IF($A398="","",IF($M398="",TODAY()-$B398,$M398-$B398))</f>
        <v/>
      </c>
      <c r="O398" s="30">
        <f>IF(OR($A398="",$L398=""),"",IF(OR($K398="Resolved",$K398="Will not fix"),"Closed",IF(TODAY()&gt;$L398,"OVERDUE","On time")))</f>
        <v/>
      </c>
      <c r="P398" s="27" t="n"/>
    </row>
    <row r="399">
      <c r="A399" s="27" t="n"/>
      <c r="B399" s="29" t="n"/>
      <c r="C399" s="27" t="n"/>
      <c r="D399" s="27" t="n"/>
      <c r="E399" s="27" t="n"/>
      <c r="F399" s="27" t="n"/>
      <c r="G399" s="23" t="n"/>
      <c r="H399" s="27" t="n"/>
      <c r="I399" s="27" t="n"/>
      <c r="J399" s="27" t="n"/>
      <c r="K399" s="23" t="n"/>
      <c r="L399" s="29" t="n"/>
      <c r="M399" s="29" t="n"/>
      <c r="N399" s="30">
        <f>IF($A399="","",IF($M399="",TODAY()-$B399,$M399-$B399))</f>
        <v/>
      </c>
      <c r="O399" s="30">
        <f>IF(OR($A399="",$L399=""),"",IF(OR($K399="Resolved",$K399="Will not fix"),"Closed",IF(TODAY()&gt;$L399,"OVERDUE","On time")))</f>
        <v/>
      </c>
      <c r="P399" s="27" t="n"/>
    </row>
    <row r="400">
      <c r="A400" s="27" t="n"/>
      <c r="B400" s="29" t="n"/>
      <c r="C400" s="27" t="n"/>
      <c r="D400" s="27" t="n"/>
      <c r="E400" s="27" t="n"/>
      <c r="F400" s="27" t="n"/>
      <c r="G400" s="23" t="n"/>
      <c r="H400" s="27" t="n"/>
      <c r="I400" s="27" t="n"/>
      <c r="J400" s="27" t="n"/>
      <c r="K400" s="23" t="n"/>
      <c r="L400" s="29" t="n"/>
      <c r="M400" s="29" t="n"/>
      <c r="N400" s="30">
        <f>IF($A400="","",IF($M400="",TODAY()-$B400,$M400-$B400))</f>
        <v/>
      </c>
      <c r="O400" s="30">
        <f>IF(OR($A400="",$L400=""),"",IF(OR($K400="Resolved",$K400="Will not fix"),"Closed",IF(TODAY()&gt;$L400,"OVERDUE","On time")))</f>
        <v/>
      </c>
      <c r="P400" s="27" t="n"/>
    </row>
    <row r="401">
      <c r="A401" s="27" t="n"/>
      <c r="B401" s="29" t="n"/>
      <c r="C401" s="27" t="n"/>
      <c r="D401" s="27" t="n"/>
      <c r="E401" s="27" t="n"/>
      <c r="F401" s="27" t="n"/>
      <c r="G401" s="23" t="n"/>
      <c r="H401" s="27" t="n"/>
      <c r="I401" s="27" t="n"/>
      <c r="J401" s="27" t="n"/>
      <c r="K401" s="23" t="n"/>
      <c r="L401" s="29" t="n"/>
      <c r="M401" s="29" t="n"/>
      <c r="N401" s="30">
        <f>IF($A401="","",IF($M401="",TODAY()-$B401,$M401-$B401))</f>
        <v/>
      </c>
      <c r="O401" s="30">
        <f>IF(OR($A401="",$L401=""),"",IF(OR($K401="Resolved",$K401="Will not fix"),"Closed",IF(TODAY()&gt;$L401,"OVERDUE","On time")))</f>
        <v/>
      </c>
      <c r="P401" s="27" t="n"/>
    </row>
    <row r="402">
      <c r="A402" s="27" t="n"/>
      <c r="B402" s="29" t="n"/>
      <c r="C402" s="27" t="n"/>
      <c r="D402" s="27" t="n"/>
      <c r="E402" s="27" t="n"/>
      <c r="F402" s="27" t="n"/>
      <c r="G402" s="23" t="n"/>
      <c r="H402" s="27" t="n"/>
      <c r="I402" s="27" t="n"/>
      <c r="J402" s="27" t="n"/>
      <c r="K402" s="23" t="n"/>
      <c r="L402" s="29" t="n"/>
      <c r="M402" s="29" t="n"/>
      <c r="N402" s="30">
        <f>IF($A402="","",IF($M402="",TODAY()-$B402,$M402-$B402))</f>
        <v/>
      </c>
      <c r="O402" s="30">
        <f>IF(OR($A402="",$L402=""),"",IF(OR($K402="Resolved",$K402="Will not fix"),"Closed",IF(TODAY()&gt;$L402,"OVERDUE","On time")))</f>
        <v/>
      </c>
      <c r="P402" s="27" t="n"/>
    </row>
    <row r="403">
      <c r="A403" s="27" t="n"/>
      <c r="B403" s="29" t="n"/>
      <c r="C403" s="27" t="n"/>
      <c r="D403" s="27" t="n"/>
      <c r="E403" s="27" t="n"/>
      <c r="F403" s="27" t="n"/>
      <c r="G403" s="23" t="n"/>
      <c r="H403" s="27" t="n"/>
      <c r="I403" s="27" t="n"/>
      <c r="J403" s="27" t="n"/>
      <c r="K403" s="23" t="n"/>
      <c r="L403" s="29" t="n"/>
      <c r="M403" s="29" t="n"/>
      <c r="N403" s="30">
        <f>IF($A403="","",IF($M403="",TODAY()-$B403,$M403-$B403))</f>
        <v/>
      </c>
      <c r="O403" s="30">
        <f>IF(OR($A403="",$L403=""),"",IF(OR($K403="Resolved",$K403="Will not fix"),"Closed",IF(TODAY()&gt;$L403,"OVERDUE","On time")))</f>
        <v/>
      </c>
      <c r="P403" s="27" t="n"/>
    </row>
    <row r="404">
      <c r="A404" s="27" t="n"/>
      <c r="B404" s="29" t="n"/>
      <c r="C404" s="27" t="n"/>
      <c r="D404" s="27" t="n"/>
      <c r="E404" s="27" t="n"/>
      <c r="F404" s="27" t="n"/>
      <c r="G404" s="23" t="n"/>
      <c r="H404" s="27" t="n"/>
      <c r="I404" s="27" t="n"/>
      <c r="J404" s="27" t="n"/>
      <c r="K404" s="23" t="n"/>
      <c r="L404" s="29" t="n"/>
      <c r="M404" s="29" t="n"/>
      <c r="N404" s="30">
        <f>IF($A404="","",IF($M404="",TODAY()-$B404,$M404-$B404))</f>
        <v/>
      </c>
      <c r="O404" s="30">
        <f>IF(OR($A404="",$L404=""),"",IF(OR($K404="Resolved",$K404="Will not fix"),"Closed",IF(TODAY()&gt;$L404,"OVERDUE","On time")))</f>
        <v/>
      </c>
      <c r="P404" s="27" t="n"/>
    </row>
    <row r="405">
      <c r="A405" s="27" t="n"/>
      <c r="B405" s="29" t="n"/>
      <c r="C405" s="27" t="n"/>
      <c r="D405" s="27" t="n"/>
      <c r="E405" s="27" t="n"/>
      <c r="F405" s="27" t="n"/>
      <c r="G405" s="23" t="n"/>
      <c r="H405" s="27" t="n"/>
      <c r="I405" s="27" t="n"/>
      <c r="J405" s="27" t="n"/>
      <c r="K405" s="23" t="n"/>
      <c r="L405" s="29" t="n"/>
      <c r="M405" s="29" t="n"/>
      <c r="N405" s="30">
        <f>IF($A405="","",IF($M405="",TODAY()-$B405,$M405-$B405))</f>
        <v/>
      </c>
      <c r="O405" s="30">
        <f>IF(OR($A405="",$L405=""),"",IF(OR($K405="Resolved",$K405="Will not fix"),"Closed",IF(TODAY()&gt;$L405,"OVERDUE","On time")))</f>
        <v/>
      </c>
      <c r="P405" s="27" t="n"/>
    </row>
    <row r="406">
      <c r="A406" s="27" t="n"/>
      <c r="B406" s="29" t="n"/>
      <c r="C406" s="27" t="n"/>
      <c r="D406" s="27" t="n"/>
      <c r="E406" s="27" t="n"/>
      <c r="F406" s="27" t="n"/>
      <c r="G406" s="23" t="n"/>
      <c r="H406" s="27" t="n"/>
      <c r="I406" s="27" t="n"/>
      <c r="J406" s="27" t="n"/>
      <c r="K406" s="23" t="n"/>
      <c r="L406" s="29" t="n"/>
      <c r="M406" s="29" t="n"/>
      <c r="N406" s="30">
        <f>IF($A406="","",IF($M406="",TODAY()-$B406,$M406-$B406))</f>
        <v/>
      </c>
      <c r="O406" s="30">
        <f>IF(OR($A406="",$L406=""),"",IF(OR($K406="Resolved",$K406="Will not fix"),"Closed",IF(TODAY()&gt;$L406,"OVERDUE","On time")))</f>
        <v/>
      </c>
      <c r="P406" s="27" t="n"/>
    </row>
    <row r="407">
      <c r="A407" s="27" t="n"/>
      <c r="B407" s="29" t="n"/>
      <c r="C407" s="27" t="n"/>
      <c r="D407" s="27" t="n"/>
      <c r="E407" s="27" t="n"/>
      <c r="F407" s="27" t="n"/>
      <c r="G407" s="23" t="n"/>
      <c r="H407" s="27" t="n"/>
      <c r="I407" s="27" t="n"/>
      <c r="J407" s="27" t="n"/>
      <c r="K407" s="23" t="n"/>
      <c r="L407" s="29" t="n"/>
      <c r="M407" s="29" t="n"/>
      <c r="N407" s="30">
        <f>IF($A407="","",IF($M407="",TODAY()-$B407,$M407-$B407))</f>
        <v/>
      </c>
      <c r="O407" s="30">
        <f>IF(OR($A407="",$L407=""),"",IF(OR($K407="Resolved",$K407="Will not fix"),"Closed",IF(TODAY()&gt;$L407,"OVERDUE","On time")))</f>
        <v/>
      </c>
      <c r="P407" s="27" t="n"/>
    </row>
    <row r="408">
      <c r="A408" s="27" t="n"/>
      <c r="B408" s="29" t="n"/>
      <c r="C408" s="27" t="n"/>
      <c r="D408" s="27" t="n"/>
      <c r="E408" s="27" t="n"/>
      <c r="F408" s="27" t="n"/>
      <c r="G408" s="23" t="n"/>
      <c r="H408" s="27" t="n"/>
      <c r="I408" s="27" t="n"/>
      <c r="J408" s="27" t="n"/>
      <c r="K408" s="23" t="n"/>
      <c r="L408" s="29" t="n"/>
      <c r="M408" s="29" t="n"/>
      <c r="N408" s="30">
        <f>IF($A408="","",IF($M408="",TODAY()-$B408,$M408-$B408))</f>
        <v/>
      </c>
      <c r="O408" s="30">
        <f>IF(OR($A408="",$L408=""),"",IF(OR($K408="Resolved",$K408="Will not fix"),"Closed",IF(TODAY()&gt;$L408,"OVERDUE","On time")))</f>
        <v/>
      </c>
      <c r="P408" s="27" t="n"/>
    </row>
    <row r="409">
      <c r="A409" s="27" t="n"/>
      <c r="B409" s="29" t="n"/>
      <c r="C409" s="27" t="n"/>
      <c r="D409" s="27" t="n"/>
      <c r="E409" s="27" t="n"/>
      <c r="F409" s="27" t="n"/>
      <c r="G409" s="23" t="n"/>
      <c r="H409" s="27" t="n"/>
      <c r="I409" s="27" t="n"/>
      <c r="J409" s="27" t="n"/>
      <c r="K409" s="23" t="n"/>
      <c r="L409" s="29" t="n"/>
      <c r="M409" s="29" t="n"/>
      <c r="N409" s="30">
        <f>IF($A409="","",IF($M409="",TODAY()-$B409,$M409-$B409))</f>
        <v/>
      </c>
      <c r="O409" s="30">
        <f>IF(OR($A409="",$L409=""),"",IF(OR($K409="Resolved",$K409="Will not fix"),"Closed",IF(TODAY()&gt;$L409,"OVERDUE","On time")))</f>
        <v/>
      </c>
      <c r="P409" s="27" t="n"/>
    </row>
    <row r="410">
      <c r="A410" s="27" t="n"/>
      <c r="B410" s="29" t="n"/>
      <c r="C410" s="27" t="n"/>
      <c r="D410" s="27" t="n"/>
      <c r="E410" s="27" t="n"/>
      <c r="F410" s="27" t="n"/>
      <c r="G410" s="23" t="n"/>
      <c r="H410" s="27" t="n"/>
      <c r="I410" s="27" t="n"/>
      <c r="J410" s="27" t="n"/>
      <c r="K410" s="23" t="n"/>
      <c r="L410" s="29" t="n"/>
      <c r="M410" s="29" t="n"/>
      <c r="N410" s="30">
        <f>IF($A410="","",IF($M410="",TODAY()-$B410,$M410-$B410))</f>
        <v/>
      </c>
      <c r="O410" s="30">
        <f>IF(OR($A410="",$L410=""),"",IF(OR($K410="Resolved",$K410="Will not fix"),"Closed",IF(TODAY()&gt;$L410,"OVERDUE","On time")))</f>
        <v/>
      </c>
      <c r="P410" s="27" t="n"/>
    </row>
    <row r="411">
      <c r="A411" s="27" t="n"/>
      <c r="B411" s="29" t="n"/>
      <c r="C411" s="27" t="n"/>
      <c r="D411" s="27" t="n"/>
      <c r="E411" s="27" t="n"/>
      <c r="F411" s="27" t="n"/>
      <c r="G411" s="23" t="n"/>
      <c r="H411" s="27" t="n"/>
      <c r="I411" s="27" t="n"/>
      <c r="J411" s="27" t="n"/>
      <c r="K411" s="23" t="n"/>
      <c r="L411" s="29" t="n"/>
      <c r="M411" s="29" t="n"/>
      <c r="N411" s="30">
        <f>IF($A411="","",IF($M411="",TODAY()-$B411,$M411-$B411))</f>
        <v/>
      </c>
      <c r="O411" s="30">
        <f>IF(OR($A411="",$L411=""),"",IF(OR($K411="Resolved",$K411="Will not fix"),"Closed",IF(TODAY()&gt;$L411,"OVERDUE","On time")))</f>
        <v/>
      </c>
      <c r="P411" s="27" t="n"/>
    </row>
    <row r="412">
      <c r="A412" s="27" t="n"/>
      <c r="B412" s="29" t="n"/>
      <c r="C412" s="27" t="n"/>
      <c r="D412" s="27" t="n"/>
      <c r="E412" s="27" t="n"/>
      <c r="F412" s="27" t="n"/>
      <c r="G412" s="23" t="n"/>
      <c r="H412" s="27" t="n"/>
      <c r="I412" s="27" t="n"/>
      <c r="J412" s="27" t="n"/>
      <c r="K412" s="23" t="n"/>
      <c r="L412" s="29" t="n"/>
      <c r="M412" s="29" t="n"/>
      <c r="N412" s="30">
        <f>IF($A412="","",IF($M412="",TODAY()-$B412,$M412-$B412))</f>
        <v/>
      </c>
      <c r="O412" s="30">
        <f>IF(OR($A412="",$L412=""),"",IF(OR($K412="Resolved",$K412="Will not fix"),"Closed",IF(TODAY()&gt;$L412,"OVERDUE","On time")))</f>
        <v/>
      </c>
      <c r="P412" s="27" t="n"/>
    </row>
    <row r="413">
      <c r="A413" s="27" t="n"/>
      <c r="B413" s="29" t="n"/>
      <c r="C413" s="27" t="n"/>
      <c r="D413" s="27" t="n"/>
      <c r="E413" s="27" t="n"/>
      <c r="F413" s="27" t="n"/>
      <c r="G413" s="23" t="n"/>
      <c r="H413" s="27" t="n"/>
      <c r="I413" s="27" t="n"/>
      <c r="J413" s="27" t="n"/>
      <c r="K413" s="23" t="n"/>
      <c r="L413" s="29" t="n"/>
      <c r="M413" s="29" t="n"/>
      <c r="N413" s="30">
        <f>IF($A413="","",IF($M413="",TODAY()-$B413,$M413-$B413))</f>
        <v/>
      </c>
      <c r="O413" s="30">
        <f>IF(OR($A413="",$L413=""),"",IF(OR($K413="Resolved",$K413="Will not fix"),"Closed",IF(TODAY()&gt;$L413,"OVERDUE","On time")))</f>
        <v/>
      </c>
      <c r="P413" s="27" t="n"/>
    </row>
    <row r="414">
      <c r="A414" s="27" t="n"/>
      <c r="B414" s="29" t="n"/>
      <c r="C414" s="27" t="n"/>
      <c r="D414" s="27" t="n"/>
      <c r="E414" s="27" t="n"/>
      <c r="F414" s="27" t="n"/>
      <c r="G414" s="23" t="n"/>
      <c r="H414" s="27" t="n"/>
      <c r="I414" s="27" t="n"/>
      <c r="J414" s="27" t="n"/>
      <c r="K414" s="23" t="n"/>
      <c r="L414" s="29" t="n"/>
      <c r="M414" s="29" t="n"/>
      <c r="N414" s="30">
        <f>IF($A414="","",IF($M414="",TODAY()-$B414,$M414-$B414))</f>
        <v/>
      </c>
      <c r="O414" s="30">
        <f>IF(OR($A414="",$L414=""),"",IF(OR($K414="Resolved",$K414="Will not fix"),"Closed",IF(TODAY()&gt;$L414,"OVERDUE","On time")))</f>
        <v/>
      </c>
      <c r="P414" s="27" t="n"/>
    </row>
    <row r="415">
      <c r="A415" s="27" t="n"/>
      <c r="B415" s="29" t="n"/>
      <c r="C415" s="27" t="n"/>
      <c r="D415" s="27" t="n"/>
      <c r="E415" s="27" t="n"/>
      <c r="F415" s="27" t="n"/>
      <c r="G415" s="23" t="n"/>
      <c r="H415" s="27" t="n"/>
      <c r="I415" s="27" t="n"/>
      <c r="J415" s="27" t="n"/>
      <c r="K415" s="23" t="n"/>
      <c r="L415" s="29" t="n"/>
      <c r="M415" s="29" t="n"/>
      <c r="N415" s="30">
        <f>IF($A415="","",IF($M415="",TODAY()-$B415,$M415-$B415))</f>
        <v/>
      </c>
      <c r="O415" s="30">
        <f>IF(OR($A415="",$L415=""),"",IF(OR($K415="Resolved",$K415="Will not fix"),"Closed",IF(TODAY()&gt;$L415,"OVERDUE","On time")))</f>
        <v/>
      </c>
      <c r="P415" s="27" t="n"/>
    </row>
    <row r="416">
      <c r="A416" s="27" t="n"/>
      <c r="B416" s="29" t="n"/>
      <c r="C416" s="27" t="n"/>
      <c r="D416" s="27" t="n"/>
      <c r="E416" s="27" t="n"/>
      <c r="F416" s="27" t="n"/>
      <c r="G416" s="23" t="n"/>
      <c r="H416" s="27" t="n"/>
      <c r="I416" s="27" t="n"/>
      <c r="J416" s="27" t="n"/>
      <c r="K416" s="23" t="n"/>
      <c r="L416" s="29" t="n"/>
      <c r="M416" s="29" t="n"/>
      <c r="N416" s="30">
        <f>IF($A416="","",IF($M416="",TODAY()-$B416,$M416-$B416))</f>
        <v/>
      </c>
      <c r="O416" s="30">
        <f>IF(OR($A416="",$L416=""),"",IF(OR($K416="Resolved",$K416="Will not fix"),"Closed",IF(TODAY()&gt;$L416,"OVERDUE","On time")))</f>
        <v/>
      </c>
      <c r="P416" s="27" t="n"/>
    </row>
    <row r="417">
      <c r="A417" s="27" t="n"/>
      <c r="B417" s="29" t="n"/>
      <c r="C417" s="27" t="n"/>
      <c r="D417" s="27" t="n"/>
      <c r="E417" s="27" t="n"/>
      <c r="F417" s="27" t="n"/>
      <c r="G417" s="23" t="n"/>
      <c r="H417" s="27" t="n"/>
      <c r="I417" s="27" t="n"/>
      <c r="J417" s="27" t="n"/>
      <c r="K417" s="23" t="n"/>
      <c r="L417" s="29" t="n"/>
      <c r="M417" s="29" t="n"/>
      <c r="N417" s="30">
        <f>IF($A417="","",IF($M417="",TODAY()-$B417,$M417-$B417))</f>
        <v/>
      </c>
      <c r="O417" s="30">
        <f>IF(OR($A417="",$L417=""),"",IF(OR($K417="Resolved",$K417="Will not fix"),"Closed",IF(TODAY()&gt;$L417,"OVERDUE","On time")))</f>
        <v/>
      </c>
      <c r="P417" s="27" t="n"/>
    </row>
    <row r="418">
      <c r="A418" s="27" t="n"/>
      <c r="B418" s="29" t="n"/>
      <c r="C418" s="27" t="n"/>
      <c r="D418" s="27" t="n"/>
      <c r="E418" s="27" t="n"/>
      <c r="F418" s="27" t="n"/>
      <c r="G418" s="23" t="n"/>
      <c r="H418" s="27" t="n"/>
      <c r="I418" s="27" t="n"/>
      <c r="J418" s="27" t="n"/>
      <c r="K418" s="23" t="n"/>
      <c r="L418" s="29" t="n"/>
      <c r="M418" s="29" t="n"/>
      <c r="N418" s="30">
        <f>IF($A418="","",IF($M418="",TODAY()-$B418,$M418-$B418))</f>
        <v/>
      </c>
      <c r="O418" s="30">
        <f>IF(OR($A418="",$L418=""),"",IF(OR($K418="Resolved",$K418="Will not fix"),"Closed",IF(TODAY()&gt;$L418,"OVERDUE","On time")))</f>
        <v/>
      </c>
      <c r="P418" s="27" t="n"/>
    </row>
    <row r="419">
      <c r="A419" s="27" t="n"/>
      <c r="B419" s="29" t="n"/>
      <c r="C419" s="27" t="n"/>
      <c r="D419" s="27" t="n"/>
      <c r="E419" s="27" t="n"/>
      <c r="F419" s="27" t="n"/>
      <c r="G419" s="23" t="n"/>
      <c r="H419" s="27" t="n"/>
      <c r="I419" s="27" t="n"/>
      <c r="J419" s="27" t="n"/>
      <c r="K419" s="23" t="n"/>
      <c r="L419" s="29" t="n"/>
      <c r="M419" s="29" t="n"/>
      <c r="N419" s="30">
        <f>IF($A419="","",IF($M419="",TODAY()-$B419,$M419-$B419))</f>
        <v/>
      </c>
      <c r="O419" s="30">
        <f>IF(OR($A419="",$L419=""),"",IF(OR($K419="Resolved",$K419="Will not fix"),"Closed",IF(TODAY()&gt;$L419,"OVERDUE","On time")))</f>
        <v/>
      </c>
      <c r="P419" s="27" t="n"/>
    </row>
    <row r="420">
      <c r="A420" s="27" t="n"/>
      <c r="B420" s="29" t="n"/>
      <c r="C420" s="27" t="n"/>
      <c r="D420" s="27" t="n"/>
      <c r="E420" s="27" t="n"/>
      <c r="F420" s="27" t="n"/>
      <c r="G420" s="23" t="n"/>
      <c r="H420" s="27" t="n"/>
      <c r="I420" s="27" t="n"/>
      <c r="J420" s="27" t="n"/>
      <c r="K420" s="23" t="n"/>
      <c r="L420" s="29" t="n"/>
      <c r="M420" s="29" t="n"/>
      <c r="N420" s="30">
        <f>IF($A420="","",IF($M420="",TODAY()-$B420,$M420-$B420))</f>
        <v/>
      </c>
      <c r="O420" s="30">
        <f>IF(OR($A420="",$L420=""),"",IF(OR($K420="Resolved",$K420="Will not fix"),"Closed",IF(TODAY()&gt;$L420,"OVERDUE","On time")))</f>
        <v/>
      </c>
      <c r="P420" s="27" t="n"/>
    </row>
    <row r="421">
      <c r="A421" s="27" t="n"/>
      <c r="B421" s="29" t="n"/>
      <c r="C421" s="27" t="n"/>
      <c r="D421" s="27" t="n"/>
      <c r="E421" s="27" t="n"/>
      <c r="F421" s="27" t="n"/>
      <c r="G421" s="23" t="n"/>
      <c r="H421" s="27" t="n"/>
      <c r="I421" s="27" t="n"/>
      <c r="J421" s="27" t="n"/>
      <c r="K421" s="23" t="n"/>
      <c r="L421" s="29" t="n"/>
      <c r="M421" s="29" t="n"/>
      <c r="N421" s="30">
        <f>IF($A421="","",IF($M421="",TODAY()-$B421,$M421-$B421))</f>
        <v/>
      </c>
      <c r="O421" s="30">
        <f>IF(OR($A421="",$L421=""),"",IF(OR($K421="Resolved",$K421="Will not fix"),"Closed",IF(TODAY()&gt;$L421,"OVERDUE","On time")))</f>
        <v/>
      </c>
      <c r="P421" s="27" t="n"/>
    </row>
    <row r="422">
      <c r="A422" s="27" t="n"/>
      <c r="B422" s="29" t="n"/>
      <c r="C422" s="27" t="n"/>
      <c r="D422" s="27" t="n"/>
      <c r="E422" s="27" t="n"/>
      <c r="F422" s="27" t="n"/>
      <c r="G422" s="23" t="n"/>
      <c r="H422" s="27" t="n"/>
      <c r="I422" s="27" t="n"/>
      <c r="J422" s="27" t="n"/>
      <c r="K422" s="23" t="n"/>
      <c r="L422" s="29" t="n"/>
      <c r="M422" s="29" t="n"/>
      <c r="N422" s="30">
        <f>IF($A422="","",IF($M422="",TODAY()-$B422,$M422-$B422))</f>
        <v/>
      </c>
      <c r="O422" s="30">
        <f>IF(OR($A422="",$L422=""),"",IF(OR($K422="Resolved",$K422="Will not fix"),"Closed",IF(TODAY()&gt;$L422,"OVERDUE","On time")))</f>
        <v/>
      </c>
      <c r="P422" s="27" t="n"/>
    </row>
    <row r="423">
      <c r="A423" s="27" t="n"/>
      <c r="B423" s="29" t="n"/>
      <c r="C423" s="27" t="n"/>
      <c r="D423" s="27" t="n"/>
      <c r="E423" s="27" t="n"/>
      <c r="F423" s="27" t="n"/>
      <c r="G423" s="23" t="n"/>
      <c r="H423" s="27" t="n"/>
      <c r="I423" s="27" t="n"/>
      <c r="J423" s="27" t="n"/>
      <c r="K423" s="23" t="n"/>
      <c r="L423" s="29" t="n"/>
      <c r="M423" s="29" t="n"/>
      <c r="N423" s="30">
        <f>IF($A423="","",IF($M423="",TODAY()-$B423,$M423-$B423))</f>
        <v/>
      </c>
      <c r="O423" s="30">
        <f>IF(OR($A423="",$L423=""),"",IF(OR($K423="Resolved",$K423="Will not fix"),"Closed",IF(TODAY()&gt;$L423,"OVERDUE","On time")))</f>
        <v/>
      </c>
      <c r="P423" s="27" t="n"/>
    </row>
    <row r="424">
      <c r="A424" s="27" t="n"/>
      <c r="B424" s="29" t="n"/>
      <c r="C424" s="27" t="n"/>
      <c r="D424" s="27" t="n"/>
      <c r="E424" s="27" t="n"/>
      <c r="F424" s="27" t="n"/>
      <c r="G424" s="23" t="n"/>
      <c r="H424" s="27" t="n"/>
      <c r="I424" s="27" t="n"/>
      <c r="J424" s="27" t="n"/>
      <c r="K424" s="23" t="n"/>
      <c r="L424" s="29" t="n"/>
      <c r="M424" s="29" t="n"/>
      <c r="N424" s="30">
        <f>IF($A424="","",IF($M424="",TODAY()-$B424,$M424-$B424))</f>
        <v/>
      </c>
      <c r="O424" s="30">
        <f>IF(OR($A424="",$L424=""),"",IF(OR($K424="Resolved",$K424="Will not fix"),"Closed",IF(TODAY()&gt;$L424,"OVERDUE","On time")))</f>
        <v/>
      </c>
      <c r="P424" s="27" t="n"/>
    </row>
    <row r="425">
      <c r="A425" s="27" t="n"/>
      <c r="B425" s="29" t="n"/>
      <c r="C425" s="27" t="n"/>
      <c r="D425" s="27" t="n"/>
      <c r="E425" s="27" t="n"/>
      <c r="F425" s="27" t="n"/>
      <c r="G425" s="23" t="n"/>
      <c r="H425" s="27" t="n"/>
      <c r="I425" s="27" t="n"/>
      <c r="J425" s="27" t="n"/>
      <c r="K425" s="23" t="n"/>
      <c r="L425" s="29" t="n"/>
      <c r="M425" s="29" t="n"/>
      <c r="N425" s="30">
        <f>IF($A425="","",IF($M425="",TODAY()-$B425,$M425-$B425))</f>
        <v/>
      </c>
      <c r="O425" s="30">
        <f>IF(OR($A425="",$L425=""),"",IF(OR($K425="Resolved",$K425="Will not fix"),"Closed",IF(TODAY()&gt;$L425,"OVERDUE","On time")))</f>
        <v/>
      </c>
      <c r="P425" s="27" t="n"/>
    </row>
    <row r="426">
      <c r="A426" s="27" t="n"/>
      <c r="B426" s="29" t="n"/>
      <c r="C426" s="27" t="n"/>
      <c r="D426" s="27" t="n"/>
      <c r="E426" s="27" t="n"/>
      <c r="F426" s="27" t="n"/>
      <c r="G426" s="23" t="n"/>
      <c r="H426" s="27" t="n"/>
      <c r="I426" s="27" t="n"/>
      <c r="J426" s="27" t="n"/>
      <c r="K426" s="23" t="n"/>
      <c r="L426" s="29" t="n"/>
      <c r="M426" s="29" t="n"/>
      <c r="N426" s="30">
        <f>IF($A426="","",IF($M426="",TODAY()-$B426,$M426-$B426))</f>
        <v/>
      </c>
      <c r="O426" s="30">
        <f>IF(OR($A426="",$L426=""),"",IF(OR($K426="Resolved",$K426="Will not fix"),"Closed",IF(TODAY()&gt;$L426,"OVERDUE","On time")))</f>
        <v/>
      </c>
      <c r="P426" s="27" t="n"/>
    </row>
    <row r="427">
      <c r="A427" s="27" t="n"/>
      <c r="B427" s="29" t="n"/>
      <c r="C427" s="27" t="n"/>
      <c r="D427" s="27" t="n"/>
      <c r="E427" s="27" t="n"/>
      <c r="F427" s="27" t="n"/>
      <c r="G427" s="23" t="n"/>
      <c r="H427" s="27" t="n"/>
      <c r="I427" s="27" t="n"/>
      <c r="J427" s="27" t="n"/>
      <c r="K427" s="23" t="n"/>
      <c r="L427" s="29" t="n"/>
      <c r="M427" s="29" t="n"/>
      <c r="N427" s="30">
        <f>IF($A427="","",IF($M427="",TODAY()-$B427,$M427-$B427))</f>
        <v/>
      </c>
      <c r="O427" s="30">
        <f>IF(OR($A427="",$L427=""),"",IF(OR($K427="Resolved",$K427="Will not fix"),"Closed",IF(TODAY()&gt;$L427,"OVERDUE","On time")))</f>
        <v/>
      </c>
      <c r="P427" s="27" t="n"/>
    </row>
    <row r="428">
      <c r="A428" s="27" t="n"/>
      <c r="B428" s="29" t="n"/>
      <c r="C428" s="27" t="n"/>
      <c r="D428" s="27" t="n"/>
      <c r="E428" s="27" t="n"/>
      <c r="F428" s="27" t="n"/>
      <c r="G428" s="23" t="n"/>
      <c r="H428" s="27" t="n"/>
      <c r="I428" s="27" t="n"/>
      <c r="J428" s="27" t="n"/>
      <c r="K428" s="23" t="n"/>
      <c r="L428" s="29" t="n"/>
      <c r="M428" s="29" t="n"/>
      <c r="N428" s="30">
        <f>IF($A428="","",IF($M428="",TODAY()-$B428,$M428-$B428))</f>
        <v/>
      </c>
      <c r="O428" s="30">
        <f>IF(OR($A428="",$L428=""),"",IF(OR($K428="Resolved",$K428="Will not fix"),"Closed",IF(TODAY()&gt;$L428,"OVERDUE","On time")))</f>
        <v/>
      </c>
      <c r="P428" s="27" t="n"/>
    </row>
    <row r="429">
      <c r="A429" s="27" t="n"/>
      <c r="B429" s="29" t="n"/>
      <c r="C429" s="27" t="n"/>
      <c r="D429" s="27" t="n"/>
      <c r="E429" s="27" t="n"/>
      <c r="F429" s="27" t="n"/>
      <c r="G429" s="23" t="n"/>
      <c r="H429" s="27" t="n"/>
      <c r="I429" s="27" t="n"/>
      <c r="J429" s="27" t="n"/>
      <c r="K429" s="23" t="n"/>
      <c r="L429" s="29" t="n"/>
      <c r="M429" s="29" t="n"/>
      <c r="N429" s="30">
        <f>IF($A429="","",IF($M429="",TODAY()-$B429,$M429-$B429))</f>
        <v/>
      </c>
      <c r="O429" s="30">
        <f>IF(OR($A429="",$L429=""),"",IF(OR($K429="Resolved",$K429="Will not fix"),"Closed",IF(TODAY()&gt;$L429,"OVERDUE","On time")))</f>
        <v/>
      </c>
      <c r="P429" s="27" t="n"/>
    </row>
    <row r="430">
      <c r="A430" s="27" t="n"/>
      <c r="B430" s="29" t="n"/>
      <c r="C430" s="27" t="n"/>
      <c r="D430" s="27" t="n"/>
      <c r="E430" s="27" t="n"/>
      <c r="F430" s="27" t="n"/>
      <c r="G430" s="23" t="n"/>
      <c r="H430" s="27" t="n"/>
      <c r="I430" s="27" t="n"/>
      <c r="J430" s="27" t="n"/>
      <c r="K430" s="23" t="n"/>
      <c r="L430" s="29" t="n"/>
      <c r="M430" s="29" t="n"/>
      <c r="N430" s="30">
        <f>IF($A430="","",IF($M430="",TODAY()-$B430,$M430-$B430))</f>
        <v/>
      </c>
      <c r="O430" s="30">
        <f>IF(OR($A430="",$L430=""),"",IF(OR($K430="Resolved",$K430="Will not fix"),"Closed",IF(TODAY()&gt;$L430,"OVERDUE","On time")))</f>
        <v/>
      </c>
      <c r="P430" s="27" t="n"/>
    </row>
    <row r="431">
      <c r="A431" s="27" t="n"/>
      <c r="B431" s="29" t="n"/>
      <c r="C431" s="27" t="n"/>
      <c r="D431" s="27" t="n"/>
      <c r="E431" s="27" t="n"/>
      <c r="F431" s="27" t="n"/>
      <c r="G431" s="23" t="n"/>
      <c r="H431" s="27" t="n"/>
      <c r="I431" s="27" t="n"/>
      <c r="J431" s="27" t="n"/>
      <c r="K431" s="23" t="n"/>
      <c r="L431" s="29" t="n"/>
      <c r="M431" s="29" t="n"/>
      <c r="N431" s="30">
        <f>IF($A431="","",IF($M431="",TODAY()-$B431,$M431-$B431))</f>
        <v/>
      </c>
      <c r="O431" s="30">
        <f>IF(OR($A431="",$L431=""),"",IF(OR($K431="Resolved",$K431="Will not fix"),"Closed",IF(TODAY()&gt;$L431,"OVERDUE","On time")))</f>
        <v/>
      </c>
      <c r="P431" s="27" t="n"/>
    </row>
    <row r="432">
      <c r="A432" s="27" t="n"/>
      <c r="B432" s="29" t="n"/>
      <c r="C432" s="27" t="n"/>
      <c r="D432" s="27" t="n"/>
      <c r="E432" s="27" t="n"/>
      <c r="F432" s="27" t="n"/>
      <c r="G432" s="23" t="n"/>
      <c r="H432" s="27" t="n"/>
      <c r="I432" s="27" t="n"/>
      <c r="J432" s="27" t="n"/>
      <c r="K432" s="23" t="n"/>
      <c r="L432" s="29" t="n"/>
      <c r="M432" s="29" t="n"/>
      <c r="N432" s="30">
        <f>IF($A432="","",IF($M432="",TODAY()-$B432,$M432-$B432))</f>
        <v/>
      </c>
      <c r="O432" s="30">
        <f>IF(OR($A432="",$L432=""),"",IF(OR($K432="Resolved",$K432="Will not fix"),"Closed",IF(TODAY()&gt;$L432,"OVERDUE","On time")))</f>
        <v/>
      </c>
      <c r="P432" s="27" t="n"/>
    </row>
    <row r="433">
      <c r="A433" s="27" t="n"/>
      <c r="B433" s="29" t="n"/>
      <c r="C433" s="27" t="n"/>
      <c r="D433" s="27" t="n"/>
      <c r="E433" s="27" t="n"/>
      <c r="F433" s="27" t="n"/>
      <c r="G433" s="23" t="n"/>
      <c r="H433" s="27" t="n"/>
      <c r="I433" s="27" t="n"/>
      <c r="J433" s="27" t="n"/>
      <c r="K433" s="23" t="n"/>
      <c r="L433" s="29" t="n"/>
      <c r="M433" s="29" t="n"/>
      <c r="N433" s="30">
        <f>IF($A433="","",IF($M433="",TODAY()-$B433,$M433-$B433))</f>
        <v/>
      </c>
      <c r="O433" s="30">
        <f>IF(OR($A433="",$L433=""),"",IF(OR($K433="Resolved",$K433="Will not fix"),"Closed",IF(TODAY()&gt;$L433,"OVERDUE","On time")))</f>
        <v/>
      </c>
      <c r="P433" s="27" t="n"/>
    </row>
    <row r="434">
      <c r="A434" s="27" t="n"/>
      <c r="B434" s="29" t="n"/>
      <c r="C434" s="27" t="n"/>
      <c r="D434" s="27" t="n"/>
      <c r="E434" s="27" t="n"/>
      <c r="F434" s="27" t="n"/>
      <c r="G434" s="23" t="n"/>
      <c r="H434" s="27" t="n"/>
      <c r="I434" s="27" t="n"/>
      <c r="J434" s="27" t="n"/>
      <c r="K434" s="23" t="n"/>
      <c r="L434" s="29" t="n"/>
      <c r="M434" s="29" t="n"/>
      <c r="N434" s="30">
        <f>IF($A434="","",IF($M434="",TODAY()-$B434,$M434-$B434))</f>
        <v/>
      </c>
      <c r="O434" s="30">
        <f>IF(OR($A434="",$L434=""),"",IF(OR($K434="Resolved",$K434="Will not fix"),"Closed",IF(TODAY()&gt;$L434,"OVERDUE","On time")))</f>
        <v/>
      </c>
      <c r="P434" s="27" t="n"/>
    </row>
    <row r="435">
      <c r="A435" s="27" t="n"/>
      <c r="B435" s="29" t="n"/>
      <c r="C435" s="27" t="n"/>
      <c r="D435" s="27" t="n"/>
      <c r="E435" s="27" t="n"/>
      <c r="F435" s="27" t="n"/>
      <c r="G435" s="23" t="n"/>
      <c r="H435" s="27" t="n"/>
      <c r="I435" s="27" t="n"/>
      <c r="J435" s="27" t="n"/>
      <c r="K435" s="23" t="n"/>
      <c r="L435" s="29" t="n"/>
      <c r="M435" s="29" t="n"/>
      <c r="N435" s="30">
        <f>IF($A435="","",IF($M435="",TODAY()-$B435,$M435-$B435))</f>
        <v/>
      </c>
      <c r="O435" s="30">
        <f>IF(OR($A435="",$L435=""),"",IF(OR($K435="Resolved",$K435="Will not fix"),"Closed",IF(TODAY()&gt;$L435,"OVERDUE","On time")))</f>
        <v/>
      </c>
      <c r="P435" s="27" t="n"/>
    </row>
    <row r="436">
      <c r="A436" s="27" t="n"/>
      <c r="B436" s="29" t="n"/>
      <c r="C436" s="27" t="n"/>
      <c r="D436" s="27" t="n"/>
      <c r="E436" s="27" t="n"/>
      <c r="F436" s="27" t="n"/>
      <c r="G436" s="23" t="n"/>
      <c r="H436" s="27" t="n"/>
      <c r="I436" s="27" t="n"/>
      <c r="J436" s="27" t="n"/>
      <c r="K436" s="23" t="n"/>
      <c r="L436" s="29" t="n"/>
      <c r="M436" s="29" t="n"/>
      <c r="N436" s="30">
        <f>IF($A436="","",IF($M436="",TODAY()-$B436,$M436-$B436))</f>
        <v/>
      </c>
      <c r="O436" s="30">
        <f>IF(OR($A436="",$L436=""),"",IF(OR($K436="Resolved",$K436="Will not fix"),"Closed",IF(TODAY()&gt;$L436,"OVERDUE","On time")))</f>
        <v/>
      </c>
      <c r="P436" s="27" t="n"/>
    </row>
    <row r="437">
      <c r="A437" s="27" t="n"/>
      <c r="B437" s="29" t="n"/>
      <c r="C437" s="27" t="n"/>
      <c r="D437" s="27" t="n"/>
      <c r="E437" s="27" t="n"/>
      <c r="F437" s="27" t="n"/>
      <c r="G437" s="23" t="n"/>
      <c r="H437" s="27" t="n"/>
      <c r="I437" s="27" t="n"/>
      <c r="J437" s="27" t="n"/>
      <c r="K437" s="23" t="n"/>
      <c r="L437" s="29" t="n"/>
      <c r="M437" s="29" t="n"/>
      <c r="N437" s="30">
        <f>IF($A437="","",IF($M437="",TODAY()-$B437,$M437-$B437))</f>
        <v/>
      </c>
      <c r="O437" s="30">
        <f>IF(OR($A437="",$L437=""),"",IF(OR($K437="Resolved",$K437="Will not fix"),"Closed",IF(TODAY()&gt;$L437,"OVERDUE","On time")))</f>
        <v/>
      </c>
      <c r="P437" s="27" t="n"/>
    </row>
    <row r="438">
      <c r="A438" s="27" t="n"/>
      <c r="B438" s="29" t="n"/>
      <c r="C438" s="27" t="n"/>
      <c r="D438" s="27" t="n"/>
      <c r="E438" s="27" t="n"/>
      <c r="F438" s="27" t="n"/>
      <c r="G438" s="23" t="n"/>
      <c r="H438" s="27" t="n"/>
      <c r="I438" s="27" t="n"/>
      <c r="J438" s="27" t="n"/>
      <c r="K438" s="23" t="n"/>
      <c r="L438" s="29" t="n"/>
      <c r="M438" s="29" t="n"/>
      <c r="N438" s="30">
        <f>IF($A438="","",IF($M438="",TODAY()-$B438,$M438-$B438))</f>
        <v/>
      </c>
      <c r="O438" s="30">
        <f>IF(OR($A438="",$L438=""),"",IF(OR($K438="Resolved",$K438="Will not fix"),"Closed",IF(TODAY()&gt;$L438,"OVERDUE","On time")))</f>
        <v/>
      </c>
      <c r="P438" s="27" t="n"/>
    </row>
    <row r="439">
      <c r="A439" s="27" t="n"/>
      <c r="B439" s="29" t="n"/>
      <c r="C439" s="27" t="n"/>
      <c r="D439" s="27" t="n"/>
      <c r="E439" s="27" t="n"/>
      <c r="F439" s="27" t="n"/>
      <c r="G439" s="23" t="n"/>
      <c r="H439" s="27" t="n"/>
      <c r="I439" s="27" t="n"/>
      <c r="J439" s="27" t="n"/>
      <c r="K439" s="23" t="n"/>
      <c r="L439" s="29" t="n"/>
      <c r="M439" s="29" t="n"/>
      <c r="N439" s="30">
        <f>IF($A439="","",IF($M439="",TODAY()-$B439,$M439-$B439))</f>
        <v/>
      </c>
      <c r="O439" s="30">
        <f>IF(OR($A439="",$L439=""),"",IF(OR($K439="Resolved",$K439="Will not fix"),"Closed",IF(TODAY()&gt;$L439,"OVERDUE","On time")))</f>
        <v/>
      </c>
      <c r="P439" s="27" t="n"/>
    </row>
    <row r="440">
      <c r="A440" s="27" t="n"/>
      <c r="B440" s="29" t="n"/>
      <c r="C440" s="27" t="n"/>
      <c r="D440" s="27" t="n"/>
      <c r="E440" s="27" t="n"/>
      <c r="F440" s="27" t="n"/>
      <c r="G440" s="23" t="n"/>
      <c r="H440" s="27" t="n"/>
      <c r="I440" s="27" t="n"/>
      <c r="J440" s="27" t="n"/>
      <c r="K440" s="23" t="n"/>
      <c r="L440" s="29" t="n"/>
      <c r="M440" s="29" t="n"/>
      <c r="N440" s="30">
        <f>IF($A440="","",IF($M440="",TODAY()-$B440,$M440-$B440))</f>
        <v/>
      </c>
      <c r="O440" s="30">
        <f>IF(OR($A440="",$L440=""),"",IF(OR($K440="Resolved",$K440="Will not fix"),"Closed",IF(TODAY()&gt;$L440,"OVERDUE","On time")))</f>
        <v/>
      </c>
      <c r="P440" s="27" t="n"/>
    </row>
    <row r="441">
      <c r="A441" s="27" t="n"/>
      <c r="B441" s="29" t="n"/>
      <c r="C441" s="27" t="n"/>
      <c r="D441" s="27" t="n"/>
      <c r="E441" s="27" t="n"/>
      <c r="F441" s="27" t="n"/>
      <c r="G441" s="23" t="n"/>
      <c r="H441" s="27" t="n"/>
      <c r="I441" s="27" t="n"/>
      <c r="J441" s="27" t="n"/>
      <c r="K441" s="23" t="n"/>
      <c r="L441" s="29" t="n"/>
      <c r="M441" s="29" t="n"/>
      <c r="N441" s="30">
        <f>IF($A441="","",IF($M441="",TODAY()-$B441,$M441-$B441))</f>
        <v/>
      </c>
      <c r="O441" s="30">
        <f>IF(OR($A441="",$L441=""),"",IF(OR($K441="Resolved",$K441="Will not fix"),"Closed",IF(TODAY()&gt;$L441,"OVERDUE","On time")))</f>
        <v/>
      </c>
      <c r="P441" s="27" t="n"/>
    </row>
    <row r="442">
      <c r="A442" s="27" t="n"/>
      <c r="B442" s="29" t="n"/>
      <c r="C442" s="27" t="n"/>
      <c r="D442" s="27" t="n"/>
      <c r="E442" s="27" t="n"/>
      <c r="F442" s="27" t="n"/>
      <c r="G442" s="23" t="n"/>
      <c r="H442" s="27" t="n"/>
      <c r="I442" s="27" t="n"/>
      <c r="J442" s="27" t="n"/>
      <c r="K442" s="23" t="n"/>
      <c r="L442" s="29" t="n"/>
      <c r="M442" s="29" t="n"/>
      <c r="N442" s="30">
        <f>IF($A442="","",IF($M442="",TODAY()-$B442,$M442-$B442))</f>
        <v/>
      </c>
      <c r="O442" s="30">
        <f>IF(OR($A442="",$L442=""),"",IF(OR($K442="Resolved",$K442="Will not fix"),"Closed",IF(TODAY()&gt;$L442,"OVERDUE","On time")))</f>
        <v/>
      </c>
      <c r="P442" s="27" t="n"/>
    </row>
    <row r="443">
      <c r="A443" s="27" t="n"/>
      <c r="B443" s="29" t="n"/>
      <c r="C443" s="27" t="n"/>
      <c r="D443" s="27" t="n"/>
      <c r="E443" s="27" t="n"/>
      <c r="F443" s="27" t="n"/>
      <c r="G443" s="23" t="n"/>
      <c r="H443" s="27" t="n"/>
      <c r="I443" s="27" t="n"/>
      <c r="J443" s="27" t="n"/>
      <c r="K443" s="23" t="n"/>
      <c r="L443" s="29" t="n"/>
      <c r="M443" s="29" t="n"/>
      <c r="N443" s="30">
        <f>IF($A443="","",IF($M443="",TODAY()-$B443,$M443-$B443))</f>
        <v/>
      </c>
      <c r="O443" s="30">
        <f>IF(OR($A443="",$L443=""),"",IF(OR($K443="Resolved",$K443="Will not fix"),"Closed",IF(TODAY()&gt;$L443,"OVERDUE","On time")))</f>
        <v/>
      </c>
      <c r="P443" s="27" t="n"/>
    </row>
    <row r="444">
      <c r="A444" s="27" t="n"/>
      <c r="B444" s="29" t="n"/>
      <c r="C444" s="27" t="n"/>
      <c r="D444" s="27" t="n"/>
      <c r="E444" s="27" t="n"/>
      <c r="F444" s="27" t="n"/>
      <c r="G444" s="23" t="n"/>
      <c r="H444" s="27" t="n"/>
      <c r="I444" s="27" t="n"/>
      <c r="J444" s="27" t="n"/>
      <c r="K444" s="23" t="n"/>
      <c r="L444" s="29" t="n"/>
      <c r="M444" s="29" t="n"/>
      <c r="N444" s="30">
        <f>IF($A444="","",IF($M444="",TODAY()-$B444,$M444-$B444))</f>
        <v/>
      </c>
      <c r="O444" s="30">
        <f>IF(OR($A444="",$L444=""),"",IF(OR($K444="Resolved",$K444="Will not fix"),"Closed",IF(TODAY()&gt;$L444,"OVERDUE","On time")))</f>
        <v/>
      </c>
      <c r="P444" s="27" t="n"/>
    </row>
    <row r="445">
      <c r="A445" s="27" t="n"/>
      <c r="B445" s="29" t="n"/>
      <c r="C445" s="27" t="n"/>
      <c r="D445" s="27" t="n"/>
      <c r="E445" s="27" t="n"/>
      <c r="F445" s="27" t="n"/>
      <c r="G445" s="23" t="n"/>
      <c r="H445" s="27" t="n"/>
      <c r="I445" s="27" t="n"/>
      <c r="J445" s="27" t="n"/>
      <c r="K445" s="23" t="n"/>
      <c r="L445" s="29" t="n"/>
      <c r="M445" s="29" t="n"/>
      <c r="N445" s="30">
        <f>IF($A445="","",IF($M445="",TODAY()-$B445,$M445-$B445))</f>
        <v/>
      </c>
      <c r="O445" s="30">
        <f>IF(OR($A445="",$L445=""),"",IF(OR($K445="Resolved",$K445="Will not fix"),"Closed",IF(TODAY()&gt;$L445,"OVERDUE","On time")))</f>
        <v/>
      </c>
      <c r="P445" s="27" t="n"/>
    </row>
    <row r="446">
      <c r="A446" s="27" t="n"/>
      <c r="B446" s="29" t="n"/>
      <c r="C446" s="27" t="n"/>
      <c r="D446" s="27" t="n"/>
      <c r="E446" s="27" t="n"/>
      <c r="F446" s="27" t="n"/>
      <c r="G446" s="23" t="n"/>
      <c r="H446" s="27" t="n"/>
      <c r="I446" s="27" t="n"/>
      <c r="J446" s="27" t="n"/>
      <c r="K446" s="23" t="n"/>
      <c r="L446" s="29" t="n"/>
      <c r="M446" s="29" t="n"/>
      <c r="N446" s="30">
        <f>IF($A446="","",IF($M446="",TODAY()-$B446,$M446-$B446))</f>
        <v/>
      </c>
      <c r="O446" s="30">
        <f>IF(OR($A446="",$L446=""),"",IF(OR($K446="Resolved",$K446="Will not fix"),"Closed",IF(TODAY()&gt;$L446,"OVERDUE","On time")))</f>
        <v/>
      </c>
      <c r="P446" s="27" t="n"/>
    </row>
    <row r="447">
      <c r="A447" s="27" t="n"/>
      <c r="B447" s="29" t="n"/>
      <c r="C447" s="27" t="n"/>
      <c r="D447" s="27" t="n"/>
      <c r="E447" s="27" t="n"/>
      <c r="F447" s="27" t="n"/>
      <c r="G447" s="23" t="n"/>
      <c r="H447" s="27" t="n"/>
      <c r="I447" s="27" t="n"/>
      <c r="J447" s="27" t="n"/>
      <c r="K447" s="23" t="n"/>
      <c r="L447" s="29" t="n"/>
      <c r="M447" s="29" t="n"/>
      <c r="N447" s="30">
        <f>IF($A447="","",IF($M447="",TODAY()-$B447,$M447-$B447))</f>
        <v/>
      </c>
      <c r="O447" s="30">
        <f>IF(OR($A447="",$L447=""),"",IF(OR($K447="Resolved",$K447="Will not fix"),"Closed",IF(TODAY()&gt;$L447,"OVERDUE","On time")))</f>
        <v/>
      </c>
      <c r="P447" s="27" t="n"/>
    </row>
    <row r="448">
      <c r="A448" s="27" t="n"/>
      <c r="B448" s="29" t="n"/>
      <c r="C448" s="27" t="n"/>
      <c r="D448" s="27" t="n"/>
      <c r="E448" s="27" t="n"/>
      <c r="F448" s="27" t="n"/>
      <c r="G448" s="23" t="n"/>
      <c r="H448" s="27" t="n"/>
      <c r="I448" s="27" t="n"/>
      <c r="J448" s="27" t="n"/>
      <c r="K448" s="23" t="n"/>
      <c r="L448" s="29" t="n"/>
      <c r="M448" s="29" t="n"/>
      <c r="N448" s="30">
        <f>IF($A448="","",IF($M448="",TODAY()-$B448,$M448-$B448))</f>
        <v/>
      </c>
      <c r="O448" s="30">
        <f>IF(OR($A448="",$L448=""),"",IF(OR($K448="Resolved",$K448="Will not fix"),"Closed",IF(TODAY()&gt;$L448,"OVERDUE","On time")))</f>
        <v/>
      </c>
      <c r="P448" s="27" t="n"/>
    </row>
    <row r="449">
      <c r="A449" s="27" t="n"/>
      <c r="B449" s="29" t="n"/>
      <c r="C449" s="27" t="n"/>
      <c r="D449" s="27" t="n"/>
      <c r="E449" s="27" t="n"/>
      <c r="F449" s="27" t="n"/>
      <c r="G449" s="23" t="n"/>
      <c r="H449" s="27" t="n"/>
      <c r="I449" s="27" t="n"/>
      <c r="J449" s="27" t="n"/>
      <c r="K449" s="23" t="n"/>
      <c r="L449" s="29" t="n"/>
      <c r="M449" s="29" t="n"/>
      <c r="N449" s="30">
        <f>IF($A449="","",IF($M449="",TODAY()-$B449,$M449-$B449))</f>
        <v/>
      </c>
      <c r="O449" s="30">
        <f>IF(OR($A449="",$L449=""),"",IF(OR($K449="Resolved",$K449="Will not fix"),"Closed",IF(TODAY()&gt;$L449,"OVERDUE","On time")))</f>
        <v/>
      </c>
      <c r="P449" s="27" t="n"/>
    </row>
    <row r="450">
      <c r="A450" s="27" t="n"/>
      <c r="B450" s="29" t="n"/>
      <c r="C450" s="27" t="n"/>
      <c r="D450" s="27" t="n"/>
      <c r="E450" s="27" t="n"/>
      <c r="F450" s="27" t="n"/>
      <c r="G450" s="23" t="n"/>
      <c r="H450" s="27" t="n"/>
      <c r="I450" s="27" t="n"/>
      <c r="J450" s="27" t="n"/>
      <c r="K450" s="23" t="n"/>
      <c r="L450" s="29" t="n"/>
      <c r="M450" s="29" t="n"/>
      <c r="N450" s="30">
        <f>IF($A450="","",IF($M450="",TODAY()-$B450,$M450-$B450))</f>
        <v/>
      </c>
      <c r="O450" s="30">
        <f>IF(OR($A450="",$L450=""),"",IF(OR($K450="Resolved",$K450="Will not fix"),"Closed",IF(TODAY()&gt;$L450,"OVERDUE","On time")))</f>
        <v/>
      </c>
      <c r="P450" s="27" t="n"/>
    </row>
    <row r="451">
      <c r="A451" s="27" t="n"/>
      <c r="B451" s="29" t="n"/>
      <c r="C451" s="27" t="n"/>
      <c r="D451" s="27" t="n"/>
      <c r="E451" s="27" t="n"/>
      <c r="F451" s="27" t="n"/>
      <c r="G451" s="23" t="n"/>
      <c r="H451" s="27" t="n"/>
      <c r="I451" s="27" t="n"/>
      <c r="J451" s="27" t="n"/>
      <c r="K451" s="23" t="n"/>
      <c r="L451" s="29" t="n"/>
      <c r="M451" s="29" t="n"/>
      <c r="N451" s="30">
        <f>IF($A451="","",IF($M451="",TODAY()-$B451,$M451-$B451))</f>
        <v/>
      </c>
      <c r="O451" s="30">
        <f>IF(OR($A451="",$L451=""),"",IF(OR($K451="Resolved",$K451="Will not fix"),"Closed",IF(TODAY()&gt;$L451,"OVERDUE","On time")))</f>
        <v/>
      </c>
      <c r="P451" s="27" t="n"/>
    </row>
    <row r="452">
      <c r="A452" s="27" t="n"/>
      <c r="B452" s="29" t="n"/>
      <c r="C452" s="27" t="n"/>
      <c r="D452" s="27" t="n"/>
      <c r="E452" s="27" t="n"/>
      <c r="F452" s="27" t="n"/>
      <c r="G452" s="23" t="n"/>
      <c r="H452" s="27" t="n"/>
      <c r="I452" s="27" t="n"/>
      <c r="J452" s="27" t="n"/>
      <c r="K452" s="23" t="n"/>
      <c r="L452" s="29" t="n"/>
      <c r="M452" s="29" t="n"/>
      <c r="N452" s="30">
        <f>IF($A452="","",IF($M452="",TODAY()-$B452,$M452-$B452))</f>
        <v/>
      </c>
      <c r="O452" s="30">
        <f>IF(OR($A452="",$L452=""),"",IF(OR($K452="Resolved",$K452="Will not fix"),"Closed",IF(TODAY()&gt;$L452,"OVERDUE","On time")))</f>
        <v/>
      </c>
      <c r="P452" s="27" t="n"/>
    </row>
    <row r="453">
      <c r="A453" s="27" t="n"/>
      <c r="B453" s="29" t="n"/>
      <c r="C453" s="27" t="n"/>
      <c r="D453" s="27" t="n"/>
      <c r="E453" s="27" t="n"/>
      <c r="F453" s="27" t="n"/>
      <c r="G453" s="23" t="n"/>
      <c r="H453" s="27" t="n"/>
      <c r="I453" s="27" t="n"/>
      <c r="J453" s="27" t="n"/>
      <c r="K453" s="23" t="n"/>
      <c r="L453" s="29" t="n"/>
      <c r="M453" s="29" t="n"/>
      <c r="N453" s="30">
        <f>IF($A453="","",IF($M453="",TODAY()-$B453,$M453-$B453))</f>
        <v/>
      </c>
      <c r="O453" s="30">
        <f>IF(OR($A453="",$L453=""),"",IF(OR($K453="Resolved",$K453="Will not fix"),"Closed",IF(TODAY()&gt;$L453,"OVERDUE","On time")))</f>
        <v/>
      </c>
      <c r="P453" s="27" t="n"/>
    </row>
    <row r="454">
      <c r="A454" s="27" t="n"/>
      <c r="B454" s="29" t="n"/>
      <c r="C454" s="27" t="n"/>
      <c r="D454" s="27" t="n"/>
      <c r="E454" s="27" t="n"/>
      <c r="F454" s="27" t="n"/>
      <c r="G454" s="23" t="n"/>
      <c r="H454" s="27" t="n"/>
      <c r="I454" s="27" t="n"/>
      <c r="J454" s="27" t="n"/>
      <c r="K454" s="23" t="n"/>
      <c r="L454" s="29" t="n"/>
      <c r="M454" s="29" t="n"/>
      <c r="N454" s="30">
        <f>IF($A454="","",IF($M454="",TODAY()-$B454,$M454-$B454))</f>
        <v/>
      </c>
      <c r="O454" s="30">
        <f>IF(OR($A454="",$L454=""),"",IF(OR($K454="Resolved",$K454="Will not fix"),"Closed",IF(TODAY()&gt;$L454,"OVERDUE","On time")))</f>
        <v/>
      </c>
      <c r="P454" s="27" t="n"/>
    </row>
    <row r="455">
      <c r="A455" s="27" t="n"/>
      <c r="B455" s="29" t="n"/>
      <c r="C455" s="27" t="n"/>
      <c r="D455" s="27" t="n"/>
      <c r="E455" s="27" t="n"/>
      <c r="F455" s="27" t="n"/>
      <c r="G455" s="23" t="n"/>
      <c r="H455" s="27" t="n"/>
      <c r="I455" s="27" t="n"/>
      <c r="J455" s="27" t="n"/>
      <c r="K455" s="23" t="n"/>
      <c r="L455" s="29" t="n"/>
      <c r="M455" s="29" t="n"/>
      <c r="N455" s="30">
        <f>IF($A455="","",IF($M455="",TODAY()-$B455,$M455-$B455))</f>
        <v/>
      </c>
      <c r="O455" s="30">
        <f>IF(OR($A455="",$L455=""),"",IF(OR($K455="Resolved",$K455="Will not fix"),"Closed",IF(TODAY()&gt;$L455,"OVERDUE","On time")))</f>
        <v/>
      </c>
      <c r="P455" s="27" t="n"/>
    </row>
    <row r="456">
      <c r="A456" s="27" t="n"/>
      <c r="B456" s="29" t="n"/>
      <c r="C456" s="27" t="n"/>
      <c r="D456" s="27" t="n"/>
      <c r="E456" s="27" t="n"/>
      <c r="F456" s="27" t="n"/>
      <c r="G456" s="23" t="n"/>
      <c r="H456" s="27" t="n"/>
      <c r="I456" s="27" t="n"/>
      <c r="J456" s="27" t="n"/>
      <c r="K456" s="23" t="n"/>
      <c r="L456" s="29" t="n"/>
      <c r="M456" s="29" t="n"/>
      <c r="N456" s="30">
        <f>IF($A456="","",IF($M456="",TODAY()-$B456,$M456-$B456))</f>
        <v/>
      </c>
      <c r="O456" s="30">
        <f>IF(OR($A456="",$L456=""),"",IF(OR($K456="Resolved",$K456="Will not fix"),"Closed",IF(TODAY()&gt;$L456,"OVERDUE","On time")))</f>
        <v/>
      </c>
      <c r="P456" s="27" t="n"/>
    </row>
    <row r="457">
      <c r="A457" s="27" t="n"/>
      <c r="B457" s="29" t="n"/>
      <c r="C457" s="27" t="n"/>
      <c r="D457" s="27" t="n"/>
      <c r="E457" s="27" t="n"/>
      <c r="F457" s="27" t="n"/>
      <c r="G457" s="23" t="n"/>
      <c r="H457" s="27" t="n"/>
      <c r="I457" s="27" t="n"/>
      <c r="J457" s="27" t="n"/>
      <c r="K457" s="23" t="n"/>
      <c r="L457" s="29" t="n"/>
      <c r="M457" s="29" t="n"/>
      <c r="N457" s="30">
        <f>IF($A457="","",IF($M457="",TODAY()-$B457,$M457-$B457))</f>
        <v/>
      </c>
      <c r="O457" s="30">
        <f>IF(OR($A457="",$L457=""),"",IF(OR($K457="Resolved",$K457="Will not fix"),"Closed",IF(TODAY()&gt;$L457,"OVERDUE","On time")))</f>
        <v/>
      </c>
      <c r="P457" s="27" t="n"/>
    </row>
    <row r="458">
      <c r="A458" s="27" t="n"/>
      <c r="B458" s="29" t="n"/>
      <c r="C458" s="27" t="n"/>
      <c r="D458" s="27" t="n"/>
      <c r="E458" s="27" t="n"/>
      <c r="F458" s="27" t="n"/>
      <c r="G458" s="23" t="n"/>
      <c r="H458" s="27" t="n"/>
      <c r="I458" s="27" t="n"/>
      <c r="J458" s="27" t="n"/>
      <c r="K458" s="23" t="n"/>
      <c r="L458" s="29" t="n"/>
      <c r="M458" s="29" t="n"/>
      <c r="N458" s="30">
        <f>IF($A458="","",IF($M458="",TODAY()-$B458,$M458-$B458))</f>
        <v/>
      </c>
      <c r="O458" s="30">
        <f>IF(OR($A458="",$L458=""),"",IF(OR($K458="Resolved",$K458="Will not fix"),"Closed",IF(TODAY()&gt;$L458,"OVERDUE","On time")))</f>
        <v/>
      </c>
      <c r="P458" s="27" t="n"/>
    </row>
    <row r="459">
      <c r="A459" s="27" t="n"/>
      <c r="B459" s="29" t="n"/>
      <c r="C459" s="27" t="n"/>
      <c r="D459" s="27" t="n"/>
      <c r="E459" s="27" t="n"/>
      <c r="F459" s="27" t="n"/>
      <c r="G459" s="23" t="n"/>
      <c r="H459" s="27" t="n"/>
      <c r="I459" s="27" t="n"/>
      <c r="J459" s="27" t="n"/>
      <c r="K459" s="23" t="n"/>
      <c r="L459" s="29" t="n"/>
      <c r="M459" s="29" t="n"/>
      <c r="N459" s="30">
        <f>IF($A459="","",IF($M459="",TODAY()-$B459,$M459-$B459))</f>
        <v/>
      </c>
      <c r="O459" s="30">
        <f>IF(OR($A459="",$L459=""),"",IF(OR($K459="Resolved",$K459="Will not fix"),"Closed",IF(TODAY()&gt;$L459,"OVERDUE","On time")))</f>
        <v/>
      </c>
      <c r="P459" s="27" t="n"/>
    </row>
    <row r="460">
      <c r="A460" s="27" t="n"/>
      <c r="B460" s="29" t="n"/>
      <c r="C460" s="27" t="n"/>
      <c r="D460" s="27" t="n"/>
      <c r="E460" s="27" t="n"/>
      <c r="F460" s="27" t="n"/>
      <c r="G460" s="23" t="n"/>
      <c r="H460" s="27" t="n"/>
      <c r="I460" s="27" t="n"/>
      <c r="J460" s="27" t="n"/>
      <c r="K460" s="23" t="n"/>
      <c r="L460" s="29" t="n"/>
      <c r="M460" s="29" t="n"/>
      <c r="N460" s="30">
        <f>IF($A460="","",IF($M460="",TODAY()-$B460,$M460-$B460))</f>
        <v/>
      </c>
      <c r="O460" s="30">
        <f>IF(OR($A460="",$L460=""),"",IF(OR($K460="Resolved",$K460="Will not fix"),"Closed",IF(TODAY()&gt;$L460,"OVERDUE","On time")))</f>
        <v/>
      </c>
      <c r="P460" s="27" t="n"/>
    </row>
    <row r="461">
      <c r="A461" s="27" t="n"/>
      <c r="B461" s="29" t="n"/>
      <c r="C461" s="27" t="n"/>
      <c r="D461" s="27" t="n"/>
      <c r="E461" s="27" t="n"/>
      <c r="F461" s="27" t="n"/>
      <c r="G461" s="23" t="n"/>
      <c r="H461" s="27" t="n"/>
      <c r="I461" s="27" t="n"/>
      <c r="J461" s="27" t="n"/>
      <c r="K461" s="23" t="n"/>
      <c r="L461" s="29" t="n"/>
      <c r="M461" s="29" t="n"/>
      <c r="N461" s="30">
        <f>IF($A461="","",IF($M461="",TODAY()-$B461,$M461-$B461))</f>
        <v/>
      </c>
      <c r="O461" s="30">
        <f>IF(OR($A461="",$L461=""),"",IF(OR($K461="Resolved",$K461="Will not fix"),"Closed",IF(TODAY()&gt;$L461,"OVERDUE","On time")))</f>
        <v/>
      </c>
      <c r="P461" s="27" t="n"/>
    </row>
    <row r="462">
      <c r="A462" s="27" t="n"/>
      <c r="B462" s="29" t="n"/>
      <c r="C462" s="27" t="n"/>
      <c r="D462" s="27" t="n"/>
      <c r="E462" s="27" t="n"/>
      <c r="F462" s="27" t="n"/>
      <c r="G462" s="23" t="n"/>
      <c r="H462" s="27" t="n"/>
      <c r="I462" s="27" t="n"/>
      <c r="J462" s="27" t="n"/>
      <c r="K462" s="23" t="n"/>
      <c r="L462" s="29" t="n"/>
      <c r="M462" s="29" t="n"/>
      <c r="N462" s="30">
        <f>IF($A462="","",IF($M462="",TODAY()-$B462,$M462-$B462))</f>
        <v/>
      </c>
      <c r="O462" s="30">
        <f>IF(OR($A462="",$L462=""),"",IF(OR($K462="Resolved",$K462="Will not fix"),"Closed",IF(TODAY()&gt;$L462,"OVERDUE","On time")))</f>
        <v/>
      </c>
      <c r="P462" s="27" t="n"/>
    </row>
    <row r="463">
      <c r="A463" s="27" t="n"/>
      <c r="B463" s="29" t="n"/>
      <c r="C463" s="27" t="n"/>
      <c r="D463" s="27" t="n"/>
      <c r="E463" s="27" t="n"/>
      <c r="F463" s="27" t="n"/>
      <c r="G463" s="23" t="n"/>
      <c r="H463" s="27" t="n"/>
      <c r="I463" s="27" t="n"/>
      <c r="J463" s="27" t="n"/>
      <c r="K463" s="23" t="n"/>
      <c r="L463" s="29" t="n"/>
      <c r="M463" s="29" t="n"/>
      <c r="N463" s="30">
        <f>IF($A463="","",IF($M463="",TODAY()-$B463,$M463-$B463))</f>
        <v/>
      </c>
      <c r="O463" s="30">
        <f>IF(OR($A463="",$L463=""),"",IF(OR($K463="Resolved",$K463="Will not fix"),"Closed",IF(TODAY()&gt;$L463,"OVERDUE","On time")))</f>
        <v/>
      </c>
      <c r="P463" s="27" t="n"/>
    </row>
    <row r="464">
      <c r="A464" s="27" t="n"/>
      <c r="B464" s="29" t="n"/>
      <c r="C464" s="27" t="n"/>
      <c r="D464" s="27" t="n"/>
      <c r="E464" s="27" t="n"/>
      <c r="F464" s="27" t="n"/>
      <c r="G464" s="23" t="n"/>
      <c r="H464" s="27" t="n"/>
      <c r="I464" s="27" t="n"/>
      <c r="J464" s="27" t="n"/>
      <c r="K464" s="23" t="n"/>
      <c r="L464" s="29" t="n"/>
      <c r="M464" s="29" t="n"/>
      <c r="N464" s="30">
        <f>IF($A464="","",IF($M464="",TODAY()-$B464,$M464-$B464))</f>
        <v/>
      </c>
      <c r="O464" s="30">
        <f>IF(OR($A464="",$L464=""),"",IF(OR($K464="Resolved",$K464="Will not fix"),"Closed",IF(TODAY()&gt;$L464,"OVERDUE","On time")))</f>
        <v/>
      </c>
      <c r="P464" s="27" t="n"/>
    </row>
    <row r="465">
      <c r="A465" s="27" t="n"/>
      <c r="B465" s="29" t="n"/>
      <c r="C465" s="27" t="n"/>
      <c r="D465" s="27" t="n"/>
      <c r="E465" s="27" t="n"/>
      <c r="F465" s="27" t="n"/>
      <c r="G465" s="23" t="n"/>
      <c r="H465" s="27" t="n"/>
      <c r="I465" s="27" t="n"/>
      <c r="J465" s="27" t="n"/>
      <c r="K465" s="23" t="n"/>
      <c r="L465" s="29" t="n"/>
      <c r="M465" s="29" t="n"/>
      <c r="N465" s="30">
        <f>IF($A465="","",IF($M465="",TODAY()-$B465,$M465-$B465))</f>
        <v/>
      </c>
      <c r="O465" s="30">
        <f>IF(OR($A465="",$L465=""),"",IF(OR($K465="Resolved",$K465="Will not fix"),"Closed",IF(TODAY()&gt;$L465,"OVERDUE","On time")))</f>
        <v/>
      </c>
      <c r="P465" s="27" t="n"/>
    </row>
    <row r="466">
      <c r="A466" s="27" t="n"/>
      <c r="B466" s="29" t="n"/>
      <c r="C466" s="27" t="n"/>
      <c r="D466" s="27" t="n"/>
      <c r="E466" s="27" t="n"/>
      <c r="F466" s="27" t="n"/>
      <c r="G466" s="23" t="n"/>
      <c r="H466" s="27" t="n"/>
      <c r="I466" s="27" t="n"/>
      <c r="J466" s="27" t="n"/>
      <c r="K466" s="23" t="n"/>
      <c r="L466" s="29" t="n"/>
      <c r="M466" s="29" t="n"/>
      <c r="N466" s="30">
        <f>IF($A466="","",IF($M466="",TODAY()-$B466,$M466-$B466))</f>
        <v/>
      </c>
      <c r="O466" s="30">
        <f>IF(OR($A466="",$L466=""),"",IF(OR($K466="Resolved",$K466="Will not fix"),"Closed",IF(TODAY()&gt;$L466,"OVERDUE","On time")))</f>
        <v/>
      </c>
      <c r="P466" s="27" t="n"/>
    </row>
    <row r="467">
      <c r="A467" s="27" t="n"/>
      <c r="B467" s="29" t="n"/>
      <c r="C467" s="27" t="n"/>
      <c r="D467" s="27" t="n"/>
      <c r="E467" s="27" t="n"/>
      <c r="F467" s="27" t="n"/>
      <c r="G467" s="23" t="n"/>
      <c r="H467" s="27" t="n"/>
      <c r="I467" s="27" t="n"/>
      <c r="J467" s="27" t="n"/>
      <c r="K467" s="23" t="n"/>
      <c r="L467" s="29" t="n"/>
      <c r="M467" s="29" t="n"/>
      <c r="N467" s="30">
        <f>IF($A467="","",IF($M467="",TODAY()-$B467,$M467-$B467))</f>
        <v/>
      </c>
      <c r="O467" s="30">
        <f>IF(OR($A467="",$L467=""),"",IF(OR($K467="Resolved",$K467="Will not fix"),"Closed",IF(TODAY()&gt;$L467,"OVERDUE","On time")))</f>
        <v/>
      </c>
      <c r="P467" s="27" t="n"/>
    </row>
    <row r="468">
      <c r="A468" s="27" t="n"/>
      <c r="B468" s="29" t="n"/>
      <c r="C468" s="27" t="n"/>
      <c r="D468" s="27" t="n"/>
      <c r="E468" s="27" t="n"/>
      <c r="F468" s="27" t="n"/>
      <c r="G468" s="23" t="n"/>
      <c r="H468" s="27" t="n"/>
      <c r="I468" s="27" t="n"/>
      <c r="J468" s="27" t="n"/>
      <c r="K468" s="23" t="n"/>
      <c r="L468" s="29" t="n"/>
      <c r="M468" s="29" t="n"/>
      <c r="N468" s="30">
        <f>IF($A468="","",IF($M468="",TODAY()-$B468,$M468-$B468))</f>
        <v/>
      </c>
      <c r="O468" s="30">
        <f>IF(OR($A468="",$L468=""),"",IF(OR($K468="Resolved",$K468="Will not fix"),"Closed",IF(TODAY()&gt;$L468,"OVERDUE","On time")))</f>
        <v/>
      </c>
      <c r="P468" s="27" t="n"/>
    </row>
    <row r="469">
      <c r="A469" s="27" t="n"/>
      <c r="B469" s="29" t="n"/>
      <c r="C469" s="27" t="n"/>
      <c r="D469" s="27" t="n"/>
      <c r="E469" s="27" t="n"/>
      <c r="F469" s="27" t="n"/>
      <c r="G469" s="23" t="n"/>
      <c r="H469" s="27" t="n"/>
      <c r="I469" s="27" t="n"/>
      <c r="J469" s="27" t="n"/>
      <c r="K469" s="23" t="n"/>
      <c r="L469" s="29" t="n"/>
      <c r="M469" s="29" t="n"/>
      <c r="N469" s="30">
        <f>IF($A469="","",IF($M469="",TODAY()-$B469,$M469-$B469))</f>
        <v/>
      </c>
      <c r="O469" s="30">
        <f>IF(OR($A469="",$L469=""),"",IF(OR($K469="Resolved",$K469="Will not fix"),"Closed",IF(TODAY()&gt;$L469,"OVERDUE","On time")))</f>
        <v/>
      </c>
      <c r="P469" s="27" t="n"/>
    </row>
    <row r="470">
      <c r="A470" s="27" t="n"/>
      <c r="B470" s="29" t="n"/>
      <c r="C470" s="27" t="n"/>
      <c r="D470" s="27" t="n"/>
      <c r="E470" s="27" t="n"/>
      <c r="F470" s="27" t="n"/>
      <c r="G470" s="23" t="n"/>
      <c r="H470" s="27" t="n"/>
      <c r="I470" s="27" t="n"/>
      <c r="J470" s="27" t="n"/>
      <c r="K470" s="23" t="n"/>
      <c r="L470" s="29" t="n"/>
      <c r="M470" s="29" t="n"/>
      <c r="N470" s="30">
        <f>IF($A470="","",IF($M470="",TODAY()-$B470,$M470-$B470))</f>
        <v/>
      </c>
      <c r="O470" s="30">
        <f>IF(OR($A470="",$L470=""),"",IF(OR($K470="Resolved",$K470="Will not fix"),"Closed",IF(TODAY()&gt;$L470,"OVERDUE","On time")))</f>
        <v/>
      </c>
      <c r="P470" s="27" t="n"/>
    </row>
    <row r="471">
      <c r="A471" s="27" t="n"/>
      <c r="B471" s="29" t="n"/>
      <c r="C471" s="27" t="n"/>
      <c r="D471" s="27" t="n"/>
      <c r="E471" s="27" t="n"/>
      <c r="F471" s="27" t="n"/>
      <c r="G471" s="23" t="n"/>
      <c r="H471" s="27" t="n"/>
      <c r="I471" s="27" t="n"/>
      <c r="J471" s="27" t="n"/>
      <c r="K471" s="23" t="n"/>
      <c r="L471" s="29" t="n"/>
      <c r="M471" s="29" t="n"/>
      <c r="N471" s="30">
        <f>IF($A471="","",IF($M471="",TODAY()-$B471,$M471-$B471))</f>
        <v/>
      </c>
      <c r="O471" s="30">
        <f>IF(OR($A471="",$L471=""),"",IF(OR($K471="Resolved",$K471="Will not fix"),"Closed",IF(TODAY()&gt;$L471,"OVERDUE","On time")))</f>
        <v/>
      </c>
      <c r="P471" s="27" t="n"/>
    </row>
    <row r="472">
      <c r="A472" s="27" t="n"/>
      <c r="B472" s="29" t="n"/>
      <c r="C472" s="27" t="n"/>
      <c r="D472" s="27" t="n"/>
      <c r="E472" s="27" t="n"/>
      <c r="F472" s="27" t="n"/>
      <c r="G472" s="23" t="n"/>
      <c r="H472" s="27" t="n"/>
      <c r="I472" s="27" t="n"/>
      <c r="J472" s="27" t="n"/>
      <c r="K472" s="23" t="n"/>
      <c r="L472" s="29" t="n"/>
      <c r="M472" s="29" t="n"/>
      <c r="N472" s="30">
        <f>IF($A472="","",IF($M472="",TODAY()-$B472,$M472-$B472))</f>
        <v/>
      </c>
      <c r="O472" s="30">
        <f>IF(OR($A472="",$L472=""),"",IF(OR($K472="Resolved",$K472="Will not fix"),"Closed",IF(TODAY()&gt;$L472,"OVERDUE","On time")))</f>
        <v/>
      </c>
      <c r="P472" s="27" t="n"/>
    </row>
    <row r="473">
      <c r="A473" s="27" t="n"/>
      <c r="B473" s="29" t="n"/>
      <c r="C473" s="27" t="n"/>
      <c r="D473" s="27" t="n"/>
      <c r="E473" s="27" t="n"/>
      <c r="F473" s="27" t="n"/>
      <c r="G473" s="23" t="n"/>
      <c r="H473" s="27" t="n"/>
      <c r="I473" s="27" t="n"/>
      <c r="J473" s="27" t="n"/>
      <c r="K473" s="23" t="n"/>
      <c r="L473" s="29" t="n"/>
      <c r="M473" s="29" t="n"/>
      <c r="N473" s="30">
        <f>IF($A473="","",IF($M473="",TODAY()-$B473,$M473-$B473))</f>
        <v/>
      </c>
      <c r="O473" s="30">
        <f>IF(OR($A473="",$L473=""),"",IF(OR($K473="Resolved",$K473="Will not fix"),"Closed",IF(TODAY()&gt;$L473,"OVERDUE","On time")))</f>
        <v/>
      </c>
      <c r="P473" s="27" t="n"/>
    </row>
    <row r="474">
      <c r="A474" s="27" t="n"/>
      <c r="B474" s="29" t="n"/>
      <c r="C474" s="27" t="n"/>
      <c r="D474" s="27" t="n"/>
      <c r="E474" s="27" t="n"/>
      <c r="F474" s="27" t="n"/>
      <c r="G474" s="23" t="n"/>
      <c r="H474" s="27" t="n"/>
      <c r="I474" s="27" t="n"/>
      <c r="J474" s="27" t="n"/>
      <c r="K474" s="23" t="n"/>
      <c r="L474" s="29" t="n"/>
      <c r="M474" s="29" t="n"/>
      <c r="N474" s="30">
        <f>IF($A474="","",IF($M474="",TODAY()-$B474,$M474-$B474))</f>
        <v/>
      </c>
      <c r="O474" s="30">
        <f>IF(OR($A474="",$L474=""),"",IF(OR($K474="Resolved",$K474="Will not fix"),"Closed",IF(TODAY()&gt;$L474,"OVERDUE","On time")))</f>
        <v/>
      </c>
      <c r="P474" s="27" t="n"/>
    </row>
    <row r="475">
      <c r="A475" s="27" t="n"/>
      <c r="B475" s="29" t="n"/>
      <c r="C475" s="27" t="n"/>
      <c r="D475" s="27" t="n"/>
      <c r="E475" s="27" t="n"/>
      <c r="F475" s="27" t="n"/>
      <c r="G475" s="23" t="n"/>
      <c r="H475" s="27" t="n"/>
      <c r="I475" s="27" t="n"/>
      <c r="J475" s="27" t="n"/>
      <c r="K475" s="23" t="n"/>
      <c r="L475" s="29" t="n"/>
      <c r="M475" s="29" t="n"/>
      <c r="N475" s="30">
        <f>IF($A475="","",IF($M475="",TODAY()-$B475,$M475-$B475))</f>
        <v/>
      </c>
      <c r="O475" s="30">
        <f>IF(OR($A475="",$L475=""),"",IF(OR($K475="Resolved",$K475="Will not fix"),"Closed",IF(TODAY()&gt;$L475,"OVERDUE","On time")))</f>
        <v/>
      </c>
      <c r="P475" s="27" t="n"/>
    </row>
    <row r="476">
      <c r="A476" s="27" t="n"/>
      <c r="B476" s="29" t="n"/>
      <c r="C476" s="27" t="n"/>
      <c r="D476" s="27" t="n"/>
      <c r="E476" s="27" t="n"/>
      <c r="F476" s="27" t="n"/>
      <c r="G476" s="23" t="n"/>
      <c r="H476" s="27" t="n"/>
      <c r="I476" s="27" t="n"/>
      <c r="J476" s="27" t="n"/>
      <c r="K476" s="23" t="n"/>
      <c r="L476" s="29" t="n"/>
      <c r="M476" s="29" t="n"/>
      <c r="N476" s="30">
        <f>IF($A476="","",IF($M476="",TODAY()-$B476,$M476-$B476))</f>
        <v/>
      </c>
      <c r="O476" s="30">
        <f>IF(OR($A476="",$L476=""),"",IF(OR($K476="Resolved",$K476="Will not fix"),"Closed",IF(TODAY()&gt;$L476,"OVERDUE","On time")))</f>
        <v/>
      </c>
      <c r="P476" s="27" t="n"/>
    </row>
    <row r="477">
      <c r="A477" s="27" t="n"/>
      <c r="B477" s="29" t="n"/>
      <c r="C477" s="27" t="n"/>
      <c r="D477" s="27" t="n"/>
      <c r="E477" s="27" t="n"/>
      <c r="F477" s="27" t="n"/>
      <c r="G477" s="23" t="n"/>
      <c r="H477" s="27" t="n"/>
      <c r="I477" s="27" t="n"/>
      <c r="J477" s="27" t="n"/>
      <c r="K477" s="23" t="n"/>
      <c r="L477" s="29" t="n"/>
      <c r="M477" s="29" t="n"/>
      <c r="N477" s="30">
        <f>IF($A477="","",IF($M477="",TODAY()-$B477,$M477-$B477))</f>
        <v/>
      </c>
      <c r="O477" s="30">
        <f>IF(OR($A477="",$L477=""),"",IF(OR($K477="Resolved",$K477="Will not fix"),"Closed",IF(TODAY()&gt;$L477,"OVERDUE","On time")))</f>
        <v/>
      </c>
      <c r="P477" s="27" t="n"/>
    </row>
    <row r="478">
      <c r="A478" s="27" t="n"/>
      <c r="B478" s="29" t="n"/>
      <c r="C478" s="27" t="n"/>
      <c r="D478" s="27" t="n"/>
      <c r="E478" s="27" t="n"/>
      <c r="F478" s="27" t="n"/>
      <c r="G478" s="23" t="n"/>
      <c r="H478" s="27" t="n"/>
      <c r="I478" s="27" t="n"/>
      <c r="J478" s="27" t="n"/>
      <c r="K478" s="23" t="n"/>
      <c r="L478" s="29" t="n"/>
      <c r="M478" s="29" t="n"/>
      <c r="N478" s="30">
        <f>IF($A478="","",IF($M478="",TODAY()-$B478,$M478-$B478))</f>
        <v/>
      </c>
      <c r="O478" s="30">
        <f>IF(OR($A478="",$L478=""),"",IF(OR($K478="Resolved",$K478="Will not fix"),"Closed",IF(TODAY()&gt;$L478,"OVERDUE","On time")))</f>
        <v/>
      </c>
      <c r="P478" s="27" t="n"/>
    </row>
    <row r="479">
      <c r="A479" s="27" t="n"/>
      <c r="B479" s="29" t="n"/>
      <c r="C479" s="27" t="n"/>
      <c r="D479" s="27" t="n"/>
      <c r="E479" s="27" t="n"/>
      <c r="F479" s="27" t="n"/>
      <c r="G479" s="23" t="n"/>
      <c r="H479" s="27" t="n"/>
      <c r="I479" s="27" t="n"/>
      <c r="J479" s="27" t="n"/>
      <c r="K479" s="23" t="n"/>
      <c r="L479" s="29" t="n"/>
      <c r="M479" s="29" t="n"/>
      <c r="N479" s="30">
        <f>IF($A479="","",IF($M479="",TODAY()-$B479,$M479-$B479))</f>
        <v/>
      </c>
      <c r="O479" s="30">
        <f>IF(OR($A479="",$L479=""),"",IF(OR($K479="Resolved",$K479="Will not fix"),"Closed",IF(TODAY()&gt;$L479,"OVERDUE","On time")))</f>
        <v/>
      </c>
      <c r="P479" s="27" t="n"/>
    </row>
    <row r="480">
      <c r="A480" s="27" t="n"/>
      <c r="B480" s="29" t="n"/>
      <c r="C480" s="27" t="n"/>
      <c r="D480" s="27" t="n"/>
      <c r="E480" s="27" t="n"/>
      <c r="F480" s="27" t="n"/>
      <c r="G480" s="23" t="n"/>
      <c r="H480" s="27" t="n"/>
      <c r="I480" s="27" t="n"/>
      <c r="J480" s="27" t="n"/>
      <c r="K480" s="23" t="n"/>
      <c r="L480" s="29" t="n"/>
      <c r="M480" s="29" t="n"/>
      <c r="N480" s="30">
        <f>IF($A480="","",IF($M480="",TODAY()-$B480,$M480-$B480))</f>
        <v/>
      </c>
      <c r="O480" s="30">
        <f>IF(OR($A480="",$L480=""),"",IF(OR($K480="Resolved",$K480="Will not fix"),"Closed",IF(TODAY()&gt;$L480,"OVERDUE","On time")))</f>
        <v/>
      </c>
      <c r="P480" s="27" t="n"/>
    </row>
    <row r="481">
      <c r="A481" s="27" t="n"/>
      <c r="B481" s="29" t="n"/>
      <c r="C481" s="27" t="n"/>
      <c r="D481" s="27" t="n"/>
      <c r="E481" s="27" t="n"/>
      <c r="F481" s="27" t="n"/>
      <c r="G481" s="23" t="n"/>
      <c r="H481" s="27" t="n"/>
      <c r="I481" s="27" t="n"/>
      <c r="J481" s="27" t="n"/>
      <c r="K481" s="23" t="n"/>
      <c r="L481" s="29" t="n"/>
      <c r="M481" s="29" t="n"/>
      <c r="N481" s="30">
        <f>IF($A481="","",IF($M481="",TODAY()-$B481,$M481-$B481))</f>
        <v/>
      </c>
      <c r="O481" s="30">
        <f>IF(OR($A481="",$L481=""),"",IF(OR($K481="Resolved",$K481="Will not fix"),"Closed",IF(TODAY()&gt;$L481,"OVERDUE","On time")))</f>
        <v/>
      </c>
      <c r="P481" s="27" t="n"/>
    </row>
    <row r="482">
      <c r="A482" s="27" t="n"/>
      <c r="B482" s="29" t="n"/>
      <c r="C482" s="27" t="n"/>
      <c r="D482" s="27" t="n"/>
      <c r="E482" s="27" t="n"/>
      <c r="F482" s="27" t="n"/>
      <c r="G482" s="23" t="n"/>
      <c r="H482" s="27" t="n"/>
      <c r="I482" s="27" t="n"/>
      <c r="J482" s="27" t="n"/>
      <c r="K482" s="23" t="n"/>
      <c r="L482" s="29" t="n"/>
      <c r="M482" s="29" t="n"/>
      <c r="N482" s="30">
        <f>IF($A482="","",IF($M482="",TODAY()-$B482,$M482-$B482))</f>
        <v/>
      </c>
      <c r="O482" s="30">
        <f>IF(OR($A482="",$L482=""),"",IF(OR($K482="Resolved",$K482="Will not fix"),"Closed",IF(TODAY()&gt;$L482,"OVERDUE","On time")))</f>
        <v/>
      </c>
      <c r="P482" s="27" t="n"/>
    </row>
    <row r="483">
      <c r="A483" s="27" t="n"/>
      <c r="B483" s="29" t="n"/>
      <c r="C483" s="27" t="n"/>
      <c r="D483" s="27" t="n"/>
      <c r="E483" s="27" t="n"/>
      <c r="F483" s="27" t="n"/>
      <c r="G483" s="23" t="n"/>
      <c r="H483" s="27" t="n"/>
      <c r="I483" s="27" t="n"/>
      <c r="J483" s="27" t="n"/>
      <c r="K483" s="23" t="n"/>
      <c r="L483" s="29" t="n"/>
      <c r="M483" s="29" t="n"/>
      <c r="N483" s="30">
        <f>IF($A483="","",IF($M483="",TODAY()-$B483,$M483-$B483))</f>
        <v/>
      </c>
      <c r="O483" s="30">
        <f>IF(OR($A483="",$L483=""),"",IF(OR($K483="Resolved",$K483="Will not fix"),"Closed",IF(TODAY()&gt;$L483,"OVERDUE","On time")))</f>
        <v/>
      </c>
      <c r="P483" s="27" t="n"/>
    </row>
    <row r="484">
      <c r="A484" s="27" t="n"/>
      <c r="B484" s="29" t="n"/>
      <c r="C484" s="27" t="n"/>
      <c r="D484" s="27" t="n"/>
      <c r="E484" s="27" t="n"/>
      <c r="F484" s="27" t="n"/>
      <c r="G484" s="23" t="n"/>
      <c r="H484" s="27" t="n"/>
      <c r="I484" s="27" t="n"/>
      <c r="J484" s="27" t="n"/>
      <c r="K484" s="23" t="n"/>
      <c r="L484" s="29" t="n"/>
      <c r="M484" s="29" t="n"/>
      <c r="N484" s="30">
        <f>IF($A484="","",IF($M484="",TODAY()-$B484,$M484-$B484))</f>
        <v/>
      </c>
      <c r="O484" s="30">
        <f>IF(OR($A484="",$L484=""),"",IF(OR($K484="Resolved",$K484="Will not fix"),"Closed",IF(TODAY()&gt;$L484,"OVERDUE","On time")))</f>
        <v/>
      </c>
      <c r="P484" s="27" t="n"/>
    </row>
    <row r="485">
      <c r="A485" s="27" t="n"/>
      <c r="B485" s="29" t="n"/>
      <c r="C485" s="27" t="n"/>
      <c r="D485" s="27" t="n"/>
      <c r="E485" s="27" t="n"/>
      <c r="F485" s="27" t="n"/>
      <c r="G485" s="23" t="n"/>
      <c r="H485" s="27" t="n"/>
      <c r="I485" s="27" t="n"/>
      <c r="J485" s="27" t="n"/>
      <c r="K485" s="23" t="n"/>
      <c r="L485" s="29" t="n"/>
      <c r="M485" s="29" t="n"/>
      <c r="N485" s="30">
        <f>IF($A485="","",IF($M485="",TODAY()-$B485,$M485-$B485))</f>
        <v/>
      </c>
      <c r="O485" s="30">
        <f>IF(OR($A485="",$L485=""),"",IF(OR($K485="Resolved",$K485="Will not fix"),"Closed",IF(TODAY()&gt;$L485,"OVERDUE","On time")))</f>
        <v/>
      </c>
      <c r="P485" s="27" t="n"/>
    </row>
    <row r="486">
      <c r="A486" s="27" t="n"/>
      <c r="B486" s="29" t="n"/>
      <c r="C486" s="27" t="n"/>
      <c r="D486" s="27" t="n"/>
      <c r="E486" s="27" t="n"/>
      <c r="F486" s="27" t="n"/>
      <c r="G486" s="23" t="n"/>
      <c r="H486" s="27" t="n"/>
      <c r="I486" s="27" t="n"/>
      <c r="J486" s="27" t="n"/>
      <c r="K486" s="23" t="n"/>
      <c r="L486" s="29" t="n"/>
      <c r="M486" s="29" t="n"/>
      <c r="N486" s="30">
        <f>IF($A486="","",IF($M486="",TODAY()-$B486,$M486-$B486))</f>
        <v/>
      </c>
      <c r="O486" s="30">
        <f>IF(OR($A486="",$L486=""),"",IF(OR($K486="Resolved",$K486="Will not fix"),"Closed",IF(TODAY()&gt;$L486,"OVERDUE","On time")))</f>
        <v/>
      </c>
      <c r="P486" s="27" t="n"/>
    </row>
    <row r="487">
      <c r="A487" s="27" t="n"/>
      <c r="B487" s="29" t="n"/>
      <c r="C487" s="27" t="n"/>
      <c r="D487" s="27" t="n"/>
      <c r="E487" s="27" t="n"/>
      <c r="F487" s="27" t="n"/>
      <c r="G487" s="23" t="n"/>
      <c r="H487" s="27" t="n"/>
      <c r="I487" s="27" t="n"/>
      <c r="J487" s="27" t="n"/>
      <c r="K487" s="23" t="n"/>
      <c r="L487" s="29" t="n"/>
      <c r="M487" s="29" t="n"/>
      <c r="N487" s="30">
        <f>IF($A487="","",IF($M487="",TODAY()-$B487,$M487-$B487))</f>
        <v/>
      </c>
      <c r="O487" s="30">
        <f>IF(OR($A487="",$L487=""),"",IF(OR($K487="Resolved",$K487="Will not fix"),"Closed",IF(TODAY()&gt;$L487,"OVERDUE","On time")))</f>
        <v/>
      </c>
      <c r="P487" s="27" t="n"/>
    </row>
    <row r="488">
      <c r="A488" s="27" t="n"/>
      <c r="B488" s="29" t="n"/>
      <c r="C488" s="27" t="n"/>
      <c r="D488" s="27" t="n"/>
      <c r="E488" s="27" t="n"/>
      <c r="F488" s="27" t="n"/>
      <c r="G488" s="23" t="n"/>
      <c r="H488" s="27" t="n"/>
      <c r="I488" s="27" t="n"/>
      <c r="J488" s="27" t="n"/>
      <c r="K488" s="23" t="n"/>
      <c r="L488" s="29" t="n"/>
      <c r="M488" s="29" t="n"/>
      <c r="N488" s="30">
        <f>IF($A488="","",IF($M488="",TODAY()-$B488,$M488-$B488))</f>
        <v/>
      </c>
      <c r="O488" s="30">
        <f>IF(OR($A488="",$L488=""),"",IF(OR($K488="Resolved",$K488="Will not fix"),"Closed",IF(TODAY()&gt;$L488,"OVERDUE","On time")))</f>
        <v/>
      </c>
      <c r="P488" s="27" t="n"/>
    </row>
    <row r="489">
      <c r="A489" s="27" t="n"/>
      <c r="B489" s="29" t="n"/>
      <c r="C489" s="27" t="n"/>
      <c r="D489" s="27" t="n"/>
      <c r="E489" s="27" t="n"/>
      <c r="F489" s="27" t="n"/>
      <c r="G489" s="23" t="n"/>
      <c r="H489" s="27" t="n"/>
      <c r="I489" s="27" t="n"/>
      <c r="J489" s="27" t="n"/>
      <c r="K489" s="23" t="n"/>
      <c r="L489" s="29" t="n"/>
      <c r="M489" s="29" t="n"/>
      <c r="N489" s="30">
        <f>IF($A489="","",IF($M489="",TODAY()-$B489,$M489-$B489))</f>
        <v/>
      </c>
      <c r="O489" s="30">
        <f>IF(OR($A489="",$L489=""),"",IF(OR($K489="Resolved",$K489="Will not fix"),"Closed",IF(TODAY()&gt;$L489,"OVERDUE","On time")))</f>
        <v/>
      </c>
      <c r="P489" s="27" t="n"/>
    </row>
    <row r="490">
      <c r="A490" s="27" t="n"/>
      <c r="B490" s="29" t="n"/>
      <c r="C490" s="27" t="n"/>
      <c r="D490" s="27" t="n"/>
      <c r="E490" s="27" t="n"/>
      <c r="F490" s="27" t="n"/>
      <c r="G490" s="23" t="n"/>
      <c r="H490" s="27" t="n"/>
      <c r="I490" s="27" t="n"/>
      <c r="J490" s="27" t="n"/>
      <c r="K490" s="23" t="n"/>
      <c r="L490" s="29" t="n"/>
      <c r="M490" s="29" t="n"/>
      <c r="N490" s="30">
        <f>IF($A490="","",IF($M490="",TODAY()-$B490,$M490-$B490))</f>
        <v/>
      </c>
      <c r="O490" s="30">
        <f>IF(OR($A490="",$L490=""),"",IF(OR($K490="Resolved",$K490="Will not fix"),"Closed",IF(TODAY()&gt;$L490,"OVERDUE","On time")))</f>
        <v/>
      </c>
      <c r="P490" s="27" t="n"/>
    </row>
    <row r="491">
      <c r="A491" s="27" t="n"/>
      <c r="B491" s="29" t="n"/>
      <c r="C491" s="27" t="n"/>
      <c r="D491" s="27" t="n"/>
      <c r="E491" s="27" t="n"/>
      <c r="F491" s="27" t="n"/>
      <c r="G491" s="23" t="n"/>
      <c r="H491" s="27" t="n"/>
      <c r="I491" s="27" t="n"/>
      <c r="J491" s="27" t="n"/>
      <c r="K491" s="23" t="n"/>
      <c r="L491" s="29" t="n"/>
      <c r="M491" s="29" t="n"/>
      <c r="N491" s="30">
        <f>IF($A491="","",IF($M491="",TODAY()-$B491,$M491-$B491))</f>
        <v/>
      </c>
      <c r="O491" s="30">
        <f>IF(OR($A491="",$L491=""),"",IF(OR($K491="Resolved",$K491="Will not fix"),"Closed",IF(TODAY()&gt;$L491,"OVERDUE","On time")))</f>
        <v/>
      </c>
      <c r="P491" s="27" t="n"/>
    </row>
    <row r="492">
      <c r="A492" s="27" t="n"/>
      <c r="B492" s="29" t="n"/>
      <c r="C492" s="27" t="n"/>
      <c r="D492" s="27" t="n"/>
      <c r="E492" s="27" t="n"/>
      <c r="F492" s="27" t="n"/>
      <c r="G492" s="23" t="n"/>
      <c r="H492" s="27" t="n"/>
      <c r="I492" s="27" t="n"/>
      <c r="J492" s="27" t="n"/>
      <c r="K492" s="23" t="n"/>
      <c r="L492" s="29" t="n"/>
      <c r="M492" s="29" t="n"/>
      <c r="N492" s="30">
        <f>IF($A492="","",IF($M492="",TODAY()-$B492,$M492-$B492))</f>
        <v/>
      </c>
      <c r="O492" s="30">
        <f>IF(OR($A492="",$L492=""),"",IF(OR($K492="Resolved",$K492="Will not fix"),"Closed",IF(TODAY()&gt;$L492,"OVERDUE","On time")))</f>
        <v/>
      </c>
      <c r="P492" s="27" t="n"/>
    </row>
    <row r="493">
      <c r="A493" s="27" t="n"/>
      <c r="B493" s="29" t="n"/>
      <c r="C493" s="27" t="n"/>
      <c r="D493" s="27" t="n"/>
      <c r="E493" s="27" t="n"/>
      <c r="F493" s="27" t="n"/>
      <c r="G493" s="23" t="n"/>
      <c r="H493" s="27" t="n"/>
      <c r="I493" s="27" t="n"/>
      <c r="J493" s="27" t="n"/>
      <c r="K493" s="23" t="n"/>
      <c r="L493" s="29" t="n"/>
      <c r="M493" s="29" t="n"/>
      <c r="N493" s="30">
        <f>IF($A493="","",IF($M493="",TODAY()-$B493,$M493-$B493))</f>
        <v/>
      </c>
      <c r="O493" s="30">
        <f>IF(OR($A493="",$L493=""),"",IF(OR($K493="Resolved",$K493="Will not fix"),"Closed",IF(TODAY()&gt;$L493,"OVERDUE","On time")))</f>
        <v/>
      </c>
      <c r="P493" s="27" t="n"/>
    </row>
    <row r="494">
      <c r="A494" s="27" t="n"/>
      <c r="B494" s="29" t="n"/>
      <c r="C494" s="27" t="n"/>
      <c r="D494" s="27" t="n"/>
      <c r="E494" s="27" t="n"/>
      <c r="F494" s="27" t="n"/>
      <c r="G494" s="23" t="n"/>
      <c r="H494" s="27" t="n"/>
      <c r="I494" s="27" t="n"/>
      <c r="J494" s="27" t="n"/>
      <c r="K494" s="23" t="n"/>
      <c r="L494" s="29" t="n"/>
      <c r="M494" s="29" t="n"/>
      <c r="N494" s="30">
        <f>IF($A494="","",IF($M494="",TODAY()-$B494,$M494-$B494))</f>
        <v/>
      </c>
      <c r="O494" s="30">
        <f>IF(OR($A494="",$L494=""),"",IF(OR($K494="Resolved",$K494="Will not fix"),"Closed",IF(TODAY()&gt;$L494,"OVERDUE","On time")))</f>
        <v/>
      </c>
      <c r="P494" s="27" t="n"/>
    </row>
    <row r="495">
      <c r="A495" s="27" t="n"/>
      <c r="B495" s="29" t="n"/>
      <c r="C495" s="27" t="n"/>
      <c r="D495" s="27" t="n"/>
      <c r="E495" s="27" t="n"/>
      <c r="F495" s="27" t="n"/>
      <c r="G495" s="23" t="n"/>
      <c r="H495" s="27" t="n"/>
      <c r="I495" s="27" t="n"/>
      <c r="J495" s="27" t="n"/>
      <c r="K495" s="23" t="n"/>
      <c r="L495" s="29" t="n"/>
      <c r="M495" s="29" t="n"/>
      <c r="N495" s="30">
        <f>IF($A495="","",IF($M495="",TODAY()-$B495,$M495-$B495))</f>
        <v/>
      </c>
      <c r="O495" s="30">
        <f>IF(OR($A495="",$L495=""),"",IF(OR($K495="Resolved",$K495="Will not fix"),"Closed",IF(TODAY()&gt;$L495,"OVERDUE","On time")))</f>
        <v/>
      </c>
      <c r="P495" s="27" t="n"/>
    </row>
    <row r="496">
      <c r="A496" s="27" t="n"/>
      <c r="B496" s="29" t="n"/>
      <c r="C496" s="27" t="n"/>
      <c r="D496" s="27" t="n"/>
      <c r="E496" s="27" t="n"/>
      <c r="F496" s="27" t="n"/>
      <c r="G496" s="23" t="n"/>
      <c r="H496" s="27" t="n"/>
      <c r="I496" s="27" t="n"/>
      <c r="J496" s="27" t="n"/>
      <c r="K496" s="23" t="n"/>
      <c r="L496" s="29" t="n"/>
      <c r="M496" s="29" t="n"/>
      <c r="N496" s="30">
        <f>IF($A496="","",IF($M496="",TODAY()-$B496,$M496-$B496))</f>
        <v/>
      </c>
      <c r="O496" s="30">
        <f>IF(OR($A496="",$L496=""),"",IF(OR($K496="Resolved",$K496="Will not fix"),"Closed",IF(TODAY()&gt;$L496,"OVERDUE","On time")))</f>
        <v/>
      </c>
      <c r="P496" s="27" t="n"/>
    </row>
    <row r="497">
      <c r="A497" s="27" t="n"/>
      <c r="B497" s="29" t="n"/>
      <c r="C497" s="27" t="n"/>
      <c r="D497" s="27" t="n"/>
      <c r="E497" s="27" t="n"/>
      <c r="F497" s="27" t="n"/>
      <c r="G497" s="23" t="n"/>
      <c r="H497" s="27" t="n"/>
      <c r="I497" s="27" t="n"/>
      <c r="J497" s="27" t="n"/>
      <c r="K497" s="23" t="n"/>
      <c r="L497" s="29" t="n"/>
      <c r="M497" s="29" t="n"/>
      <c r="N497" s="30">
        <f>IF($A497="","",IF($M497="",TODAY()-$B497,$M497-$B497))</f>
        <v/>
      </c>
      <c r="O497" s="30">
        <f>IF(OR($A497="",$L497=""),"",IF(OR($K497="Resolved",$K497="Will not fix"),"Closed",IF(TODAY()&gt;$L497,"OVERDUE","On time")))</f>
        <v/>
      </c>
      <c r="P497" s="27" t="n"/>
    </row>
    <row r="498">
      <c r="A498" s="27" t="n"/>
      <c r="B498" s="29" t="n"/>
      <c r="C498" s="27" t="n"/>
      <c r="D498" s="27" t="n"/>
      <c r="E498" s="27" t="n"/>
      <c r="F498" s="27" t="n"/>
      <c r="G498" s="23" t="n"/>
      <c r="H498" s="27" t="n"/>
      <c r="I498" s="27" t="n"/>
      <c r="J498" s="27" t="n"/>
      <c r="K498" s="23" t="n"/>
      <c r="L498" s="29" t="n"/>
      <c r="M498" s="29" t="n"/>
      <c r="N498" s="30">
        <f>IF($A498="","",IF($M498="",TODAY()-$B498,$M498-$B498))</f>
        <v/>
      </c>
      <c r="O498" s="30">
        <f>IF(OR($A498="",$L498=""),"",IF(OR($K498="Resolved",$K498="Will not fix"),"Closed",IF(TODAY()&gt;$L498,"OVERDUE","On time")))</f>
        <v/>
      </c>
      <c r="P498" s="27" t="n"/>
    </row>
    <row r="499">
      <c r="A499" s="27" t="n"/>
      <c r="B499" s="29" t="n"/>
      <c r="C499" s="27" t="n"/>
      <c r="D499" s="27" t="n"/>
      <c r="E499" s="27" t="n"/>
      <c r="F499" s="27" t="n"/>
      <c r="G499" s="23" t="n"/>
      <c r="H499" s="27" t="n"/>
      <c r="I499" s="27" t="n"/>
      <c r="J499" s="27" t="n"/>
      <c r="K499" s="23" t="n"/>
      <c r="L499" s="29" t="n"/>
      <c r="M499" s="29" t="n"/>
      <c r="N499" s="30">
        <f>IF($A499="","",IF($M499="",TODAY()-$B499,$M499-$B499))</f>
        <v/>
      </c>
      <c r="O499" s="30">
        <f>IF(OR($A499="",$L499=""),"",IF(OR($K499="Resolved",$K499="Will not fix"),"Closed",IF(TODAY()&gt;$L499,"OVERDUE","On time")))</f>
        <v/>
      </c>
      <c r="P499" s="27" t="n"/>
    </row>
    <row r="500">
      <c r="A500" s="27" t="n"/>
      <c r="B500" s="29" t="n"/>
      <c r="C500" s="27" t="n"/>
      <c r="D500" s="27" t="n"/>
      <c r="E500" s="27" t="n"/>
      <c r="F500" s="27" t="n"/>
      <c r="G500" s="23" t="n"/>
      <c r="H500" s="27" t="n"/>
      <c r="I500" s="27" t="n"/>
      <c r="J500" s="27" t="n"/>
      <c r="K500" s="23" t="n"/>
      <c r="L500" s="29" t="n"/>
      <c r="M500" s="29" t="n"/>
      <c r="N500" s="30">
        <f>IF($A500="","",IF($M500="",TODAY()-$B500,$M500-$B500))</f>
        <v/>
      </c>
      <c r="O500" s="30">
        <f>IF(OR($A500="",$L500=""),"",IF(OR($K500="Resolved",$K500="Will not fix"),"Closed",IF(TODAY()&gt;$L500,"OVERDUE","On time")))</f>
        <v/>
      </c>
      <c r="P500" s="27" t="n"/>
    </row>
    <row r="501">
      <c r="A501" s="27" t="n"/>
      <c r="B501" s="29" t="n"/>
      <c r="C501" s="27" t="n"/>
      <c r="D501" s="27" t="n"/>
      <c r="E501" s="27" t="n"/>
      <c r="F501" s="27" t="n"/>
      <c r="G501" s="23" t="n"/>
      <c r="H501" s="27" t="n"/>
      <c r="I501" s="27" t="n"/>
      <c r="J501" s="27" t="n"/>
      <c r="K501" s="23" t="n"/>
      <c r="L501" s="29" t="n"/>
      <c r="M501" s="29" t="n"/>
      <c r="N501" s="30">
        <f>IF($A501="","",IF($M501="",TODAY()-$B501,$M501-$B501))</f>
        <v/>
      </c>
      <c r="O501" s="30">
        <f>IF(OR($A501="",$L501=""),"",IF(OR($K501="Resolved",$K501="Will not fix"),"Closed",IF(TODAY()&gt;$L501,"OVERDUE","On time")))</f>
        <v/>
      </c>
      <c r="P501" s="27" t="n"/>
    </row>
    <row r="502">
      <c r="A502" s="27" t="n"/>
      <c r="B502" s="29" t="n"/>
      <c r="C502" s="27" t="n"/>
      <c r="D502" s="27" t="n"/>
      <c r="E502" s="27" t="n"/>
      <c r="F502" s="27" t="n"/>
      <c r="G502" s="23" t="n"/>
      <c r="H502" s="27" t="n"/>
      <c r="I502" s="27" t="n"/>
      <c r="J502" s="27" t="n"/>
      <c r="K502" s="23" t="n"/>
      <c r="L502" s="29" t="n"/>
      <c r="M502" s="29" t="n"/>
      <c r="N502" s="30">
        <f>IF($A502="","",IF($M502="",TODAY()-$B502,$M502-$B502))</f>
        <v/>
      </c>
      <c r="O502" s="30">
        <f>IF(OR($A502="",$L502=""),"",IF(OR($K502="Resolved",$K502="Will not fix"),"Closed",IF(TODAY()&gt;$L502,"OVERDUE","On time")))</f>
        <v/>
      </c>
      <c r="P502" s="27" t="n"/>
    </row>
    <row r="503">
      <c r="A503" s="27" t="n"/>
      <c r="B503" s="29" t="n"/>
      <c r="C503" s="27" t="n"/>
      <c r="D503" s="27" t="n"/>
      <c r="E503" s="27" t="n"/>
      <c r="F503" s="27" t="n"/>
      <c r="G503" s="23" t="n"/>
      <c r="H503" s="27" t="n"/>
      <c r="I503" s="27" t="n"/>
      <c r="J503" s="27" t="n"/>
      <c r="K503" s="23" t="n"/>
      <c r="L503" s="29" t="n"/>
      <c r="M503" s="29" t="n"/>
      <c r="N503" s="30">
        <f>IF($A503="","",IF($M503="",TODAY()-$B503,$M503-$B503))</f>
        <v/>
      </c>
      <c r="O503" s="30">
        <f>IF(OR($A503="",$L503=""),"",IF(OR($K503="Resolved",$K503="Will not fix"),"Closed",IF(TODAY()&gt;$L503,"OVERDUE","On time")))</f>
        <v/>
      </c>
      <c r="P503" s="27" t="n"/>
    </row>
    <row r="504">
      <c r="A504" s="27" t="n"/>
      <c r="B504" s="29" t="n"/>
      <c r="C504" s="27" t="n"/>
      <c r="D504" s="27" t="n"/>
      <c r="E504" s="27" t="n"/>
      <c r="F504" s="27" t="n"/>
      <c r="G504" s="23" t="n"/>
      <c r="H504" s="27" t="n"/>
      <c r="I504" s="27" t="n"/>
      <c r="J504" s="27" t="n"/>
      <c r="K504" s="23" t="n"/>
      <c r="L504" s="29" t="n"/>
      <c r="M504" s="29" t="n"/>
      <c r="N504" s="30">
        <f>IF($A504="","",IF($M504="",TODAY()-$B504,$M504-$B504))</f>
        <v/>
      </c>
      <c r="O504" s="30">
        <f>IF(OR($A504="",$L504=""),"",IF(OR($K504="Resolved",$K504="Will not fix"),"Closed",IF(TODAY()&gt;$L504,"OVERDUE","On time")))</f>
        <v/>
      </c>
      <c r="P504" s="27" t="n"/>
    </row>
    <row r="506" ht="26" customHeight="1">
      <c r="A506" s="26" t="inlineStr">
        <is>
          <t>An answer-key issue is not an ordinary defect. A wrong key silently grades everyone against it, so a chart with a suspected key problem goes On hold in the register until the issue is closed, rather than staying live while the dispute runs.</t>
        </is>
      </c>
    </row>
    <row r="507" ht="26" customHeight="1">
      <c r="A507" s="13" t="inlineStr">
        <is>
          <t>Days open counts to today while the issue is open and freezes at the resolution date once it closes, so the column is a live age and a historical duration in the same place.</t>
        </is>
      </c>
    </row>
  </sheetData>
  <autoFilter ref="A4:P504"/>
  <mergeCells count="4">
    <mergeCell ref="A1:P1"/>
    <mergeCell ref="A506:P506"/>
    <mergeCell ref="A507:P507"/>
    <mergeCell ref="A2:P2"/>
  </mergeCells>
  <conditionalFormatting sqref="A5:P504">
    <cfRule type="expression" priority="1" dxfId="5">
      <formula>MOD(ROW(),2)=0</formula>
    </cfRule>
  </conditionalFormatting>
  <conditionalFormatting sqref="O5:O504">
    <cfRule type="expression" priority="2" dxfId="10">
      <formula>$O5="OVERDUE"</formula>
    </cfRule>
    <cfRule type="expression" priority="3" dxfId="6">
      <formula>$O5="Closed"</formula>
    </cfRule>
  </conditionalFormatting>
  <conditionalFormatting sqref="G5:G504">
    <cfRule type="expression" priority="4" dxfId="10">
      <formula>$G5="Blocker"</formula>
    </cfRule>
    <cfRule type="expression" priority="5" dxfId="7">
      <formula>$G5="High"</formula>
    </cfRule>
    <cfRule type="expression" priority="6" dxfId="9">
      <formula>$G5="Medium"</formula>
    </cfRule>
    <cfRule type="expression" priority="7" dxfId="8">
      <formula>$G5="Low"</formula>
    </cfRule>
  </conditionalFormatting>
  <conditionalFormatting sqref="K5:K504">
    <cfRule type="expression" priority="8" dxfId="10">
      <formula>$K5="Open"</formula>
    </cfRule>
    <cfRule type="expression" priority="9" dxfId="7">
      <formula>$K5="In progress"</formula>
    </cfRule>
    <cfRule type="expression" priority="10" dxfId="6">
      <formula>$K5="Resolved"</formula>
    </cfRule>
    <cfRule type="expression" priority="11" dxfId="8">
      <formula>$K5="Will not fix"</formula>
    </cfRule>
  </conditionalFormatting>
  <dataValidations count="5">
    <dataValidation sqref="E5:E504" showDropDown="0" showInputMessage="0" showErrorMessage="0" allowBlank="1" errorTitle="Not on the list" error="Pick a value from the list. Add new values on the Lists sheet, not here." type="list">
      <formula1>=Lists!$A$5:$A$11</formula1>
    </dataValidation>
    <dataValidation sqref="D5:D504" showDropDown="0" showInputMessage="0" showErrorMessage="0" allowBlank="1" errorTitle="Not on the list" error="Pick a value from the list. Add new values on the Lists sheet, not here." type="list">
      <formula1>=Lists!$B$5:$B$115</formula1>
    </dataValidation>
    <dataValidation sqref="F5:F504" showDropDown="0" showInputMessage="0" showErrorMessage="0" allowBlank="1" errorTitle="Not on the list" error="Pick a value from the list. Add new values on the Lists sheet, not here." type="list">
      <formula1>=Lists!$I$5:$I$16</formula1>
    </dataValidation>
    <dataValidation sqref="G5:G504" showDropDown="0" showInputMessage="0" showErrorMessage="0" allowBlank="1" errorTitle="Not on the list" error="Pick a value from the list. Add new values on the Lists sheet, not here." type="list">
      <formula1>=Lists!$G$5:$G$8</formula1>
    </dataValidation>
    <dataValidation sqref="K5:K504" showDropDown="0" showInputMessage="0" showErrorMessage="0" allowBlank="1" errorTitle="Not on the list" error="Pick a value from the list. Add new values on the Lists sheet, not here." type="list">
      <formula1>=Lists!$H$5:$H$8</formula1>
    </dataValidation>
  </dataValidations>
  <pageMargins left="0.75" right="0.75" top="1" bottom="1" header="0.5" footer="0.5"/>
</worksheet>
</file>

<file path=xl/worksheets/sheet5.xml><?xml version="1.0" encoding="utf-8"?>
<worksheet xmlns="http://schemas.openxmlformats.org/spreadsheetml/2006/main">
  <sheetPr>
    <tabColor rgb="002F5597"/>
    <outlinePr summaryBelow="1" summaryRight="1"/>
    <pageSetUpPr/>
  </sheetPr>
  <dimension ref="A1:S120"/>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17" customWidth="1" min="1" max="1"/>
    <col width="10" customWidth="1" min="2" max="2"/>
    <col width="40" customWidth="1" min="3" max="3"/>
    <col width="20" customWidth="1" min="4" max="4"/>
    <col width="14" customWidth="1" min="5" max="5"/>
    <col width="12" customWidth="1" min="6" max="6"/>
    <col width="19" customWidth="1" min="7" max="7"/>
    <col width="9" customWidth="1" min="8" max="8"/>
    <col width="9" customWidth="1" min="9" max="9"/>
    <col width="8" customWidth="1" min="10" max="10"/>
    <col width="9" customWidth="1" min="11" max="11"/>
    <col width="8" customWidth="1" min="12" max="12"/>
    <col width="9" customWidth="1" min="13" max="13"/>
    <col width="10" customWidth="1" min="14" max="14"/>
    <col width="9" customWidth="1" min="15" max="15"/>
    <col width="24" customWidth="1" min="16" max="16"/>
    <col width="13" customWidth="1" min="17" max="17"/>
    <col width="12" customWidth="1" min="18" max="18"/>
    <col width="9" customWidth="1" min="19" max="19"/>
  </cols>
  <sheetData>
    <row r="1" ht="26" customHeight="1">
      <c r="A1" s="1" t="inlineStr">
        <is>
          <t>Topic Plan — target against actual, topic by topic</t>
        </is>
      </c>
    </row>
    <row r="2" ht="14" customHeight="1">
      <c r="A2" s="2" t="inlineStr">
        <is>
          <t>Targets come from the composition taxonomy. Everything from column I rightwards counts the register, so it is live the moment a chart is logged.</t>
        </is>
      </c>
    </row>
    <row r="3" ht="3" customHeight="1">
      <c r="A3" s="3" t="n"/>
      <c r="B3" s="3" t="n"/>
      <c r="C3" s="3" t="n"/>
      <c r="D3" s="3" t="n"/>
      <c r="E3" s="3" t="n"/>
      <c r="F3" s="3" t="n"/>
      <c r="G3" s="3" t="n"/>
      <c r="H3" s="3" t="n"/>
      <c r="I3" s="3" t="n"/>
      <c r="J3" s="3" t="n"/>
      <c r="K3" s="3" t="n"/>
      <c r="L3" s="3" t="n"/>
      <c r="M3" s="3" t="n"/>
      <c r="N3" s="3" t="n"/>
      <c r="O3" s="3" t="n"/>
      <c r="P3" s="3" t="n"/>
      <c r="Q3" s="3" t="n"/>
      <c r="R3" s="3" t="n"/>
      <c r="S3" s="3" t="n"/>
    </row>
    <row r="4" ht="34" customHeight="1">
      <c r="A4" s="21" t="inlineStr">
        <is>
          <t>Specialty</t>
        </is>
      </c>
      <c r="B4" s="21" t="inlineStr">
        <is>
          <t>Topic ID</t>
        </is>
      </c>
      <c r="C4" s="21" t="inlineStr">
        <is>
          <t>Topic</t>
        </is>
      </c>
      <c r="D4" s="21" t="inlineStr">
        <is>
          <t>Coverage category</t>
        </is>
      </c>
      <c r="E4" s="21" t="inlineStr">
        <is>
          <t>Build
priority</t>
        </is>
      </c>
      <c r="F4" s="21" t="inlineStr">
        <is>
          <t>Difficulty
skew</t>
        </is>
      </c>
      <c r="G4" s="21" t="inlineStr">
        <is>
          <t>Primary sourcing
channel</t>
        </is>
      </c>
      <c r="H4" s="21" t="inlineStr">
        <is>
          <t>Target
charts</t>
        </is>
      </c>
      <c r="I4" s="21" t="inlineStr">
        <is>
          <t>Rows
logged</t>
        </is>
      </c>
      <c r="J4" s="21" t="inlineStr">
        <is>
          <t>Live</t>
        </is>
      </c>
      <c r="K4" s="21" t="inlineStr">
        <is>
          <t>In
build</t>
        </is>
      </c>
      <c r="L4" s="21" t="inlineStr">
        <is>
          <t>On
hold</t>
        </is>
      </c>
      <c r="M4" s="21" t="inlineStr">
        <is>
          <t>Retired</t>
        </is>
      </c>
      <c r="N4" s="21" t="inlineStr">
        <is>
          <t>% of
target</t>
        </is>
      </c>
      <c r="O4" s="21" t="inlineStr">
        <is>
          <t>Gap to
target</t>
        </is>
      </c>
      <c r="P4" s="21" t="inlineStr">
        <is>
          <t>Gap status (HC section 9)</t>
        </is>
      </c>
      <c r="Q4" s="21" t="inlineStr">
        <is>
          <t>Expected
complete</t>
        </is>
      </c>
      <c r="R4" s="21" t="inlineStr">
        <is>
          <t>Days vs
expected</t>
        </is>
      </c>
      <c r="S4" s="21" t="inlineStr">
        <is>
          <t>Open
issues</t>
        </is>
      </c>
    </row>
    <row r="5" ht="26" customHeight="1">
      <c r="A5" s="23" t="inlineStr">
        <is>
          <t>IP-DRG</t>
        </is>
      </c>
      <c r="B5" s="31" t="inlineStr">
        <is>
          <t>IPD-01</t>
        </is>
      </c>
      <c r="C5" s="32" t="inlineStr">
        <is>
          <t>Vaginal delivery and complications of labour</t>
        </is>
      </c>
      <c r="D5" s="33" t="inlineStr">
        <is>
          <t>Medical DRGs</t>
        </is>
      </c>
      <c r="E5" s="34" t="inlineStr">
        <is>
          <t>P1</t>
        </is>
      </c>
      <c r="F5" s="33" t="inlineStr">
        <is>
          <t>Complex-led</t>
        </is>
      </c>
      <c r="G5" s="33" t="inlineStr">
        <is>
          <t>C6 Customer escalations</t>
        </is>
      </c>
      <c r="H5" s="31" t="n">
        <v>35</v>
      </c>
      <c r="I5" s="23">
        <f>COUNTIFS('Chart Register'!$C$5:$C$1004,$B5)</f>
        <v/>
      </c>
      <c r="J5" s="23">
        <f>COUNTIFS('Chart Register'!$C$5:$C$1004,$B5,'Chart Register'!$N$5:$N$1004,"Live")</f>
        <v/>
      </c>
      <c r="K5" s="23">
        <f>I5-J5-L5-M5</f>
        <v/>
      </c>
      <c r="L5" s="23">
        <f>COUNTIFS('Chart Register'!$C$5:$C$1004,$B5,'Chart Register'!$N$5:$N$1004,"On hold")</f>
        <v/>
      </c>
      <c r="M5" s="23">
        <f>COUNTIFS('Chart Register'!$C$5:$C$1004,$B5,'Chart Register'!$N$5:$N$1004,"Retired")</f>
        <v/>
      </c>
      <c r="N5" s="35">
        <f>IF($H5=0,"NA",J5/$H5)</f>
        <v/>
      </c>
      <c r="O5" s="23">
        <f>$H5-J5</f>
        <v/>
      </c>
      <c r="P5" s="33">
        <f>IF($H5=0,"NA",IF(J5&gt;=$H5,"Complete",IF(J5/$H5&gt;='Schedule Model'!$C$8,"At or above threshold","BELOW THRESHOLD — source now")))</f>
        <v/>
      </c>
      <c r="Q5" s="29">
        <f>IF('Schedule Model'!$G$12="NA","NA",INT('Schedule Model'!$C$5+0.050215*'Schedule Model'!$G$12*7))</f>
        <v/>
      </c>
      <c r="R5" s="23">
        <f>IF(OR($H5=0,NOT(ISNUMBER(Q5))),"NA",IF(J5&gt;=$H5,"On target",IF(TODAY()&lt;=Q5,"Not yet due",TODAY()-Q5)))</f>
        <v/>
      </c>
      <c r="S5" s="23">
        <f>COUNTIFS('Issues Log'!$D$5:$D$504,$B5,'Issues Log'!$K$5:$K$504,"Open")+COUNTIFS('Issues Log'!$D$5:$D$504,$B5,'Issues Log'!$K$5:$K$504,"In progress")</f>
        <v/>
      </c>
    </row>
    <row r="6" ht="26" customHeight="1">
      <c r="A6" s="23" t="inlineStr">
        <is>
          <t>IP-DRG</t>
        </is>
      </c>
      <c r="B6" s="31" t="inlineStr">
        <is>
          <t>IPD-02</t>
        </is>
      </c>
      <c r="C6" s="32" t="inlineStr">
        <is>
          <t>Normal newborn and newborn with condition</t>
        </is>
      </c>
      <c r="D6" s="33" t="inlineStr">
        <is>
          <t>Medical DRGs</t>
        </is>
      </c>
      <c r="E6" s="34" t="inlineStr">
        <is>
          <t>P1</t>
        </is>
      </c>
      <c r="F6" s="33" t="inlineStr">
        <is>
          <t>Moderate-led</t>
        </is>
      </c>
      <c r="G6" s="33" t="inlineStr">
        <is>
          <t>C1 High error rate</t>
        </is>
      </c>
      <c r="H6" s="31" t="n">
        <v>28</v>
      </c>
      <c r="I6" s="23">
        <f>COUNTIFS('Chart Register'!$C$5:$C$1004,$B6)</f>
        <v/>
      </c>
      <c r="J6" s="23">
        <f>COUNTIFS('Chart Register'!$C$5:$C$1004,$B6,'Chart Register'!$N$5:$N$1004,"Live")</f>
        <v/>
      </c>
      <c r="K6" s="23">
        <f>I6-J6-L6-M6</f>
        <v/>
      </c>
      <c r="L6" s="23">
        <f>COUNTIFS('Chart Register'!$C$5:$C$1004,$B6,'Chart Register'!$N$5:$N$1004,"On hold")</f>
        <v/>
      </c>
      <c r="M6" s="23">
        <f>COUNTIFS('Chart Register'!$C$5:$C$1004,$B6,'Chart Register'!$N$5:$N$1004,"Retired")</f>
        <v/>
      </c>
      <c r="N6" s="35">
        <f>IF($H6=0,"NA",J6/$H6)</f>
        <v/>
      </c>
      <c r="O6" s="23">
        <f>$H6-J6</f>
        <v/>
      </c>
      <c r="P6" s="33">
        <f>IF($H6=0,"NA",IF(J6&gt;=$H6,"Complete",IF(J6/$H6&gt;='Schedule Model'!$C$8,"At or above threshold","BELOW THRESHOLD — source now")))</f>
        <v/>
      </c>
      <c r="Q6" s="29">
        <f>IF('Schedule Model'!$G$12="NA","NA",INT('Schedule Model'!$C$5+0.090387*'Schedule Model'!$G$12*7))</f>
        <v/>
      </c>
      <c r="R6" s="23">
        <f>IF(OR($H6=0,NOT(ISNUMBER(Q6))),"NA",IF(J6&gt;=$H6,"On target",IF(TODAY()&lt;=Q6,"Not yet due",TODAY()-Q6)))</f>
        <v/>
      </c>
      <c r="S6" s="23">
        <f>COUNTIFS('Issues Log'!$D$5:$D$504,$B6,'Issues Log'!$K$5:$K$504,"Open")+COUNTIFS('Issues Log'!$D$5:$D$504,$B6,'Issues Log'!$K$5:$K$504,"In progress")</f>
        <v/>
      </c>
    </row>
    <row r="7" ht="26" customHeight="1">
      <c r="A7" s="23" t="inlineStr">
        <is>
          <t>IP-DRG</t>
        </is>
      </c>
      <c r="B7" s="31" t="inlineStr">
        <is>
          <t>IPD-03</t>
        </is>
      </c>
      <c r="C7" s="32" t="inlineStr">
        <is>
          <t>Neonatal and NICU admissions</t>
        </is>
      </c>
      <c r="D7" s="33" t="inlineStr">
        <is>
          <t>Medical DRGs</t>
        </is>
      </c>
      <c r="E7" s="34" t="inlineStr">
        <is>
          <t>P1</t>
        </is>
      </c>
      <c r="F7" s="33" t="inlineStr">
        <is>
          <t>Complex-led</t>
        </is>
      </c>
      <c r="G7" s="33" t="inlineStr">
        <is>
          <t>C2 High dollar value</t>
        </is>
      </c>
      <c r="H7" s="31" t="n">
        <v>14</v>
      </c>
      <c r="I7" s="23">
        <f>COUNTIFS('Chart Register'!$C$5:$C$1004,$B7)</f>
        <v/>
      </c>
      <c r="J7" s="23">
        <f>COUNTIFS('Chart Register'!$C$5:$C$1004,$B7,'Chart Register'!$N$5:$N$1004,"Live")</f>
        <v/>
      </c>
      <c r="K7" s="23">
        <f>I7-J7-L7-M7</f>
        <v/>
      </c>
      <c r="L7" s="23">
        <f>COUNTIFS('Chart Register'!$C$5:$C$1004,$B7,'Chart Register'!$N$5:$N$1004,"On hold")</f>
        <v/>
      </c>
      <c r="M7" s="23">
        <f>COUNTIFS('Chart Register'!$C$5:$C$1004,$B7,'Chart Register'!$N$5:$N$1004,"Retired")</f>
        <v/>
      </c>
      <c r="N7" s="35">
        <f>IF($H7=0,"NA",J7/$H7)</f>
        <v/>
      </c>
      <c r="O7" s="23">
        <f>$H7-J7</f>
        <v/>
      </c>
      <c r="P7" s="33">
        <f>IF($H7=0,"NA",IF(J7&gt;=$H7,"Complete",IF(J7/$H7&gt;='Schedule Model'!$C$8,"At or above threshold","BELOW THRESHOLD — source now")))</f>
        <v/>
      </c>
      <c r="Q7" s="29">
        <f>IF('Schedule Model'!$G$12="NA","NA",INT('Schedule Model'!$C$5+0.110473*'Schedule Model'!$G$12*7))</f>
        <v/>
      </c>
      <c r="R7" s="23">
        <f>IF(OR($H7=0,NOT(ISNUMBER(Q7))),"NA",IF(J7&gt;=$H7,"On target",IF(TODAY()&lt;=Q7,"Not yet due",TODAY()-Q7)))</f>
        <v/>
      </c>
      <c r="S7" s="23">
        <f>COUNTIFS('Issues Log'!$D$5:$D$504,$B7,'Issues Log'!$K$5:$K$504,"Open")+COUNTIFS('Issues Log'!$D$5:$D$504,$B7,'Issues Log'!$K$5:$K$504,"In progress")</f>
        <v/>
      </c>
    </row>
    <row r="8" ht="26" customHeight="1">
      <c r="A8" s="23" t="inlineStr">
        <is>
          <t>IP-DRG</t>
        </is>
      </c>
      <c r="B8" s="31" t="inlineStr">
        <is>
          <t>IPD-04</t>
        </is>
      </c>
      <c r="C8" s="32" t="inlineStr">
        <is>
          <t>Antepartum and postpartum medical admissions</t>
        </is>
      </c>
      <c r="D8" s="33" t="inlineStr">
        <is>
          <t>Medical DRGs</t>
        </is>
      </c>
      <c r="E8" s="34" t="inlineStr">
        <is>
          <t>P1</t>
        </is>
      </c>
      <c r="F8" s="33" t="inlineStr">
        <is>
          <t>Complex-led</t>
        </is>
      </c>
      <c r="G8" s="33" t="inlineStr">
        <is>
          <t>C1 High error rate</t>
        </is>
      </c>
      <c r="H8" s="31" t="n">
        <v>14</v>
      </c>
      <c r="I8" s="23">
        <f>COUNTIFS('Chart Register'!$C$5:$C$1004,$B8)</f>
        <v/>
      </c>
      <c r="J8" s="23">
        <f>COUNTIFS('Chart Register'!$C$5:$C$1004,$B8,'Chart Register'!$N$5:$N$1004,"Live")</f>
        <v/>
      </c>
      <c r="K8" s="23">
        <f>I8-J8-L8-M8</f>
        <v/>
      </c>
      <c r="L8" s="23">
        <f>COUNTIFS('Chart Register'!$C$5:$C$1004,$B8,'Chart Register'!$N$5:$N$1004,"On hold")</f>
        <v/>
      </c>
      <c r="M8" s="23">
        <f>COUNTIFS('Chart Register'!$C$5:$C$1004,$B8,'Chart Register'!$N$5:$N$1004,"Retired")</f>
        <v/>
      </c>
      <c r="N8" s="35">
        <f>IF($H8=0,"NA",J8/$H8)</f>
        <v/>
      </c>
      <c r="O8" s="23">
        <f>$H8-J8</f>
        <v/>
      </c>
      <c r="P8" s="33">
        <f>IF($H8=0,"NA",IF(J8&gt;=$H8,"Complete",IF(J8/$H8&gt;='Schedule Model'!$C$8,"At or above threshold","BELOW THRESHOLD — source now")))</f>
        <v/>
      </c>
      <c r="Q8" s="29">
        <f>IF('Schedule Model'!$G$12="NA","NA",INT('Schedule Model'!$C$5+0.13056*'Schedule Model'!$G$12*7))</f>
        <v/>
      </c>
      <c r="R8" s="23">
        <f>IF(OR($H8=0,NOT(ISNUMBER(Q8))),"NA",IF(J8&gt;=$H8,"On target",IF(TODAY()&lt;=Q8,"Not yet due",TODAY()-Q8)))</f>
        <v/>
      </c>
      <c r="S8" s="23">
        <f>COUNTIFS('Issues Log'!$D$5:$D$504,$B8,'Issues Log'!$K$5:$K$504,"Open")+COUNTIFS('Issues Log'!$D$5:$D$504,$B8,'Issues Log'!$K$5:$K$504,"In progress")</f>
        <v/>
      </c>
    </row>
    <row r="9" ht="26" customHeight="1">
      <c r="A9" s="23" t="inlineStr">
        <is>
          <t>IP-DRG</t>
        </is>
      </c>
      <c r="B9" s="31" t="inlineStr">
        <is>
          <t>IPD-15</t>
        </is>
      </c>
      <c r="C9" s="32" t="inlineStr">
        <is>
          <t>Caesarean delivery</t>
        </is>
      </c>
      <c r="D9" s="33" t="inlineStr">
        <is>
          <t>Surgical DRGs</t>
        </is>
      </c>
      <c r="E9" s="34" t="inlineStr">
        <is>
          <t>P1</t>
        </is>
      </c>
      <c r="F9" s="33" t="inlineStr">
        <is>
          <t>Complex-led</t>
        </is>
      </c>
      <c r="G9" s="33" t="inlineStr">
        <is>
          <t>C1 High error rate</t>
        </is>
      </c>
      <c r="H9" s="31" t="n">
        <v>28</v>
      </c>
      <c r="I9" s="23">
        <f>COUNTIFS('Chart Register'!$C$5:$C$1004,$B9)</f>
        <v/>
      </c>
      <c r="J9" s="23">
        <f>COUNTIFS('Chart Register'!$C$5:$C$1004,$B9,'Chart Register'!$N$5:$N$1004,"Live")</f>
        <v/>
      </c>
      <c r="K9" s="23">
        <f>I9-J9-L9-M9</f>
        <v/>
      </c>
      <c r="L9" s="23">
        <f>COUNTIFS('Chart Register'!$C$5:$C$1004,$B9,'Chart Register'!$N$5:$N$1004,"On hold")</f>
        <v/>
      </c>
      <c r="M9" s="23">
        <f>COUNTIFS('Chart Register'!$C$5:$C$1004,$B9,'Chart Register'!$N$5:$N$1004,"Retired")</f>
        <v/>
      </c>
      <c r="N9" s="35">
        <f>IF($H9=0,"NA",J9/$H9)</f>
        <v/>
      </c>
      <c r="O9" s="23">
        <f>$H9-J9</f>
        <v/>
      </c>
      <c r="P9" s="33">
        <f>IF($H9=0,"NA",IF(J9&gt;=$H9,"Complete",IF(J9/$H9&gt;='Schedule Model'!$C$8,"At or above threshold","BELOW THRESHOLD — source now")))</f>
        <v/>
      </c>
      <c r="Q9" s="29">
        <f>IF('Schedule Model'!$G$12="NA","NA",INT('Schedule Model'!$C$5+0.170732*'Schedule Model'!$G$12*7))</f>
        <v/>
      </c>
      <c r="R9" s="23">
        <f>IF(OR($H9=0,NOT(ISNUMBER(Q9))),"NA",IF(J9&gt;=$H9,"On target",IF(TODAY()&lt;=Q9,"Not yet due",TODAY()-Q9)))</f>
        <v/>
      </c>
      <c r="S9" s="23">
        <f>COUNTIFS('Issues Log'!$D$5:$D$504,$B9,'Issues Log'!$K$5:$K$504,"Open")+COUNTIFS('Issues Log'!$D$5:$D$504,$B9,'Issues Log'!$K$5:$K$504,"In progress")</f>
        <v/>
      </c>
    </row>
    <row r="10" ht="26" customHeight="1">
      <c r="A10" s="23" t="inlineStr">
        <is>
          <t>IP-DRG</t>
        </is>
      </c>
      <c r="B10" s="31" t="inlineStr">
        <is>
          <t>IPD-16</t>
        </is>
      </c>
      <c r="C10" s="32" t="inlineStr">
        <is>
          <t>Obstetric and postpartum surgical procedures</t>
        </is>
      </c>
      <c r="D10" s="33" t="inlineStr">
        <is>
          <t>Surgical DRGs</t>
        </is>
      </c>
      <c r="E10" s="34" t="inlineStr">
        <is>
          <t>P1</t>
        </is>
      </c>
      <c r="F10" s="33" t="inlineStr">
        <is>
          <t>Complex-led</t>
        </is>
      </c>
      <c r="G10" s="33" t="inlineStr">
        <is>
          <t>C6 Customer escalations</t>
        </is>
      </c>
      <c r="H10" s="31" t="n">
        <v>14</v>
      </c>
      <c r="I10" s="23">
        <f>COUNTIFS('Chart Register'!$C$5:$C$1004,$B10)</f>
        <v/>
      </c>
      <c r="J10" s="23">
        <f>COUNTIFS('Chart Register'!$C$5:$C$1004,$B10,'Chart Register'!$N$5:$N$1004,"Live")</f>
        <v/>
      </c>
      <c r="K10" s="23">
        <f>I10-J10-L10-M10</f>
        <v/>
      </c>
      <c r="L10" s="23">
        <f>COUNTIFS('Chart Register'!$C$5:$C$1004,$B10,'Chart Register'!$N$5:$N$1004,"On hold")</f>
        <v/>
      </c>
      <c r="M10" s="23">
        <f>COUNTIFS('Chart Register'!$C$5:$C$1004,$B10,'Chart Register'!$N$5:$N$1004,"Retired")</f>
        <v/>
      </c>
      <c r="N10" s="35">
        <f>IF($H10=0,"NA",J10/$H10)</f>
        <v/>
      </c>
      <c r="O10" s="23">
        <f>$H10-J10</f>
        <v/>
      </c>
      <c r="P10" s="33">
        <f>IF($H10=0,"NA",IF(J10&gt;=$H10,"Complete",IF(J10/$H10&gt;='Schedule Model'!$C$8,"At or above threshold","BELOW THRESHOLD — source now")))</f>
        <v/>
      </c>
      <c r="Q10" s="29">
        <f>IF('Schedule Model'!$G$12="NA","NA",INT('Schedule Model'!$C$5+0.190818*'Schedule Model'!$G$12*7))</f>
        <v/>
      </c>
      <c r="R10" s="23">
        <f>IF(OR($H10=0,NOT(ISNUMBER(Q10))),"NA",IF(J10&gt;=$H10,"On target",IF(TODAY()&lt;=Q10,"Not yet due",TODAY()-Q10)))</f>
        <v/>
      </c>
      <c r="S10" s="23">
        <f>COUNTIFS('Issues Log'!$D$5:$D$504,$B10,'Issues Log'!$K$5:$K$504,"Open")+COUNTIFS('Issues Log'!$D$5:$D$504,$B10,'Issues Log'!$K$5:$K$504,"In progress")</f>
        <v/>
      </c>
    </row>
    <row r="11" ht="26" customHeight="1">
      <c r="A11" s="23" t="inlineStr">
        <is>
          <t>IP-DRG</t>
        </is>
      </c>
      <c r="B11" s="31" t="inlineStr">
        <is>
          <t>IPD-05</t>
        </is>
      </c>
      <c r="C11" s="32" t="inlineStr">
        <is>
          <t>Digestive medical — GI bleed, pancreatitis, obstruction</t>
        </is>
      </c>
      <c r="D11" s="33" t="inlineStr">
        <is>
          <t>Medical DRGs</t>
        </is>
      </c>
      <c r="E11" s="36" t="inlineStr">
        <is>
          <t>P2</t>
        </is>
      </c>
      <c r="F11" s="33" t="inlineStr">
        <is>
          <t>Moderate-led</t>
        </is>
      </c>
      <c r="G11" s="33" t="inlineStr">
        <is>
          <t>C1 High error rate</t>
        </is>
      </c>
      <c r="H11" s="31" t="n">
        <v>42</v>
      </c>
      <c r="I11" s="23">
        <f>COUNTIFS('Chart Register'!$C$5:$C$1004,$B11)</f>
        <v/>
      </c>
      <c r="J11" s="23">
        <f>COUNTIFS('Chart Register'!$C$5:$C$1004,$B11,'Chart Register'!$N$5:$N$1004,"Live")</f>
        <v/>
      </c>
      <c r="K11" s="23">
        <f>I11-J11-L11-M11</f>
        <v/>
      </c>
      <c r="L11" s="23">
        <f>COUNTIFS('Chart Register'!$C$5:$C$1004,$B11,'Chart Register'!$N$5:$N$1004,"On hold")</f>
        <v/>
      </c>
      <c r="M11" s="23">
        <f>COUNTIFS('Chart Register'!$C$5:$C$1004,$B11,'Chart Register'!$N$5:$N$1004,"Retired")</f>
        <v/>
      </c>
      <c r="N11" s="35">
        <f>IF($H11=0,"NA",J11/$H11)</f>
        <v/>
      </c>
      <c r="O11" s="23">
        <f>$H11-J11</f>
        <v/>
      </c>
      <c r="P11" s="33">
        <f>IF($H11=0,"NA",IF(J11&gt;=$H11,"Complete",IF(J11/$H11&gt;='Schedule Model'!$C$8,"At or above threshold","BELOW THRESHOLD — source now")))</f>
        <v/>
      </c>
      <c r="Q11" s="29">
        <f>IF('Schedule Model'!$G$12="NA","NA",INT('Schedule Model'!$C$5+0.251076*'Schedule Model'!$G$12*7))</f>
        <v/>
      </c>
      <c r="R11" s="23">
        <f>IF(OR($H11=0,NOT(ISNUMBER(Q11))),"NA",IF(J11&gt;=$H11,"On target",IF(TODAY()&lt;=Q11,"Not yet due",TODAY()-Q11)))</f>
        <v/>
      </c>
      <c r="S11" s="23">
        <f>COUNTIFS('Issues Log'!$D$5:$D$504,$B11,'Issues Log'!$K$5:$K$504,"Open")+COUNTIFS('Issues Log'!$D$5:$D$504,$B11,'Issues Log'!$K$5:$K$504,"In progress")</f>
        <v/>
      </c>
    </row>
    <row r="12" ht="26" customHeight="1">
      <c r="A12" s="23" t="inlineStr">
        <is>
          <t>IP-DRG</t>
        </is>
      </c>
      <c r="B12" s="31" t="inlineStr">
        <is>
          <t>IPD-06</t>
        </is>
      </c>
      <c r="C12" s="32" t="inlineStr">
        <is>
          <t>Respiratory — pneumonia, COPD exacerbation, respiratory failure</t>
        </is>
      </c>
      <c r="D12" s="33" t="inlineStr">
        <is>
          <t>Medical DRGs</t>
        </is>
      </c>
      <c r="E12" s="36" t="inlineStr">
        <is>
          <t>P2</t>
        </is>
      </c>
      <c r="F12" s="33" t="inlineStr">
        <is>
          <t>Moderate-led</t>
        </is>
      </c>
      <c r="G12" s="33" t="inlineStr">
        <is>
          <t>C1 High error rate</t>
        </is>
      </c>
      <c r="H12" s="31" t="n">
        <v>49</v>
      </c>
      <c r="I12" s="23">
        <f>COUNTIFS('Chart Register'!$C$5:$C$1004,$B12)</f>
        <v/>
      </c>
      <c r="J12" s="23">
        <f>COUNTIFS('Chart Register'!$C$5:$C$1004,$B12,'Chart Register'!$N$5:$N$1004,"Live")</f>
        <v/>
      </c>
      <c r="K12" s="23">
        <f>I12-J12-L12-M12</f>
        <v/>
      </c>
      <c r="L12" s="23">
        <f>COUNTIFS('Chart Register'!$C$5:$C$1004,$B12,'Chart Register'!$N$5:$N$1004,"On hold")</f>
        <v/>
      </c>
      <c r="M12" s="23">
        <f>COUNTIFS('Chart Register'!$C$5:$C$1004,$B12,'Chart Register'!$N$5:$N$1004,"Retired")</f>
        <v/>
      </c>
      <c r="N12" s="35">
        <f>IF($H12=0,"NA",J12/$H12)</f>
        <v/>
      </c>
      <c r="O12" s="23">
        <f>$H12-J12</f>
        <v/>
      </c>
      <c r="P12" s="33">
        <f>IF($H12=0,"NA",IF(J12&gt;=$H12,"Complete",IF(J12/$H12&gt;='Schedule Model'!$C$8,"At or above threshold","BELOW THRESHOLD — source now")))</f>
        <v/>
      </c>
      <c r="Q12" s="29">
        <f>IF('Schedule Model'!$G$12="NA","NA",INT('Schedule Model'!$C$5+0.321377*'Schedule Model'!$G$12*7))</f>
        <v/>
      </c>
      <c r="R12" s="23">
        <f>IF(OR($H12=0,NOT(ISNUMBER(Q12))),"NA",IF(J12&gt;=$H12,"On target",IF(TODAY()&lt;=Q12,"Not yet due",TODAY()-Q12)))</f>
        <v/>
      </c>
      <c r="S12" s="23">
        <f>COUNTIFS('Issues Log'!$D$5:$D$504,$B12,'Issues Log'!$K$5:$K$504,"Open")+COUNTIFS('Issues Log'!$D$5:$D$504,$B12,'Issues Log'!$K$5:$K$504,"In progress")</f>
        <v/>
      </c>
    </row>
    <row r="13" ht="26" customHeight="1">
      <c r="A13" s="23" t="inlineStr">
        <is>
          <t>IP-DRG</t>
        </is>
      </c>
      <c r="B13" s="31" t="inlineStr">
        <is>
          <t>IPD-07</t>
        </is>
      </c>
      <c r="C13" s="32" t="inlineStr">
        <is>
          <t>Circulatory medical — heart failure, AMI, arrhythmia</t>
        </is>
      </c>
      <c r="D13" s="33" t="inlineStr">
        <is>
          <t>Medical DRGs</t>
        </is>
      </c>
      <c r="E13" s="36" t="inlineStr">
        <is>
          <t>P2</t>
        </is>
      </c>
      <c r="F13" s="33" t="inlineStr">
        <is>
          <t>Moderate-led</t>
        </is>
      </c>
      <c r="G13" s="33" t="inlineStr">
        <is>
          <t>C5 DRGV trending PCS / DRG</t>
        </is>
      </c>
      <c r="H13" s="31" t="n">
        <v>42</v>
      </c>
      <c r="I13" s="23">
        <f>COUNTIFS('Chart Register'!$C$5:$C$1004,$B13)</f>
        <v/>
      </c>
      <c r="J13" s="23">
        <f>COUNTIFS('Chart Register'!$C$5:$C$1004,$B13,'Chart Register'!$N$5:$N$1004,"Live")</f>
        <v/>
      </c>
      <c r="K13" s="23">
        <f>I13-J13-L13-M13</f>
        <v/>
      </c>
      <c r="L13" s="23">
        <f>COUNTIFS('Chart Register'!$C$5:$C$1004,$B13,'Chart Register'!$N$5:$N$1004,"On hold")</f>
        <v/>
      </c>
      <c r="M13" s="23">
        <f>COUNTIFS('Chart Register'!$C$5:$C$1004,$B13,'Chart Register'!$N$5:$N$1004,"Retired")</f>
        <v/>
      </c>
      <c r="N13" s="35">
        <f>IF($H13=0,"NA",J13/$H13)</f>
        <v/>
      </c>
      <c r="O13" s="23">
        <f>$H13-J13</f>
        <v/>
      </c>
      <c r="P13" s="33">
        <f>IF($H13=0,"NA",IF(J13&gt;=$H13,"Complete",IF(J13/$H13&gt;='Schedule Model'!$C$8,"At or above threshold","BELOW THRESHOLD — source now")))</f>
        <v/>
      </c>
      <c r="Q13" s="29">
        <f>IF('Schedule Model'!$G$12="NA","NA",INT('Schedule Model'!$C$5+0.381636*'Schedule Model'!$G$12*7))</f>
        <v/>
      </c>
      <c r="R13" s="23">
        <f>IF(OR($H13=0,NOT(ISNUMBER(Q13))),"NA",IF(J13&gt;=$H13,"On target",IF(TODAY()&lt;=Q13,"Not yet due",TODAY()-Q13)))</f>
        <v/>
      </c>
      <c r="S13" s="23">
        <f>COUNTIFS('Issues Log'!$D$5:$D$504,$B13,'Issues Log'!$K$5:$K$504,"Open")+COUNTIFS('Issues Log'!$D$5:$D$504,$B13,'Issues Log'!$K$5:$K$504,"In progress")</f>
        <v/>
      </c>
    </row>
    <row r="14" ht="26" customHeight="1">
      <c r="A14" s="23" t="inlineStr">
        <is>
          <t>IP-DRG</t>
        </is>
      </c>
      <c r="B14" s="31" t="inlineStr">
        <is>
          <t>IPD-08</t>
        </is>
      </c>
      <c r="C14" s="32" t="inlineStr">
        <is>
          <t>Sepsis, severe sepsis and septic shock</t>
        </is>
      </c>
      <c r="D14" s="33" t="inlineStr">
        <is>
          <t>Medical DRGs</t>
        </is>
      </c>
      <c r="E14" s="36" t="inlineStr">
        <is>
          <t>P2</t>
        </is>
      </c>
      <c r="F14" s="33" t="inlineStr">
        <is>
          <t>Complex-led</t>
        </is>
      </c>
      <c r="G14" s="33" t="inlineStr">
        <is>
          <t>C1 High error rate</t>
        </is>
      </c>
      <c r="H14" s="31" t="n">
        <v>49</v>
      </c>
      <c r="I14" s="23">
        <f>COUNTIFS('Chart Register'!$C$5:$C$1004,$B14)</f>
        <v/>
      </c>
      <c r="J14" s="23">
        <f>COUNTIFS('Chart Register'!$C$5:$C$1004,$B14,'Chart Register'!$N$5:$N$1004,"Live")</f>
        <v/>
      </c>
      <c r="K14" s="23">
        <f>I14-J14-L14-M14</f>
        <v/>
      </c>
      <c r="L14" s="23">
        <f>COUNTIFS('Chart Register'!$C$5:$C$1004,$B14,'Chart Register'!$N$5:$N$1004,"On hold")</f>
        <v/>
      </c>
      <c r="M14" s="23">
        <f>COUNTIFS('Chart Register'!$C$5:$C$1004,$B14,'Chart Register'!$N$5:$N$1004,"Retired")</f>
        <v/>
      </c>
      <c r="N14" s="35">
        <f>IF($H14=0,"NA",J14/$H14)</f>
        <v/>
      </c>
      <c r="O14" s="23">
        <f>$H14-J14</f>
        <v/>
      </c>
      <c r="P14" s="33">
        <f>IF($H14=0,"NA",IF(J14&gt;=$H14,"Complete",IF(J14/$H14&gt;='Schedule Model'!$C$8,"At or above threshold","BELOW THRESHOLD — source now")))</f>
        <v/>
      </c>
      <c r="Q14" s="29">
        <f>IF('Schedule Model'!$G$12="NA","NA",INT('Schedule Model'!$C$5+0.451937*'Schedule Model'!$G$12*7))</f>
        <v/>
      </c>
      <c r="R14" s="23">
        <f>IF(OR($H14=0,NOT(ISNUMBER(Q14))),"NA",IF(J14&gt;=$H14,"On target",IF(TODAY()&lt;=Q14,"Not yet due",TODAY()-Q14)))</f>
        <v/>
      </c>
      <c r="S14" s="23">
        <f>COUNTIFS('Issues Log'!$D$5:$D$504,$B14,'Issues Log'!$K$5:$K$504,"Open")+COUNTIFS('Issues Log'!$D$5:$D$504,$B14,'Issues Log'!$K$5:$K$504,"In progress")</f>
        <v/>
      </c>
    </row>
    <row r="15" ht="26" customHeight="1">
      <c r="A15" s="23" t="inlineStr">
        <is>
          <t>IP-DRG</t>
        </is>
      </c>
      <c r="B15" s="31" t="inlineStr">
        <is>
          <t>IPD-09</t>
        </is>
      </c>
      <c r="C15" s="32" t="inlineStr">
        <is>
          <t>Nervous system medical — CVA, TIA, intracranial haemorrhage</t>
        </is>
      </c>
      <c r="D15" s="33" t="inlineStr">
        <is>
          <t>Medical DRGs</t>
        </is>
      </c>
      <c r="E15" s="36" t="inlineStr">
        <is>
          <t>P2</t>
        </is>
      </c>
      <c r="F15" s="33" t="inlineStr">
        <is>
          <t>Complex-led</t>
        </is>
      </c>
      <c r="G15" s="33" t="inlineStr">
        <is>
          <t>C2 High dollar value</t>
        </is>
      </c>
      <c r="H15" s="31" t="n">
        <v>28</v>
      </c>
      <c r="I15" s="23">
        <f>COUNTIFS('Chart Register'!$C$5:$C$1004,$B15)</f>
        <v/>
      </c>
      <c r="J15" s="23">
        <f>COUNTIFS('Chart Register'!$C$5:$C$1004,$B15,'Chart Register'!$N$5:$N$1004,"Live")</f>
        <v/>
      </c>
      <c r="K15" s="23">
        <f>I15-J15-L15-M15</f>
        <v/>
      </c>
      <c r="L15" s="23">
        <f>COUNTIFS('Chart Register'!$C$5:$C$1004,$B15,'Chart Register'!$N$5:$N$1004,"On hold")</f>
        <v/>
      </c>
      <c r="M15" s="23">
        <f>COUNTIFS('Chart Register'!$C$5:$C$1004,$B15,'Chart Register'!$N$5:$N$1004,"Retired")</f>
        <v/>
      </c>
      <c r="N15" s="35">
        <f>IF($H15=0,"NA",J15/$H15)</f>
        <v/>
      </c>
      <c r="O15" s="23">
        <f>$H15-J15</f>
        <v/>
      </c>
      <c r="P15" s="33">
        <f>IF($H15=0,"NA",IF(J15&gt;=$H15,"Complete",IF(J15/$H15&gt;='Schedule Model'!$C$8,"At or above threshold","BELOW THRESHOLD — source now")))</f>
        <v/>
      </c>
      <c r="Q15" s="29">
        <f>IF('Schedule Model'!$G$12="NA","NA",INT('Schedule Model'!$C$5+0.492109*'Schedule Model'!$G$12*7))</f>
        <v/>
      </c>
      <c r="R15" s="23">
        <f>IF(OR($H15=0,NOT(ISNUMBER(Q15))),"NA",IF(J15&gt;=$H15,"On target",IF(TODAY()&lt;=Q15,"Not yet due",TODAY()-Q15)))</f>
        <v/>
      </c>
      <c r="S15" s="23">
        <f>COUNTIFS('Issues Log'!$D$5:$D$504,$B15,'Issues Log'!$K$5:$K$504,"Open")+COUNTIFS('Issues Log'!$D$5:$D$504,$B15,'Issues Log'!$K$5:$K$504,"In progress")</f>
        <v/>
      </c>
    </row>
    <row r="16" ht="26" customHeight="1">
      <c r="A16" s="23" t="inlineStr">
        <is>
          <t>IP-DRG</t>
        </is>
      </c>
      <c r="B16" s="31" t="inlineStr">
        <is>
          <t>IPD-10</t>
        </is>
      </c>
      <c r="C16" s="32" t="inlineStr">
        <is>
          <t>Kidney and urinary — AKI, CKD, UTI</t>
        </is>
      </c>
      <c r="D16" s="33" t="inlineStr">
        <is>
          <t>Medical DRGs</t>
        </is>
      </c>
      <c r="E16" s="36" t="inlineStr">
        <is>
          <t>P2</t>
        </is>
      </c>
      <c r="F16" s="33" t="inlineStr">
        <is>
          <t>Moderate-led</t>
        </is>
      </c>
      <c r="G16" s="33" t="inlineStr">
        <is>
          <t>C1 High error rate</t>
        </is>
      </c>
      <c r="H16" s="31" t="n">
        <v>21</v>
      </c>
      <c r="I16" s="23">
        <f>COUNTIFS('Chart Register'!$C$5:$C$1004,$B16)</f>
        <v/>
      </c>
      <c r="J16" s="23">
        <f>COUNTIFS('Chart Register'!$C$5:$C$1004,$B16,'Chart Register'!$N$5:$N$1004,"Live")</f>
        <v/>
      </c>
      <c r="K16" s="23">
        <f>I16-J16-L16-M16</f>
        <v/>
      </c>
      <c r="L16" s="23">
        <f>COUNTIFS('Chart Register'!$C$5:$C$1004,$B16,'Chart Register'!$N$5:$N$1004,"On hold")</f>
        <v/>
      </c>
      <c r="M16" s="23">
        <f>COUNTIFS('Chart Register'!$C$5:$C$1004,$B16,'Chart Register'!$N$5:$N$1004,"Retired")</f>
        <v/>
      </c>
      <c r="N16" s="35">
        <f>IF($H16=0,"NA",J16/$H16)</f>
        <v/>
      </c>
      <c r="O16" s="23">
        <f>$H16-J16</f>
        <v/>
      </c>
      <c r="P16" s="33">
        <f>IF($H16=0,"NA",IF(J16&gt;=$H16,"Complete",IF(J16/$H16&gt;='Schedule Model'!$C$8,"At or above threshold","BELOW THRESHOLD — source now")))</f>
        <v/>
      </c>
      <c r="Q16" s="29">
        <f>IF('Schedule Model'!$G$12="NA","NA",INT('Schedule Model'!$C$5+0.522238*'Schedule Model'!$G$12*7))</f>
        <v/>
      </c>
      <c r="R16" s="23">
        <f>IF(OR($H16=0,NOT(ISNUMBER(Q16))),"NA",IF(J16&gt;=$H16,"On target",IF(TODAY()&lt;=Q16,"Not yet due",TODAY()-Q16)))</f>
        <v/>
      </c>
      <c r="S16" s="23">
        <f>COUNTIFS('Issues Log'!$D$5:$D$504,$B16,'Issues Log'!$K$5:$K$504,"Open")+COUNTIFS('Issues Log'!$D$5:$D$504,$B16,'Issues Log'!$K$5:$K$504,"In progress")</f>
        <v/>
      </c>
    </row>
    <row r="17" ht="26" customHeight="1">
      <c r="A17" s="23" t="inlineStr">
        <is>
          <t>IP-DRG</t>
        </is>
      </c>
      <c r="B17" s="31" t="inlineStr">
        <is>
          <t>IPD-11</t>
        </is>
      </c>
      <c r="C17" s="32" t="inlineStr">
        <is>
          <t>Endocrine and metabolic — DKA, malnutrition, electrolyte disorders</t>
        </is>
      </c>
      <c r="D17" s="33" t="inlineStr">
        <is>
          <t>Medical DRGs</t>
        </is>
      </c>
      <c r="E17" s="36" t="inlineStr">
        <is>
          <t>P2</t>
        </is>
      </c>
      <c r="F17" s="33" t="inlineStr">
        <is>
          <t>Complex-led</t>
        </is>
      </c>
      <c r="G17" s="33" t="inlineStr">
        <is>
          <t>C1 High error rate</t>
        </is>
      </c>
      <c r="H17" s="31" t="n">
        <v>21</v>
      </c>
      <c r="I17" s="23">
        <f>COUNTIFS('Chart Register'!$C$5:$C$1004,$B17)</f>
        <v/>
      </c>
      <c r="J17" s="23">
        <f>COUNTIFS('Chart Register'!$C$5:$C$1004,$B17,'Chart Register'!$N$5:$N$1004,"Live")</f>
        <v/>
      </c>
      <c r="K17" s="23">
        <f>I17-J17-L17-M17</f>
        <v/>
      </c>
      <c r="L17" s="23">
        <f>COUNTIFS('Chart Register'!$C$5:$C$1004,$B17,'Chart Register'!$N$5:$N$1004,"On hold")</f>
        <v/>
      </c>
      <c r="M17" s="23">
        <f>COUNTIFS('Chart Register'!$C$5:$C$1004,$B17,'Chart Register'!$N$5:$N$1004,"Retired")</f>
        <v/>
      </c>
      <c r="N17" s="35">
        <f>IF($H17=0,"NA",J17/$H17)</f>
        <v/>
      </c>
      <c r="O17" s="23">
        <f>$H17-J17</f>
        <v/>
      </c>
      <c r="P17" s="33">
        <f>IF($H17=0,"NA",IF(J17&gt;=$H17,"Complete",IF(J17/$H17&gt;='Schedule Model'!$C$8,"At or above threshold","BELOW THRESHOLD — source now")))</f>
        <v/>
      </c>
      <c r="Q17" s="29">
        <f>IF('Schedule Model'!$G$12="NA","NA",INT('Schedule Model'!$C$5+0.552367*'Schedule Model'!$G$12*7))</f>
        <v/>
      </c>
      <c r="R17" s="23">
        <f>IF(OR($H17=0,NOT(ISNUMBER(Q17))),"NA",IF(J17&gt;=$H17,"On target",IF(TODAY()&lt;=Q17,"Not yet due",TODAY()-Q17)))</f>
        <v/>
      </c>
      <c r="S17" s="23">
        <f>COUNTIFS('Issues Log'!$D$5:$D$504,$B17,'Issues Log'!$K$5:$K$504,"Open")+COUNTIFS('Issues Log'!$D$5:$D$504,$B17,'Issues Log'!$K$5:$K$504,"In progress")</f>
        <v/>
      </c>
    </row>
    <row r="18" ht="26" customHeight="1">
      <c r="A18" s="23" t="inlineStr">
        <is>
          <t>IP-DRG</t>
        </is>
      </c>
      <c r="B18" s="31" t="inlineStr">
        <is>
          <t>IPD-12</t>
        </is>
      </c>
      <c r="C18" s="32" t="inlineStr">
        <is>
          <t>Haematology and oncology — medical admissions</t>
        </is>
      </c>
      <c r="D18" s="33" t="inlineStr">
        <is>
          <t>Medical DRGs</t>
        </is>
      </c>
      <c r="E18" s="36" t="inlineStr">
        <is>
          <t>P2</t>
        </is>
      </c>
      <c r="F18" s="33" t="inlineStr">
        <is>
          <t>Complex-led</t>
        </is>
      </c>
      <c r="G18" s="33" t="inlineStr">
        <is>
          <t>C6 Customer escalations</t>
        </is>
      </c>
      <c r="H18" s="31" t="n">
        <v>21</v>
      </c>
      <c r="I18" s="23">
        <f>COUNTIFS('Chart Register'!$C$5:$C$1004,$B18)</f>
        <v/>
      </c>
      <c r="J18" s="23">
        <f>COUNTIFS('Chart Register'!$C$5:$C$1004,$B18,'Chart Register'!$N$5:$N$1004,"Live")</f>
        <v/>
      </c>
      <c r="K18" s="23">
        <f>I18-J18-L18-M18</f>
        <v/>
      </c>
      <c r="L18" s="23">
        <f>COUNTIFS('Chart Register'!$C$5:$C$1004,$B18,'Chart Register'!$N$5:$N$1004,"On hold")</f>
        <v/>
      </c>
      <c r="M18" s="23">
        <f>COUNTIFS('Chart Register'!$C$5:$C$1004,$B18,'Chart Register'!$N$5:$N$1004,"Retired")</f>
        <v/>
      </c>
      <c r="N18" s="35">
        <f>IF($H18=0,"NA",J18/$H18)</f>
        <v/>
      </c>
      <c r="O18" s="23">
        <f>$H18-J18</f>
        <v/>
      </c>
      <c r="P18" s="33">
        <f>IF($H18=0,"NA",IF(J18&gt;=$H18,"Complete",IF(J18/$H18&gt;='Schedule Model'!$C$8,"At or above threshold","BELOW THRESHOLD — source now")))</f>
        <v/>
      </c>
      <c r="Q18" s="29">
        <f>IF('Schedule Model'!$G$12="NA","NA",INT('Schedule Model'!$C$5+0.582496*'Schedule Model'!$G$12*7))</f>
        <v/>
      </c>
      <c r="R18" s="23">
        <f>IF(OR($H18=0,NOT(ISNUMBER(Q18))),"NA",IF(J18&gt;=$H18,"On target",IF(TODAY()&lt;=Q18,"Not yet due",TODAY()-Q18)))</f>
        <v/>
      </c>
      <c r="S18" s="23">
        <f>COUNTIFS('Issues Log'!$D$5:$D$504,$B18,'Issues Log'!$K$5:$K$504,"Open")+COUNTIFS('Issues Log'!$D$5:$D$504,$B18,'Issues Log'!$K$5:$K$504,"In progress")</f>
        <v/>
      </c>
    </row>
    <row r="19" ht="26" customHeight="1">
      <c r="A19" s="23" t="inlineStr">
        <is>
          <t>IP-DRG</t>
        </is>
      </c>
      <c r="B19" s="31" t="inlineStr">
        <is>
          <t>IPD-17</t>
        </is>
      </c>
      <c r="C19" s="32" t="inlineStr">
        <is>
          <t>Digestive surgical — bowel resection, cholecystectomy, hernia repair</t>
        </is>
      </c>
      <c r="D19" s="33" t="inlineStr">
        <is>
          <t>Surgical DRGs</t>
        </is>
      </c>
      <c r="E19" s="36" t="inlineStr">
        <is>
          <t>P2</t>
        </is>
      </c>
      <c r="F19" s="33" t="inlineStr">
        <is>
          <t>Moderate-led</t>
        </is>
      </c>
      <c r="G19" s="33" t="inlineStr">
        <is>
          <t>C8 Foundation</t>
        </is>
      </c>
      <c r="H19" s="31" t="n">
        <v>55</v>
      </c>
      <c r="I19" s="23">
        <f>COUNTIFS('Chart Register'!$C$5:$C$1004,$B19)</f>
        <v/>
      </c>
      <c r="J19" s="23">
        <f>COUNTIFS('Chart Register'!$C$5:$C$1004,$B19,'Chart Register'!$N$5:$N$1004,"Live")</f>
        <v/>
      </c>
      <c r="K19" s="23">
        <f>I19-J19-L19-M19</f>
        <v/>
      </c>
      <c r="L19" s="23">
        <f>COUNTIFS('Chart Register'!$C$5:$C$1004,$B19,'Chart Register'!$N$5:$N$1004,"On hold")</f>
        <v/>
      </c>
      <c r="M19" s="23">
        <f>COUNTIFS('Chart Register'!$C$5:$C$1004,$B19,'Chart Register'!$N$5:$N$1004,"Retired")</f>
        <v/>
      </c>
      <c r="N19" s="35">
        <f>IF($H19=0,"NA",J19/$H19)</f>
        <v/>
      </c>
      <c r="O19" s="23">
        <f>$H19-J19</f>
        <v/>
      </c>
      <c r="P19" s="33">
        <f>IF($H19=0,"NA",IF(J19&gt;=$H19,"Complete",IF(J19/$H19&gt;='Schedule Model'!$C$8,"At or above threshold","BELOW THRESHOLD — source now")))</f>
        <v/>
      </c>
      <c r="Q19" s="29">
        <f>IF('Schedule Model'!$G$12="NA","NA",INT('Schedule Model'!$C$5+0.661406*'Schedule Model'!$G$12*7))</f>
        <v/>
      </c>
      <c r="R19" s="23">
        <f>IF(OR($H19=0,NOT(ISNUMBER(Q19))),"NA",IF(J19&gt;=$H19,"On target",IF(TODAY()&lt;=Q19,"Not yet due",TODAY()-Q19)))</f>
        <v/>
      </c>
      <c r="S19" s="23">
        <f>COUNTIFS('Issues Log'!$D$5:$D$504,$B19,'Issues Log'!$K$5:$K$504,"Open")+COUNTIFS('Issues Log'!$D$5:$D$504,$B19,'Issues Log'!$K$5:$K$504,"In progress")</f>
        <v/>
      </c>
    </row>
    <row r="20" ht="26" customHeight="1">
      <c r="A20" s="23" t="inlineStr">
        <is>
          <t>IP-DRG</t>
        </is>
      </c>
      <c r="B20" s="31" t="inlineStr">
        <is>
          <t>IPD-18</t>
        </is>
      </c>
      <c r="C20" s="32" t="inlineStr">
        <is>
          <t>Cardiovascular surgical — CABG, valve, PCI, EP procedures</t>
        </is>
      </c>
      <c r="D20" s="33" t="inlineStr">
        <is>
          <t>Surgical DRGs</t>
        </is>
      </c>
      <c r="E20" s="36" t="inlineStr">
        <is>
          <t>P2</t>
        </is>
      </c>
      <c r="F20" s="33" t="inlineStr">
        <is>
          <t>Complex-led</t>
        </is>
      </c>
      <c r="G20" s="33" t="inlineStr">
        <is>
          <t>C2 High dollar value</t>
        </is>
      </c>
      <c r="H20" s="31" t="n">
        <v>55</v>
      </c>
      <c r="I20" s="23">
        <f>COUNTIFS('Chart Register'!$C$5:$C$1004,$B20)</f>
        <v/>
      </c>
      <c r="J20" s="23">
        <f>COUNTIFS('Chart Register'!$C$5:$C$1004,$B20,'Chart Register'!$N$5:$N$1004,"Live")</f>
        <v/>
      </c>
      <c r="K20" s="23">
        <f>I20-J20-L20-M20</f>
        <v/>
      </c>
      <c r="L20" s="23">
        <f>COUNTIFS('Chart Register'!$C$5:$C$1004,$B20,'Chart Register'!$N$5:$N$1004,"On hold")</f>
        <v/>
      </c>
      <c r="M20" s="23">
        <f>COUNTIFS('Chart Register'!$C$5:$C$1004,$B20,'Chart Register'!$N$5:$N$1004,"Retired")</f>
        <v/>
      </c>
      <c r="N20" s="35">
        <f>IF($H20=0,"NA",J20/$H20)</f>
        <v/>
      </c>
      <c r="O20" s="23">
        <f>$H20-J20</f>
        <v/>
      </c>
      <c r="P20" s="33">
        <f>IF($H20=0,"NA",IF(J20&gt;=$H20,"Complete",IF(J20/$H20&gt;='Schedule Model'!$C$8,"At or above threshold","BELOW THRESHOLD — source now")))</f>
        <v/>
      </c>
      <c r="Q20" s="29">
        <f>IF('Schedule Model'!$G$12="NA","NA",INT('Schedule Model'!$C$5+0.740316*'Schedule Model'!$G$12*7))</f>
        <v/>
      </c>
      <c r="R20" s="23">
        <f>IF(OR($H20=0,NOT(ISNUMBER(Q20))),"NA",IF(J20&gt;=$H20,"On target",IF(TODAY()&lt;=Q20,"Not yet due",TODAY()-Q20)))</f>
        <v/>
      </c>
      <c r="S20" s="23">
        <f>COUNTIFS('Issues Log'!$D$5:$D$504,$B20,'Issues Log'!$K$5:$K$504,"Open")+COUNTIFS('Issues Log'!$D$5:$D$504,$B20,'Issues Log'!$K$5:$K$504,"In progress")</f>
        <v/>
      </c>
    </row>
    <row r="21" ht="26" customHeight="1">
      <c r="A21" s="23" t="inlineStr">
        <is>
          <t>IP-DRG</t>
        </is>
      </c>
      <c r="B21" s="31" t="inlineStr">
        <is>
          <t>IPD-19</t>
        </is>
      </c>
      <c r="C21" s="32" t="inlineStr">
        <is>
          <t>Respiratory surgical — thoracotomy, tracheostomy, lung resection</t>
        </is>
      </c>
      <c r="D21" s="33" t="inlineStr">
        <is>
          <t>Surgical DRGs</t>
        </is>
      </c>
      <c r="E21" s="36" t="inlineStr">
        <is>
          <t>P2</t>
        </is>
      </c>
      <c r="F21" s="33" t="inlineStr">
        <is>
          <t>Complex-led</t>
        </is>
      </c>
      <c r="G21" s="33" t="inlineStr">
        <is>
          <t>C5 DRGV trending PCS / DRG</t>
        </is>
      </c>
      <c r="H21" s="31" t="n">
        <v>21</v>
      </c>
      <c r="I21" s="23">
        <f>COUNTIFS('Chart Register'!$C$5:$C$1004,$B21)</f>
        <v/>
      </c>
      <c r="J21" s="23">
        <f>COUNTIFS('Chart Register'!$C$5:$C$1004,$B21,'Chart Register'!$N$5:$N$1004,"Live")</f>
        <v/>
      </c>
      <c r="K21" s="23">
        <f>I21-J21-L21-M21</f>
        <v/>
      </c>
      <c r="L21" s="23">
        <f>COUNTIFS('Chart Register'!$C$5:$C$1004,$B21,'Chart Register'!$N$5:$N$1004,"On hold")</f>
        <v/>
      </c>
      <c r="M21" s="23">
        <f>COUNTIFS('Chart Register'!$C$5:$C$1004,$B21,'Chart Register'!$N$5:$N$1004,"Retired")</f>
        <v/>
      </c>
      <c r="N21" s="35">
        <f>IF($H21=0,"NA",J21/$H21)</f>
        <v/>
      </c>
      <c r="O21" s="23">
        <f>$H21-J21</f>
        <v/>
      </c>
      <c r="P21" s="33">
        <f>IF($H21=0,"NA",IF(J21&gt;=$H21,"Complete",IF(J21/$H21&gt;='Schedule Model'!$C$8,"At or above threshold","BELOW THRESHOLD — source now")))</f>
        <v/>
      </c>
      <c r="Q21" s="29">
        <f>IF('Schedule Model'!$G$12="NA","NA",INT('Schedule Model'!$C$5+0.770445*'Schedule Model'!$G$12*7))</f>
        <v/>
      </c>
      <c r="R21" s="23">
        <f>IF(OR($H21=0,NOT(ISNUMBER(Q21))),"NA",IF(J21&gt;=$H21,"On target",IF(TODAY()&lt;=Q21,"Not yet due",TODAY()-Q21)))</f>
        <v/>
      </c>
      <c r="S21" s="23">
        <f>COUNTIFS('Issues Log'!$D$5:$D$504,$B21,'Issues Log'!$K$5:$K$504,"Open")+COUNTIFS('Issues Log'!$D$5:$D$504,$B21,'Issues Log'!$K$5:$K$504,"In progress")</f>
        <v/>
      </c>
    </row>
    <row r="22" ht="26" customHeight="1">
      <c r="A22" s="23" t="inlineStr">
        <is>
          <t>IP-DRG</t>
        </is>
      </c>
      <c r="B22" s="31" t="inlineStr">
        <is>
          <t>IPD-20</t>
        </is>
      </c>
      <c r="C22" s="32" t="inlineStr">
        <is>
          <t>Musculoskeletal — joint replacement, spinal fusion, fracture fixation</t>
        </is>
      </c>
      <c r="D22" s="33" t="inlineStr">
        <is>
          <t>Surgical DRGs</t>
        </is>
      </c>
      <c r="E22" s="36" t="inlineStr">
        <is>
          <t>P2</t>
        </is>
      </c>
      <c r="F22" s="33" t="inlineStr">
        <is>
          <t>Moderate-led</t>
        </is>
      </c>
      <c r="G22" s="33" t="inlineStr">
        <is>
          <t>C5 DRGV trending PCS / DRG</t>
        </is>
      </c>
      <c r="H22" s="31" t="n">
        <v>62</v>
      </c>
      <c r="I22" s="23">
        <f>COUNTIFS('Chart Register'!$C$5:$C$1004,$B22)</f>
        <v/>
      </c>
      <c r="J22" s="23">
        <f>COUNTIFS('Chart Register'!$C$5:$C$1004,$B22,'Chart Register'!$N$5:$N$1004,"Live")</f>
        <v/>
      </c>
      <c r="K22" s="23">
        <f>I22-J22-L22-M22</f>
        <v/>
      </c>
      <c r="L22" s="23">
        <f>COUNTIFS('Chart Register'!$C$5:$C$1004,$B22,'Chart Register'!$N$5:$N$1004,"On hold")</f>
        <v/>
      </c>
      <c r="M22" s="23">
        <f>COUNTIFS('Chart Register'!$C$5:$C$1004,$B22,'Chart Register'!$N$5:$N$1004,"Retired")</f>
        <v/>
      </c>
      <c r="N22" s="35">
        <f>IF($H22=0,"NA",J22/$H22)</f>
        <v/>
      </c>
      <c r="O22" s="23">
        <f>$H22-J22</f>
        <v/>
      </c>
      <c r="P22" s="33">
        <f>IF($H22=0,"NA",IF(J22&gt;=$H22,"Complete",IF(J22/$H22&gt;='Schedule Model'!$C$8,"At or above threshold","BELOW THRESHOLD — source now")))</f>
        <v/>
      </c>
      <c r="Q22" s="29">
        <f>IF('Schedule Model'!$G$12="NA","NA",INT('Schedule Model'!$C$5+0.859397*'Schedule Model'!$G$12*7))</f>
        <v/>
      </c>
      <c r="R22" s="23">
        <f>IF(OR($H22=0,NOT(ISNUMBER(Q22))),"NA",IF(J22&gt;=$H22,"On target",IF(TODAY()&lt;=Q22,"Not yet due",TODAY()-Q22)))</f>
        <v/>
      </c>
      <c r="S22" s="23">
        <f>COUNTIFS('Issues Log'!$D$5:$D$504,$B22,'Issues Log'!$K$5:$K$504,"Open")+COUNTIFS('Issues Log'!$D$5:$D$504,$B22,'Issues Log'!$K$5:$K$504,"In progress")</f>
        <v/>
      </c>
    </row>
    <row r="23" ht="26" customHeight="1">
      <c r="A23" s="23" t="inlineStr">
        <is>
          <t>IP-DRG</t>
        </is>
      </c>
      <c r="B23" s="31" t="inlineStr">
        <is>
          <t>IPD-21</t>
        </is>
      </c>
      <c r="C23" s="32" t="inlineStr">
        <is>
          <t>Nervous system surgical — craniotomy, shunt, spine decompression</t>
        </is>
      </c>
      <c r="D23" s="33" t="inlineStr">
        <is>
          <t>Surgical DRGs</t>
        </is>
      </c>
      <c r="E23" s="36" t="inlineStr">
        <is>
          <t>P2</t>
        </is>
      </c>
      <c r="F23" s="33" t="inlineStr">
        <is>
          <t>Complex-led</t>
        </is>
      </c>
      <c r="G23" s="33" t="inlineStr">
        <is>
          <t>C2 High dollar value</t>
        </is>
      </c>
      <c r="H23" s="31" t="n">
        <v>28</v>
      </c>
      <c r="I23" s="23">
        <f>COUNTIFS('Chart Register'!$C$5:$C$1004,$B23)</f>
        <v/>
      </c>
      <c r="J23" s="23">
        <f>COUNTIFS('Chart Register'!$C$5:$C$1004,$B23,'Chart Register'!$N$5:$N$1004,"Live")</f>
        <v/>
      </c>
      <c r="K23" s="23">
        <f>I23-J23-L23-M23</f>
        <v/>
      </c>
      <c r="L23" s="23">
        <f>COUNTIFS('Chart Register'!$C$5:$C$1004,$B23,'Chart Register'!$N$5:$N$1004,"On hold")</f>
        <v/>
      </c>
      <c r="M23" s="23">
        <f>COUNTIFS('Chart Register'!$C$5:$C$1004,$B23,'Chart Register'!$N$5:$N$1004,"Retired")</f>
        <v/>
      </c>
      <c r="N23" s="35">
        <f>IF($H23=0,"NA",J23/$H23)</f>
        <v/>
      </c>
      <c r="O23" s="23">
        <f>$H23-J23</f>
        <v/>
      </c>
      <c r="P23" s="33">
        <f>IF($H23=0,"NA",IF(J23&gt;=$H23,"Complete",IF(J23/$H23&gt;='Schedule Model'!$C$8,"At or above threshold","BELOW THRESHOLD — source now")))</f>
        <v/>
      </c>
      <c r="Q23" s="29">
        <f>IF('Schedule Model'!$G$12="NA","NA",INT('Schedule Model'!$C$5+0.89957*'Schedule Model'!$G$12*7))</f>
        <v/>
      </c>
      <c r="R23" s="23">
        <f>IF(OR($H23=0,NOT(ISNUMBER(Q23))),"NA",IF(J23&gt;=$H23,"On target",IF(TODAY()&lt;=Q23,"Not yet due",TODAY()-Q23)))</f>
        <v/>
      </c>
      <c r="S23" s="23">
        <f>COUNTIFS('Issues Log'!$D$5:$D$504,$B23,'Issues Log'!$K$5:$K$504,"Open")+COUNTIFS('Issues Log'!$D$5:$D$504,$B23,'Issues Log'!$K$5:$K$504,"In progress")</f>
        <v/>
      </c>
    </row>
    <row r="24" ht="26" customHeight="1">
      <c r="A24" s="23" t="inlineStr">
        <is>
          <t>IP-DRG</t>
        </is>
      </c>
      <c r="B24" s="31" t="inlineStr">
        <is>
          <t>IPD-22</t>
        </is>
      </c>
      <c r="C24" s="32" t="inlineStr">
        <is>
          <t>Genitourinary surgical</t>
        </is>
      </c>
      <c r="D24" s="33" t="inlineStr">
        <is>
          <t>Surgical DRGs</t>
        </is>
      </c>
      <c r="E24" s="36" t="inlineStr">
        <is>
          <t>P2</t>
        </is>
      </c>
      <c r="F24" s="33" t="inlineStr">
        <is>
          <t>Moderate-led</t>
        </is>
      </c>
      <c r="G24" s="33" t="inlineStr">
        <is>
          <t>C8 Foundation</t>
        </is>
      </c>
      <c r="H24" s="31" t="n">
        <v>21</v>
      </c>
      <c r="I24" s="23">
        <f>COUNTIFS('Chart Register'!$C$5:$C$1004,$B24)</f>
        <v/>
      </c>
      <c r="J24" s="23">
        <f>COUNTIFS('Chart Register'!$C$5:$C$1004,$B24,'Chart Register'!$N$5:$N$1004,"Live")</f>
        <v/>
      </c>
      <c r="K24" s="23">
        <f>I24-J24-L24-M24</f>
        <v/>
      </c>
      <c r="L24" s="23">
        <f>COUNTIFS('Chart Register'!$C$5:$C$1004,$B24,'Chart Register'!$N$5:$N$1004,"On hold")</f>
        <v/>
      </c>
      <c r="M24" s="23">
        <f>COUNTIFS('Chart Register'!$C$5:$C$1004,$B24,'Chart Register'!$N$5:$N$1004,"Retired")</f>
        <v/>
      </c>
      <c r="N24" s="35">
        <f>IF($H24=0,"NA",J24/$H24)</f>
        <v/>
      </c>
      <c r="O24" s="23">
        <f>$H24-J24</f>
        <v/>
      </c>
      <c r="P24" s="33">
        <f>IF($H24=0,"NA",IF(J24&gt;=$H24,"Complete",IF(J24/$H24&gt;='Schedule Model'!$C$8,"At or above threshold","BELOW THRESHOLD — source now")))</f>
        <v/>
      </c>
      <c r="Q24" s="29">
        <f>IF('Schedule Model'!$G$12="NA","NA",INT('Schedule Model'!$C$5+0.929699*'Schedule Model'!$G$12*7))</f>
        <v/>
      </c>
      <c r="R24" s="23">
        <f>IF(OR($H24=0,NOT(ISNUMBER(Q24))),"NA",IF(J24&gt;=$H24,"On target",IF(TODAY()&lt;=Q24,"Not yet due",TODAY()-Q24)))</f>
        <v/>
      </c>
      <c r="S24" s="23">
        <f>COUNTIFS('Issues Log'!$D$5:$D$504,$B24,'Issues Log'!$K$5:$K$504,"Open")+COUNTIFS('Issues Log'!$D$5:$D$504,$B24,'Issues Log'!$K$5:$K$504,"In progress")</f>
        <v/>
      </c>
    </row>
    <row r="25" ht="26" customHeight="1">
      <c r="A25" s="23" t="inlineStr">
        <is>
          <t>IP-DRG</t>
        </is>
      </c>
      <c r="B25" s="31" t="inlineStr">
        <is>
          <t>IPD-13</t>
        </is>
      </c>
      <c r="C25" s="32" t="inlineStr">
        <is>
          <t>Mental health and substance use</t>
        </is>
      </c>
      <c r="D25" s="33" t="inlineStr">
        <is>
          <t>Medical DRGs</t>
        </is>
      </c>
      <c r="E25" s="37" t="inlineStr">
        <is>
          <t>P3</t>
        </is>
      </c>
      <c r="F25" s="33" t="inlineStr">
        <is>
          <t>Basic-led</t>
        </is>
      </c>
      <c r="G25" s="33" t="inlineStr">
        <is>
          <t>C8 Foundation</t>
        </is>
      </c>
      <c r="H25" s="31" t="n">
        <v>14</v>
      </c>
      <c r="I25" s="23">
        <f>COUNTIFS('Chart Register'!$C$5:$C$1004,$B25)</f>
        <v/>
      </c>
      <c r="J25" s="23">
        <f>COUNTIFS('Chart Register'!$C$5:$C$1004,$B25,'Chart Register'!$N$5:$N$1004,"Live")</f>
        <v/>
      </c>
      <c r="K25" s="23">
        <f>I25-J25-L25-M25</f>
        <v/>
      </c>
      <c r="L25" s="23">
        <f>COUNTIFS('Chart Register'!$C$5:$C$1004,$B25,'Chart Register'!$N$5:$N$1004,"On hold")</f>
        <v/>
      </c>
      <c r="M25" s="23">
        <f>COUNTIFS('Chart Register'!$C$5:$C$1004,$B25,'Chart Register'!$N$5:$N$1004,"Retired")</f>
        <v/>
      </c>
      <c r="N25" s="35">
        <f>IF($H25=0,"NA",J25/$H25)</f>
        <v/>
      </c>
      <c r="O25" s="23">
        <f>$H25-J25</f>
        <v/>
      </c>
      <c r="P25" s="33">
        <f>IF($H25=0,"NA",IF(J25&gt;=$H25,"Complete",IF(J25/$H25&gt;='Schedule Model'!$C$8,"At or above threshold","BELOW THRESHOLD — source now")))</f>
        <v/>
      </c>
      <c r="Q25" s="29">
        <f>IF('Schedule Model'!$G$12="NA","NA",INT('Schedule Model'!$C$5+0.949785*'Schedule Model'!$G$12*7))</f>
        <v/>
      </c>
      <c r="R25" s="23">
        <f>IF(OR($H25=0,NOT(ISNUMBER(Q25))),"NA",IF(J25&gt;=$H25,"On target",IF(TODAY()&lt;=Q25,"Not yet due",TODAY()-Q25)))</f>
        <v/>
      </c>
      <c r="S25" s="23">
        <f>COUNTIFS('Issues Log'!$D$5:$D$504,$B25,'Issues Log'!$K$5:$K$504,"Open")+COUNTIFS('Issues Log'!$D$5:$D$504,$B25,'Issues Log'!$K$5:$K$504,"In progress")</f>
        <v/>
      </c>
    </row>
    <row r="26" ht="26" customHeight="1">
      <c r="A26" s="23" t="inlineStr">
        <is>
          <t>IP-DRG</t>
        </is>
      </c>
      <c r="B26" s="31" t="inlineStr">
        <is>
          <t>IPD-14</t>
        </is>
      </c>
      <c r="C26" s="32" t="inlineStr">
        <is>
          <t>Other infectious disease</t>
        </is>
      </c>
      <c r="D26" s="33" t="inlineStr">
        <is>
          <t>Medical DRGs</t>
        </is>
      </c>
      <c r="E26" s="37" t="inlineStr">
        <is>
          <t>P3</t>
        </is>
      </c>
      <c r="F26" s="33" t="inlineStr">
        <is>
          <t>Moderate-led</t>
        </is>
      </c>
      <c r="G26" s="33" t="inlineStr">
        <is>
          <t>C8 Foundation</t>
        </is>
      </c>
      <c r="H26" s="31" t="n">
        <v>7</v>
      </c>
      <c r="I26" s="23">
        <f>COUNTIFS('Chart Register'!$C$5:$C$1004,$B26)</f>
        <v/>
      </c>
      <c r="J26" s="23">
        <f>COUNTIFS('Chart Register'!$C$5:$C$1004,$B26,'Chart Register'!$N$5:$N$1004,"Live")</f>
        <v/>
      </c>
      <c r="K26" s="23">
        <f>I26-J26-L26-M26</f>
        <v/>
      </c>
      <c r="L26" s="23">
        <f>COUNTIFS('Chart Register'!$C$5:$C$1004,$B26,'Chart Register'!$N$5:$N$1004,"On hold")</f>
        <v/>
      </c>
      <c r="M26" s="23">
        <f>COUNTIFS('Chart Register'!$C$5:$C$1004,$B26,'Chart Register'!$N$5:$N$1004,"Retired")</f>
        <v/>
      </c>
      <c r="N26" s="35">
        <f>IF($H26=0,"NA",J26/$H26)</f>
        <v/>
      </c>
      <c r="O26" s="23">
        <f>$H26-J26</f>
        <v/>
      </c>
      <c r="P26" s="33">
        <f>IF($H26=0,"NA",IF(J26&gt;=$H26,"Complete",IF(J26/$H26&gt;='Schedule Model'!$C$8,"At or above threshold","BELOW THRESHOLD — source now")))</f>
        <v/>
      </c>
      <c r="Q26" s="29">
        <f>IF('Schedule Model'!$G$12="NA","NA",INT('Schedule Model'!$C$5+0.959828*'Schedule Model'!$G$12*7))</f>
        <v/>
      </c>
      <c r="R26" s="23">
        <f>IF(OR($H26=0,NOT(ISNUMBER(Q26))),"NA",IF(J26&gt;=$H26,"On target",IF(TODAY()&lt;=Q26,"Not yet due",TODAY()-Q26)))</f>
        <v/>
      </c>
      <c r="S26" s="23">
        <f>COUNTIFS('Issues Log'!$D$5:$D$504,$B26,'Issues Log'!$K$5:$K$504,"Open")+COUNTIFS('Issues Log'!$D$5:$D$504,$B26,'Issues Log'!$K$5:$K$504,"In progress")</f>
        <v/>
      </c>
    </row>
    <row r="27" ht="26" customHeight="1">
      <c r="A27" s="23" t="inlineStr">
        <is>
          <t>IP-DRG</t>
        </is>
      </c>
      <c r="B27" s="31" t="inlineStr">
        <is>
          <t>IPD-23</t>
        </is>
      </c>
      <c r="C27" s="32" t="inlineStr">
        <is>
          <t>Vascular access and device procedures — PICC, pacemaker, dialysis catheter</t>
        </is>
      </c>
      <c r="D27" s="33" t="inlineStr">
        <is>
          <t>Surgical DRGs</t>
        </is>
      </c>
      <c r="E27" s="37" t="inlineStr">
        <is>
          <t>P3</t>
        </is>
      </c>
      <c r="F27" s="33" t="inlineStr">
        <is>
          <t>Moderate-led</t>
        </is>
      </c>
      <c r="G27" s="33" t="inlineStr">
        <is>
          <t>C6 Customer escalations</t>
        </is>
      </c>
      <c r="H27" s="31" t="n">
        <v>14</v>
      </c>
      <c r="I27" s="23">
        <f>COUNTIFS('Chart Register'!$C$5:$C$1004,$B27)</f>
        <v/>
      </c>
      <c r="J27" s="23">
        <f>COUNTIFS('Chart Register'!$C$5:$C$1004,$B27,'Chart Register'!$N$5:$N$1004,"Live")</f>
        <v/>
      </c>
      <c r="K27" s="23">
        <f>I27-J27-L27-M27</f>
        <v/>
      </c>
      <c r="L27" s="23">
        <f>COUNTIFS('Chart Register'!$C$5:$C$1004,$B27,'Chart Register'!$N$5:$N$1004,"On hold")</f>
        <v/>
      </c>
      <c r="M27" s="23">
        <f>COUNTIFS('Chart Register'!$C$5:$C$1004,$B27,'Chart Register'!$N$5:$N$1004,"Retired")</f>
        <v/>
      </c>
      <c r="N27" s="35">
        <f>IF($H27=0,"NA",J27/$H27)</f>
        <v/>
      </c>
      <c r="O27" s="23">
        <f>$H27-J27</f>
        <v/>
      </c>
      <c r="P27" s="33">
        <f>IF($H27=0,"NA",IF(J27&gt;=$H27,"Complete",IF(J27/$H27&gt;='Schedule Model'!$C$8,"At or above threshold","BELOW THRESHOLD — source now")))</f>
        <v/>
      </c>
      <c r="Q27" s="29">
        <f>IF('Schedule Model'!$G$12="NA","NA",INT('Schedule Model'!$C$5+0.979914*'Schedule Model'!$G$12*7))</f>
        <v/>
      </c>
      <c r="R27" s="23">
        <f>IF(OR($H27=0,NOT(ISNUMBER(Q27))),"NA",IF(J27&gt;=$H27,"On target",IF(TODAY()&lt;=Q27,"Not yet due",TODAY()-Q27)))</f>
        <v/>
      </c>
      <c r="S27" s="23">
        <f>COUNTIFS('Issues Log'!$D$5:$D$504,$B27,'Issues Log'!$K$5:$K$504,"Open")+COUNTIFS('Issues Log'!$D$5:$D$504,$B27,'Issues Log'!$K$5:$K$504,"In progress")</f>
        <v/>
      </c>
    </row>
    <row r="28" ht="26" customHeight="1">
      <c r="A28" s="23" t="inlineStr">
        <is>
          <t>IP-DRG</t>
        </is>
      </c>
      <c r="B28" s="31" t="inlineStr">
        <is>
          <t>IPD-24</t>
        </is>
      </c>
      <c r="C28" s="32" t="inlineStr">
        <is>
          <t>Transplant and other high-weight DRGs</t>
        </is>
      </c>
      <c r="D28" s="33" t="inlineStr">
        <is>
          <t>Surgical DRGs</t>
        </is>
      </c>
      <c r="E28" s="37" t="inlineStr">
        <is>
          <t>P3</t>
        </is>
      </c>
      <c r="F28" s="33" t="inlineStr">
        <is>
          <t>Complex-led</t>
        </is>
      </c>
      <c r="G28" s="33" t="inlineStr">
        <is>
          <t>C2 High dollar value</t>
        </is>
      </c>
      <c r="H28" s="31" t="n">
        <v>7</v>
      </c>
      <c r="I28" s="23">
        <f>COUNTIFS('Chart Register'!$C$5:$C$1004,$B28)</f>
        <v/>
      </c>
      <c r="J28" s="23">
        <f>COUNTIFS('Chart Register'!$C$5:$C$1004,$B28,'Chart Register'!$N$5:$N$1004,"Live")</f>
        <v/>
      </c>
      <c r="K28" s="23">
        <f>I28-J28-L28-M28</f>
        <v/>
      </c>
      <c r="L28" s="23">
        <f>COUNTIFS('Chart Register'!$C$5:$C$1004,$B28,'Chart Register'!$N$5:$N$1004,"On hold")</f>
        <v/>
      </c>
      <c r="M28" s="23">
        <f>COUNTIFS('Chart Register'!$C$5:$C$1004,$B28,'Chart Register'!$N$5:$N$1004,"Retired")</f>
        <v/>
      </c>
      <c r="N28" s="35">
        <f>IF($H28=0,"NA",J28/$H28)</f>
        <v/>
      </c>
      <c r="O28" s="23">
        <f>$H28-J28</f>
        <v/>
      </c>
      <c r="P28" s="33">
        <f>IF($H28=0,"NA",IF(J28&gt;=$H28,"Complete",IF(J28/$H28&gt;='Schedule Model'!$C$8,"At or above threshold","BELOW THRESHOLD — source now")))</f>
        <v/>
      </c>
      <c r="Q28" s="29">
        <f>IF('Schedule Model'!$G$12="NA","NA",INT('Schedule Model'!$C$5+0.989957*'Schedule Model'!$G$12*7))</f>
        <v/>
      </c>
      <c r="R28" s="23">
        <f>IF(OR($H28=0,NOT(ISNUMBER(Q28))),"NA",IF(J28&gt;=$H28,"On target",IF(TODAY()&lt;=Q28,"Not yet due",TODAY()-Q28)))</f>
        <v/>
      </c>
      <c r="S28" s="23">
        <f>COUNTIFS('Issues Log'!$D$5:$D$504,$B28,'Issues Log'!$K$5:$K$504,"Open")+COUNTIFS('Issues Log'!$D$5:$D$504,$B28,'Issues Log'!$K$5:$K$504,"In progress")</f>
        <v/>
      </c>
    </row>
    <row r="29" ht="26" customHeight="1">
      <c r="A29" s="23" t="inlineStr">
        <is>
          <t>IP-DRG</t>
        </is>
      </c>
      <c r="B29" s="31" t="inlineStr">
        <is>
          <t>IPD-25</t>
        </is>
      </c>
      <c r="C29" s="32" t="inlineStr">
        <is>
          <t>Multiple significant trauma and burns</t>
        </is>
      </c>
      <c r="D29" s="33" t="inlineStr">
        <is>
          <t>Surgical DRGs</t>
        </is>
      </c>
      <c r="E29" s="37" t="inlineStr">
        <is>
          <t>P3</t>
        </is>
      </c>
      <c r="F29" s="33" t="inlineStr">
        <is>
          <t>Complex-led</t>
        </is>
      </c>
      <c r="G29" s="33" t="inlineStr">
        <is>
          <t>C2 High dollar value</t>
        </is>
      </c>
      <c r="H29" s="31" t="n">
        <v>7</v>
      </c>
      <c r="I29" s="23">
        <f>COUNTIFS('Chart Register'!$C$5:$C$1004,$B29)</f>
        <v/>
      </c>
      <c r="J29" s="23">
        <f>COUNTIFS('Chart Register'!$C$5:$C$1004,$B29,'Chart Register'!$N$5:$N$1004,"Live")</f>
        <v/>
      </c>
      <c r="K29" s="23">
        <f>I29-J29-L29-M29</f>
        <v/>
      </c>
      <c r="L29" s="23">
        <f>COUNTIFS('Chart Register'!$C$5:$C$1004,$B29,'Chart Register'!$N$5:$N$1004,"On hold")</f>
        <v/>
      </c>
      <c r="M29" s="23">
        <f>COUNTIFS('Chart Register'!$C$5:$C$1004,$B29,'Chart Register'!$N$5:$N$1004,"Retired")</f>
        <v/>
      </c>
      <c r="N29" s="35">
        <f>IF($H29=0,"NA",J29/$H29)</f>
        <v/>
      </c>
      <c r="O29" s="23">
        <f>$H29-J29</f>
        <v/>
      </c>
      <c r="P29" s="33">
        <f>IF($H29=0,"NA",IF(J29&gt;=$H29,"Complete",IF(J29/$H29&gt;='Schedule Model'!$C$8,"At or above threshold","BELOW THRESHOLD — source now")))</f>
        <v/>
      </c>
      <c r="Q29" s="29">
        <f>IF('Schedule Model'!$G$12="NA","NA",INT('Schedule Model'!$C$5+1.0*'Schedule Model'!$G$12*7))</f>
        <v/>
      </c>
      <c r="R29" s="23">
        <f>IF(OR($H29=0,NOT(ISNUMBER(Q29))),"NA",IF(J29&gt;=$H29,"On target",IF(TODAY()&lt;=Q29,"Not yet due",TODAY()-Q29)))</f>
        <v/>
      </c>
      <c r="S29" s="23">
        <f>COUNTIFS('Issues Log'!$D$5:$D$504,$B29,'Issues Log'!$K$5:$K$504,"Open")+COUNTIFS('Issues Log'!$D$5:$D$504,$B29,'Issues Log'!$K$5:$K$504,"In progress")</f>
        <v/>
      </c>
    </row>
    <row r="30" ht="26" customHeight="1">
      <c r="A30" s="23" t="inlineStr">
        <is>
          <t>ED Facility</t>
        </is>
      </c>
      <c r="B30" s="31" t="inlineStr">
        <is>
          <t>EDF-01</t>
        </is>
      </c>
      <c r="C30" s="32" t="inlineStr">
        <is>
          <t>Minor presentations and rechecks (99281 / 99282)</t>
        </is>
      </c>
      <c r="D30" s="33" t="inlineStr">
        <is>
          <t>Levels 1–2</t>
        </is>
      </c>
      <c r="E30" s="36" t="inlineStr">
        <is>
          <t>P2</t>
        </is>
      </c>
      <c r="F30" s="33" t="inlineStr">
        <is>
          <t>Basic-led</t>
        </is>
      </c>
      <c r="G30" s="33" t="inlineStr">
        <is>
          <t>C8 Foundation</t>
        </is>
      </c>
      <c r="H30" s="31" t="n">
        <v>70</v>
      </c>
      <c r="I30" s="23">
        <f>COUNTIFS('Chart Register'!$C$5:$C$1004,$B30)</f>
        <v/>
      </c>
      <c r="J30" s="23">
        <f>COUNTIFS('Chart Register'!$C$5:$C$1004,$B30,'Chart Register'!$N$5:$N$1004,"Live")</f>
        <v/>
      </c>
      <c r="K30" s="23">
        <f>I30-J30-L30-M30</f>
        <v/>
      </c>
      <c r="L30" s="23">
        <f>COUNTIFS('Chart Register'!$C$5:$C$1004,$B30,'Chart Register'!$N$5:$N$1004,"On hold")</f>
        <v/>
      </c>
      <c r="M30" s="23">
        <f>COUNTIFS('Chart Register'!$C$5:$C$1004,$B30,'Chart Register'!$N$5:$N$1004,"Retired")</f>
        <v/>
      </c>
      <c r="N30" s="35">
        <f>IF($H30=0,"NA",J30/$H30)</f>
        <v/>
      </c>
      <c r="O30" s="23">
        <f>$H30-J30</f>
        <v/>
      </c>
      <c r="P30" s="33">
        <f>IF($H30=0,"NA",IF(J30&gt;=$H30,"Complete",IF(J30/$H30&gt;='Schedule Model'!$C$8,"At or above threshold","BELOW THRESHOLD — source now")))</f>
        <v/>
      </c>
      <c r="Q30" s="29">
        <f>IF('Schedule Model'!$G$13="NA","NA",INT('Schedule Model'!$C$5+0.1*'Schedule Model'!$G$13*7))</f>
        <v/>
      </c>
      <c r="R30" s="23">
        <f>IF(OR($H30=0,NOT(ISNUMBER(Q30))),"NA",IF(J30&gt;=$H30,"On target",IF(TODAY()&lt;=Q30,"Not yet due",TODAY()-Q30)))</f>
        <v/>
      </c>
      <c r="S30" s="23">
        <f>COUNTIFS('Issues Log'!$D$5:$D$504,$B30,'Issues Log'!$K$5:$K$504,"Open")+COUNTIFS('Issues Log'!$D$5:$D$504,$B30,'Issues Log'!$K$5:$K$504,"In progress")</f>
        <v/>
      </c>
    </row>
    <row r="31" ht="26" customHeight="1">
      <c r="A31" s="23" t="inlineStr">
        <is>
          <t>ED Facility</t>
        </is>
      </c>
      <c r="B31" s="31" t="inlineStr">
        <is>
          <t>EDF-03</t>
        </is>
      </c>
      <c r="C31" s="32" t="inlineStr">
        <is>
          <t>Low-acuity visits with an ED procedure</t>
        </is>
      </c>
      <c r="D31" s="33" t="inlineStr">
        <is>
          <t>Levels 1–2</t>
        </is>
      </c>
      <c r="E31" s="36" t="inlineStr">
        <is>
          <t>P2</t>
        </is>
      </c>
      <c r="F31" s="33" t="inlineStr">
        <is>
          <t>Basic-led</t>
        </is>
      </c>
      <c r="G31" s="33" t="inlineStr">
        <is>
          <t>C1 High error rate</t>
        </is>
      </c>
      <c r="H31" s="31" t="n">
        <v>35</v>
      </c>
      <c r="I31" s="23">
        <f>COUNTIFS('Chart Register'!$C$5:$C$1004,$B31)</f>
        <v/>
      </c>
      <c r="J31" s="23">
        <f>COUNTIFS('Chart Register'!$C$5:$C$1004,$B31,'Chart Register'!$N$5:$N$1004,"Live")</f>
        <v/>
      </c>
      <c r="K31" s="23">
        <f>I31-J31-L31-M31</f>
        <v/>
      </c>
      <c r="L31" s="23">
        <f>COUNTIFS('Chart Register'!$C$5:$C$1004,$B31,'Chart Register'!$N$5:$N$1004,"On hold")</f>
        <v/>
      </c>
      <c r="M31" s="23">
        <f>COUNTIFS('Chart Register'!$C$5:$C$1004,$B31,'Chart Register'!$N$5:$N$1004,"Retired")</f>
        <v/>
      </c>
      <c r="N31" s="35">
        <f>IF($H31=0,"NA",J31/$H31)</f>
        <v/>
      </c>
      <c r="O31" s="23">
        <f>$H31-J31</f>
        <v/>
      </c>
      <c r="P31" s="33">
        <f>IF($H31=0,"NA",IF(J31&gt;=$H31,"Complete",IF(J31/$H31&gt;='Schedule Model'!$C$8,"At or above threshold","BELOW THRESHOLD — source now")))</f>
        <v/>
      </c>
      <c r="Q31" s="29">
        <f>IF('Schedule Model'!$G$13="NA","NA",INT('Schedule Model'!$C$5+0.15*'Schedule Model'!$G$13*7))</f>
        <v/>
      </c>
      <c r="R31" s="23">
        <f>IF(OR($H31=0,NOT(ISNUMBER(Q31))),"NA",IF(J31&gt;=$H31,"On target",IF(TODAY()&lt;=Q31,"Not yet due",TODAY()-Q31)))</f>
        <v/>
      </c>
      <c r="S31" s="23">
        <f>COUNTIFS('Issues Log'!$D$5:$D$504,$B31,'Issues Log'!$K$5:$K$504,"Open")+COUNTIFS('Issues Log'!$D$5:$D$504,$B31,'Issues Log'!$K$5:$K$504,"In progress")</f>
        <v/>
      </c>
    </row>
    <row r="32" ht="26" customHeight="1">
      <c r="A32" s="23" t="inlineStr">
        <is>
          <t>ED Facility</t>
        </is>
      </c>
      <c r="B32" s="31" t="inlineStr">
        <is>
          <t>EDF-04</t>
        </is>
      </c>
      <c r="C32" s="32" t="inlineStr">
        <is>
          <t>Moderate medical presentations — URI, UTI, gastroenteritis</t>
        </is>
      </c>
      <c r="D32" s="33" t="inlineStr">
        <is>
          <t>Level 3</t>
        </is>
      </c>
      <c r="E32" s="36" t="inlineStr">
        <is>
          <t>P2</t>
        </is>
      </c>
      <c r="F32" s="33" t="inlineStr">
        <is>
          <t>Basic-led</t>
        </is>
      </c>
      <c r="G32" s="33" t="inlineStr">
        <is>
          <t>C8 Foundation</t>
        </is>
      </c>
      <c r="H32" s="31" t="n">
        <v>70</v>
      </c>
      <c r="I32" s="23">
        <f>COUNTIFS('Chart Register'!$C$5:$C$1004,$B32)</f>
        <v/>
      </c>
      <c r="J32" s="23">
        <f>COUNTIFS('Chart Register'!$C$5:$C$1004,$B32,'Chart Register'!$N$5:$N$1004,"Live")</f>
        <v/>
      </c>
      <c r="K32" s="23">
        <f>I32-J32-L32-M32</f>
        <v/>
      </c>
      <c r="L32" s="23">
        <f>COUNTIFS('Chart Register'!$C$5:$C$1004,$B32,'Chart Register'!$N$5:$N$1004,"On hold")</f>
        <v/>
      </c>
      <c r="M32" s="23">
        <f>COUNTIFS('Chart Register'!$C$5:$C$1004,$B32,'Chart Register'!$N$5:$N$1004,"Retired")</f>
        <v/>
      </c>
      <c r="N32" s="35">
        <f>IF($H32=0,"NA",J32/$H32)</f>
        <v/>
      </c>
      <c r="O32" s="23">
        <f>$H32-J32</f>
        <v/>
      </c>
      <c r="P32" s="33">
        <f>IF($H32=0,"NA",IF(J32&gt;=$H32,"Complete",IF(J32/$H32&gt;='Schedule Model'!$C$8,"At or above threshold","BELOW THRESHOLD — source now")))</f>
        <v/>
      </c>
      <c r="Q32" s="29">
        <f>IF('Schedule Model'!$G$13="NA","NA",INT('Schedule Model'!$C$5+0.25*'Schedule Model'!$G$13*7))</f>
        <v/>
      </c>
      <c r="R32" s="23">
        <f>IF(OR($H32=0,NOT(ISNUMBER(Q32))),"NA",IF(J32&gt;=$H32,"On target",IF(TODAY()&lt;=Q32,"Not yet due",TODAY()-Q32)))</f>
        <v/>
      </c>
      <c r="S32" s="23">
        <f>COUNTIFS('Issues Log'!$D$5:$D$504,$B32,'Issues Log'!$K$5:$K$504,"Open")+COUNTIFS('Issues Log'!$D$5:$D$504,$B32,'Issues Log'!$K$5:$K$504,"In progress")</f>
        <v/>
      </c>
    </row>
    <row r="33" ht="26" customHeight="1">
      <c r="A33" s="23" t="inlineStr">
        <is>
          <t>ED Facility</t>
        </is>
      </c>
      <c r="B33" s="31" t="inlineStr">
        <is>
          <t>EDF-05</t>
        </is>
      </c>
      <c r="C33" s="32" t="inlineStr">
        <is>
          <t>Minor trauma and wound repair</t>
        </is>
      </c>
      <c r="D33" s="33" t="inlineStr">
        <is>
          <t>Level 3</t>
        </is>
      </c>
      <c r="E33" s="36" t="inlineStr">
        <is>
          <t>P2</t>
        </is>
      </c>
      <c r="F33" s="33" t="inlineStr">
        <is>
          <t>Moderate-led</t>
        </is>
      </c>
      <c r="G33" s="33" t="inlineStr">
        <is>
          <t>C1 High error rate</t>
        </is>
      </c>
      <c r="H33" s="31" t="n">
        <v>56</v>
      </c>
      <c r="I33" s="23">
        <f>COUNTIFS('Chart Register'!$C$5:$C$1004,$B33)</f>
        <v/>
      </c>
      <c r="J33" s="23">
        <f>COUNTIFS('Chart Register'!$C$5:$C$1004,$B33,'Chart Register'!$N$5:$N$1004,"Live")</f>
        <v/>
      </c>
      <c r="K33" s="23">
        <f>I33-J33-L33-M33</f>
        <v/>
      </c>
      <c r="L33" s="23">
        <f>COUNTIFS('Chart Register'!$C$5:$C$1004,$B33,'Chart Register'!$N$5:$N$1004,"On hold")</f>
        <v/>
      </c>
      <c r="M33" s="23">
        <f>COUNTIFS('Chart Register'!$C$5:$C$1004,$B33,'Chart Register'!$N$5:$N$1004,"Retired")</f>
        <v/>
      </c>
      <c r="N33" s="35">
        <f>IF($H33=0,"NA",J33/$H33)</f>
        <v/>
      </c>
      <c r="O33" s="23">
        <f>$H33-J33</f>
        <v/>
      </c>
      <c r="P33" s="33">
        <f>IF($H33=0,"NA",IF(J33&gt;=$H33,"Complete",IF(J33/$H33&gt;='Schedule Model'!$C$8,"At or above threshold","BELOW THRESHOLD — source now")))</f>
        <v/>
      </c>
      <c r="Q33" s="29">
        <f>IF('Schedule Model'!$G$13="NA","NA",INT('Schedule Model'!$C$5+0.33*'Schedule Model'!$G$13*7))</f>
        <v/>
      </c>
      <c r="R33" s="23">
        <f>IF(OR($H33=0,NOT(ISNUMBER(Q33))),"NA",IF(J33&gt;=$H33,"On target",IF(TODAY()&lt;=Q33,"Not yet due",TODAY()-Q33)))</f>
        <v/>
      </c>
      <c r="S33" s="23">
        <f>COUNTIFS('Issues Log'!$D$5:$D$504,$B33,'Issues Log'!$K$5:$K$504,"Open")+COUNTIFS('Issues Log'!$D$5:$D$504,$B33,'Issues Log'!$K$5:$K$504,"In progress")</f>
        <v/>
      </c>
    </row>
    <row r="34" ht="26" customHeight="1">
      <c r="A34" s="23" t="inlineStr">
        <is>
          <t>ED Facility</t>
        </is>
      </c>
      <c r="B34" s="31" t="inlineStr">
        <is>
          <t>EDF-06</t>
        </is>
      </c>
      <c r="C34" s="32" t="inlineStr">
        <is>
          <t>Orthopaedic injury — sprain, simple fracture, splinting</t>
        </is>
      </c>
      <c r="D34" s="33" t="inlineStr">
        <is>
          <t>Level 3</t>
        </is>
      </c>
      <c r="E34" s="36" t="inlineStr">
        <is>
          <t>P2</t>
        </is>
      </c>
      <c r="F34" s="33" t="inlineStr">
        <is>
          <t>Moderate-led</t>
        </is>
      </c>
      <c r="G34" s="33" t="inlineStr">
        <is>
          <t>C1 High error rate</t>
        </is>
      </c>
      <c r="H34" s="31" t="n">
        <v>49</v>
      </c>
      <c r="I34" s="23">
        <f>COUNTIFS('Chart Register'!$C$5:$C$1004,$B34)</f>
        <v/>
      </c>
      <c r="J34" s="23">
        <f>COUNTIFS('Chart Register'!$C$5:$C$1004,$B34,'Chart Register'!$N$5:$N$1004,"Live")</f>
        <v/>
      </c>
      <c r="K34" s="23">
        <f>I34-J34-L34-M34</f>
        <v/>
      </c>
      <c r="L34" s="23">
        <f>COUNTIFS('Chart Register'!$C$5:$C$1004,$B34,'Chart Register'!$N$5:$N$1004,"On hold")</f>
        <v/>
      </c>
      <c r="M34" s="23">
        <f>COUNTIFS('Chart Register'!$C$5:$C$1004,$B34,'Chart Register'!$N$5:$N$1004,"Retired")</f>
        <v/>
      </c>
      <c r="N34" s="35">
        <f>IF($H34=0,"NA",J34/$H34)</f>
        <v/>
      </c>
      <c r="O34" s="23">
        <f>$H34-J34</f>
        <v/>
      </c>
      <c r="P34" s="33">
        <f>IF($H34=0,"NA",IF(J34&gt;=$H34,"Complete",IF(J34/$H34&gt;='Schedule Model'!$C$8,"At or above threshold","BELOW THRESHOLD — source now")))</f>
        <v/>
      </c>
      <c r="Q34" s="29">
        <f>IF('Schedule Model'!$G$13="NA","NA",INT('Schedule Model'!$C$5+0.4*'Schedule Model'!$G$13*7))</f>
        <v/>
      </c>
      <c r="R34" s="23">
        <f>IF(OR($H34=0,NOT(ISNUMBER(Q34))),"NA",IF(J34&gt;=$H34,"On target",IF(TODAY()&lt;=Q34,"Not yet due",TODAY()-Q34)))</f>
        <v/>
      </c>
      <c r="S34" s="23">
        <f>COUNTIFS('Issues Log'!$D$5:$D$504,$B34,'Issues Log'!$K$5:$K$504,"Open")+COUNTIFS('Issues Log'!$D$5:$D$504,$B34,'Issues Log'!$K$5:$K$504,"In progress")</f>
        <v/>
      </c>
    </row>
    <row r="35" ht="26" customHeight="1">
      <c r="A35" s="23" t="inlineStr">
        <is>
          <t>ED Facility</t>
        </is>
      </c>
      <c r="B35" s="31" t="inlineStr">
        <is>
          <t>EDF-07</t>
        </is>
      </c>
      <c r="C35" s="32" t="inlineStr">
        <is>
          <t>Infusion and injection administration visits</t>
        </is>
      </c>
      <c r="D35" s="33" t="inlineStr">
        <is>
          <t>Level 3</t>
        </is>
      </c>
      <c r="E35" s="36" t="inlineStr">
        <is>
          <t>P2</t>
        </is>
      </c>
      <c r="F35" s="33" t="inlineStr">
        <is>
          <t>Moderate-led</t>
        </is>
      </c>
      <c r="G35" s="33" t="inlineStr">
        <is>
          <t>C7 Denial trends</t>
        </is>
      </c>
      <c r="H35" s="31" t="n">
        <v>35</v>
      </c>
      <c r="I35" s="23">
        <f>COUNTIFS('Chart Register'!$C$5:$C$1004,$B35)</f>
        <v/>
      </c>
      <c r="J35" s="23">
        <f>COUNTIFS('Chart Register'!$C$5:$C$1004,$B35,'Chart Register'!$N$5:$N$1004,"Live")</f>
        <v/>
      </c>
      <c r="K35" s="23">
        <f>I35-J35-L35-M35</f>
        <v/>
      </c>
      <c r="L35" s="23">
        <f>COUNTIFS('Chart Register'!$C$5:$C$1004,$B35,'Chart Register'!$N$5:$N$1004,"On hold")</f>
        <v/>
      </c>
      <c r="M35" s="23">
        <f>COUNTIFS('Chart Register'!$C$5:$C$1004,$B35,'Chart Register'!$N$5:$N$1004,"Retired")</f>
        <v/>
      </c>
      <c r="N35" s="35">
        <f>IF($H35=0,"NA",J35/$H35)</f>
        <v/>
      </c>
      <c r="O35" s="23">
        <f>$H35-J35</f>
        <v/>
      </c>
      <c r="P35" s="33">
        <f>IF($H35=0,"NA",IF(J35&gt;=$H35,"Complete",IF(J35/$H35&gt;='Schedule Model'!$C$8,"At or above threshold","BELOW THRESHOLD — source now")))</f>
        <v/>
      </c>
      <c r="Q35" s="29">
        <f>IF('Schedule Model'!$G$13="NA","NA",INT('Schedule Model'!$C$5+0.45*'Schedule Model'!$G$13*7))</f>
        <v/>
      </c>
      <c r="R35" s="23">
        <f>IF(OR($H35=0,NOT(ISNUMBER(Q35))),"NA",IF(J35&gt;=$H35,"On target",IF(TODAY()&lt;=Q35,"Not yet due",TODAY()-Q35)))</f>
        <v/>
      </c>
      <c r="S35" s="23">
        <f>COUNTIFS('Issues Log'!$D$5:$D$504,$B35,'Issues Log'!$K$5:$K$504,"Open")+COUNTIFS('Issues Log'!$D$5:$D$504,$B35,'Issues Log'!$K$5:$K$504,"In progress")</f>
        <v/>
      </c>
    </row>
    <row r="36" ht="26" customHeight="1">
      <c r="A36" s="23" t="inlineStr">
        <is>
          <t>ED Facility</t>
        </is>
      </c>
      <c r="B36" s="31" t="inlineStr">
        <is>
          <t>EDF-08</t>
        </is>
      </c>
      <c r="C36" s="32" t="inlineStr">
        <is>
          <t>Abdominal and chest pain workups</t>
        </is>
      </c>
      <c r="D36" s="33" t="inlineStr">
        <is>
          <t>Level 4</t>
        </is>
      </c>
      <c r="E36" s="36" t="inlineStr">
        <is>
          <t>P2</t>
        </is>
      </c>
      <c r="F36" s="33" t="inlineStr">
        <is>
          <t>Moderate-led</t>
        </is>
      </c>
      <c r="G36" s="33" t="inlineStr">
        <is>
          <t>C1 High error rate</t>
        </is>
      </c>
      <c r="H36" s="31" t="n">
        <v>63</v>
      </c>
      <c r="I36" s="23">
        <f>COUNTIFS('Chart Register'!$C$5:$C$1004,$B36)</f>
        <v/>
      </c>
      <c r="J36" s="23">
        <f>COUNTIFS('Chart Register'!$C$5:$C$1004,$B36,'Chart Register'!$N$5:$N$1004,"Live")</f>
        <v/>
      </c>
      <c r="K36" s="23">
        <f>I36-J36-L36-M36</f>
        <v/>
      </c>
      <c r="L36" s="23">
        <f>COUNTIFS('Chart Register'!$C$5:$C$1004,$B36,'Chart Register'!$N$5:$N$1004,"On hold")</f>
        <v/>
      </c>
      <c r="M36" s="23">
        <f>COUNTIFS('Chart Register'!$C$5:$C$1004,$B36,'Chart Register'!$N$5:$N$1004,"Retired")</f>
        <v/>
      </c>
      <c r="N36" s="35">
        <f>IF($H36=0,"NA",J36/$H36)</f>
        <v/>
      </c>
      <c r="O36" s="23">
        <f>$H36-J36</f>
        <v/>
      </c>
      <c r="P36" s="33">
        <f>IF($H36=0,"NA",IF(J36&gt;=$H36,"Complete",IF(J36/$H36&gt;='Schedule Model'!$C$8,"At or above threshold","BELOW THRESHOLD — source now")))</f>
        <v/>
      </c>
      <c r="Q36" s="29">
        <f>IF('Schedule Model'!$G$13="NA","NA",INT('Schedule Model'!$C$5+0.54*'Schedule Model'!$G$13*7))</f>
        <v/>
      </c>
      <c r="R36" s="23">
        <f>IF(OR($H36=0,NOT(ISNUMBER(Q36))),"NA",IF(J36&gt;=$H36,"On target",IF(TODAY()&lt;=Q36,"Not yet due",TODAY()-Q36)))</f>
        <v/>
      </c>
      <c r="S36" s="23">
        <f>COUNTIFS('Issues Log'!$D$5:$D$504,$B36,'Issues Log'!$K$5:$K$504,"Open")+COUNTIFS('Issues Log'!$D$5:$D$504,$B36,'Issues Log'!$K$5:$K$504,"In progress")</f>
        <v/>
      </c>
    </row>
    <row r="37" ht="26" customHeight="1">
      <c r="A37" s="23" t="inlineStr">
        <is>
          <t>ED Facility</t>
        </is>
      </c>
      <c r="B37" s="31" t="inlineStr">
        <is>
          <t>EDF-09</t>
        </is>
      </c>
      <c r="C37" s="32" t="inlineStr">
        <is>
          <t>Respiratory distress — asthma, COPD, pneumonia</t>
        </is>
      </c>
      <c r="D37" s="33" t="inlineStr">
        <is>
          <t>Level 4</t>
        </is>
      </c>
      <c r="E37" s="36" t="inlineStr">
        <is>
          <t>P2</t>
        </is>
      </c>
      <c r="F37" s="33" t="inlineStr">
        <is>
          <t>Moderate-led</t>
        </is>
      </c>
      <c r="G37" s="33" t="inlineStr">
        <is>
          <t>C8 Foundation</t>
        </is>
      </c>
      <c r="H37" s="31" t="n">
        <v>49</v>
      </c>
      <c r="I37" s="23">
        <f>COUNTIFS('Chart Register'!$C$5:$C$1004,$B37)</f>
        <v/>
      </c>
      <c r="J37" s="23">
        <f>COUNTIFS('Chart Register'!$C$5:$C$1004,$B37,'Chart Register'!$N$5:$N$1004,"Live")</f>
        <v/>
      </c>
      <c r="K37" s="23">
        <f>I37-J37-L37-M37</f>
        <v/>
      </c>
      <c r="L37" s="23">
        <f>COUNTIFS('Chart Register'!$C$5:$C$1004,$B37,'Chart Register'!$N$5:$N$1004,"On hold")</f>
        <v/>
      </c>
      <c r="M37" s="23">
        <f>COUNTIFS('Chart Register'!$C$5:$C$1004,$B37,'Chart Register'!$N$5:$N$1004,"Retired")</f>
        <v/>
      </c>
      <c r="N37" s="35">
        <f>IF($H37=0,"NA",J37/$H37)</f>
        <v/>
      </c>
      <c r="O37" s="23">
        <f>$H37-J37</f>
        <v/>
      </c>
      <c r="P37" s="33">
        <f>IF($H37=0,"NA",IF(J37&gt;=$H37,"Complete",IF(J37/$H37&gt;='Schedule Model'!$C$8,"At or above threshold","BELOW THRESHOLD — source now")))</f>
        <v/>
      </c>
      <c r="Q37" s="29">
        <f>IF('Schedule Model'!$G$13="NA","NA",INT('Schedule Model'!$C$5+0.61*'Schedule Model'!$G$13*7))</f>
        <v/>
      </c>
      <c r="R37" s="23">
        <f>IF(OR($H37=0,NOT(ISNUMBER(Q37))),"NA",IF(J37&gt;=$H37,"On target",IF(TODAY()&lt;=Q37,"Not yet due",TODAY()-Q37)))</f>
        <v/>
      </c>
      <c r="S37" s="23">
        <f>COUNTIFS('Issues Log'!$D$5:$D$504,$B37,'Issues Log'!$K$5:$K$504,"Open")+COUNTIFS('Issues Log'!$D$5:$D$504,$B37,'Issues Log'!$K$5:$K$504,"In progress")</f>
        <v/>
      </c>
    </row>
    <row r="38" ht="26" customHeight="1">
      <c r="A38" s="23" t="inlineStr">
        <is>
          <t>ED Facility</t>
        </is>
      </c>
      <c r="B38" s="31" t="inlineStr">
        <is>
          <t>EDF-10</t>
        </is>
      </c>
      <c r="C38" s="32" t="inlineStr">
        <is>
          <t>Complex medical with multiple workups</t>
        </is>
      </c>
      <c r="D38" s="33" t="inlineStr">
        <is>
          <t>Level 4</t>
        </is>
      </c>
      <c r="E38" s="36" t="inlineStr">
        <is>
          <t>P2</t>
        </is>
      </c>
      <c r="F38" s="33" t="inlineStr">
        <is>
          <t>Complex-led</t>
        </is>
      </c>
      <c r="G38" s="33" t="inlineStr">
        <is>
          <t>C1 High error rate</t>
        </is>
      </c>
      <c r="H38" s="31" t="n">
        <v>49</v>
      </c>
      <c r="I38" s="23">
        <f>COUNTIFS('Chart Register'!$C$5:$C$1004,$B38)</f>
        <v/>
      </c>
      <c r="J38" s="23">
        <f>COUNTIFS('Chart Register'!$C$5:$C$1004,$B38,'Chart Register'!$N$5:$N$1004,"Live")</f>
        <v/>
      </c>
      <c r="K38" s="23">
        <f>I38-J38-L38-M38</f>
        <v/>
      </c>
      <c r="L38" s="23">
        <f>COUNTIFS('Chart Register'!$C$5:$C$1004,$B38,'Chart Register'!$N$5:$N$1004,"On hold")</f>
        <v/>
      </c>
      <c r="M38" s="23">
        <f>COUNTIFS('Chart Register'!$C$5:$C$1004,$B38,'Chart Register'!$N$5:$N$1004,"Retired")</f>
        <v/>
      </c>
      <c r="N38" s="35">
        <f>IF($H38=0,"NA",J38/$H38)</f>
        <v/>
      </c>
      <c r="O38" s="23">
        <f>$H38-J38</f>
        <v/>
      </c>
      <c r="P38" s="33">
        <f>IF($H38=0,"NA",IF(J38&gt;=$H38,"Complete",IF(J38/$H38&gt;='Schedule Model'!$C$8,"At or above threshold","BELOW THRESHOLD — source now")))</f>
        <v/>
      </c>
      <c r="Q38" s="29">
        <f>IF('Schedule Model'!$G$13="NA","NA",INT('Schedule Model'!$C$5+0.68*'Schedule Model'!$G$13*7))</f>
        <v/>
      </c>
      <c r="R38" s="23">
        <f>IF(OR($H38=0,NOT(ISNUMBER(Q38))),"NA",IF(J38&gt;=$H38,"On target",IF(TODAY()&lt;=Q38,"Not yet due",TODAY()-Q38)))</f>
        <v/>
      </c>
      <c r="S38" s="23">
        <f>COUNTIFS('Issues Log'!$D$5:$D$504,$B38,'Issues Log'!$K$5:$K$504,"Open")+COUNTIFS('Issues Log'!$D$5:$D$504,$B38,'Issues Log'!$K$5:$K$504,"In progress")</f>
        <v/>
      </c>
    </row>
    <row r="39" ht="26" customHeight="1">
      <c r="A39" s="23" t="inlineStr">
        <is>
          <t>ED Facility</t>
        </is>
      </c>
      <c r="B39" s="31" t="inlineStr">
        <is>
          <t>EDF-12</t>
        </is>
      </c>
      <c r="C39" s="32" t="inlineStr">
        <is>
          <t>Observation services initiated from the ED</t>
        </is>
      </c>
      <c r="D39" s="33" t="inlineStr">
        <is>
          <t>Level 4</t>
        </is>
      </c>
      <c r="E39" s="36" t="inlineStr">
        <is>
          <t>P2</t>
        </is>
      </c>
      <c r="F39" s="33" t="inlineStr">
        <is>
          <t>Complex-led</t>
        </is>
      </c>
      <c r="G39" s="33" t="inlineStr">
        <is>
          <t>C7 Denial trends</t>
        </is>
      </c>
      <c r="H39" s="31" t="n">
        <v>21</v>
      </c>
      <c r="I39" s="23">
        <f>COUNTIFS('Chart Register'!$C$5:$C$1004,$B39)</f>
        <v/>
      </c>
      <c r="J39" s="23">
        <f>COUNTIFS('Chart Register'!$C$5:$C$1004,$B39,'Chart Register'!$N$5:$N$1004,"Live")</f>
        <v/>
      </c>
      <c r="K39" s="23">
        <f>I39-J39-L39-M39</f>
        <v/>
      </c>
      <c r="L39" s="23">
        <f>COUNTIFS('Chart Register'!$C$5:$C$1004,$B39,'Chart Register'!$N$5:$N$1004,"On hold")</f>
        <v/>
      </c>
      <c r="M39" s="23">
        <f>COUNTIFS('Chart Register'!$C$5:$C$1004,$B39,'Chart Register'!$N$5:$N$1004,"Retired")</f>
        <v/>
      </c>
      <c r="N39" s="35">
        <f>IF($H39=0,"NA",J39/$H39)</f>
        <v/>
      </c>
      <c r="O39" s="23">
        <f>$H39-J39</f>
        <v/>
      </c>
      <c r="P39" s="33">
        <f>IF($H39=0,"NA",IF(J39&gt;=$H39,"Complete",IF(J39/$H39&gt;='Schedule Model'!$C$8,"At or above threshold","BELOW THRESHOLD — source now")))</f>
        <v/>
      </c>
      <c r="Q39" s="29">
        <f>IF('Schedule Model'!$G$13="NA","NA",INT('Schedule Model'!$C$5+0.71*'Schedule Model'!$G$13*7))</f>
        <v/>
      </c>
      <c r="R39" s="23">
        <f>IF(OR($H39=0,NOT(ISNUMBER(Q39))),"NA",IF(J39&gt;=$H39,"On target",IF(TODAY()&lt;=Q39,"Not yet due",TODAY()-Q39)))</f>
        <v/>
      </c>
      <c r="S39" s="23">
        <f>COUNTIFS('Issues Log'!$D$5:$D$504,$B39,'Issues Log'!$K$5:$K$504,"Open")+COUNTIFS('Issues Log'!$D$5:$D$504,$B39,'Issues Log'!$K$5:$K$504,"In progress")</f>
        <v/>
      </c>
    </row>
    <row r="40" ht="26" customHeight="1">
      <c r="A40" s="23" t="inlineStr">
        <is>
          <t>ED Facility</t>
        </is>
      </c>
      <c r="B40" s="31" t="inlineStr">
        <is>
          <t>EDF-13</t>
        </is>
      </c>
      <c r="C40" s="32" t="inlineStr">
        <is>
          <t>High-acuity medical (99285)</t>
        </is>
      </c>
      <c r="D40" s="33" t="inlineStr">
        <is>
          <t>Level 5 / critical care</t>
        </is>
      </c>
      <c r="E40" s="36" t="inlineStr">
        <is>
          <t>P2</t>
        </is>
      </c>
      <c r="F40" s="33" t="inlineStr">
        <is>
          <t>Complex-led</t>
        </is>
      </c>
      <c r="G40" s="33" t="inlineStr">
        <is>
          <t>C1 High error rate</t>
        </is>
      </c>
      <c r="H40" s="31" t="n">
        <v>42</v>
      </c>
      <c r="I40" s="23">
        <f>COUNTIFS('Chart Register'!$C$5:$C$1004,$B40)</f>
        <v/>
      </c>
      <c r="J40" s="23">
        <f>COUNTIFS('Chart Register'!$C$5:$C$1004,$B40,'Chart Register'!$N$5:$N$1004,"Live")</f>
        <v/>
      </c>
      <c r="K40" s="23">
        <f>I40-J40-L40-M40</f>
        <v/>
      </c>
      <c r="L40" s="23">
        <f>COUNTIFS('Chart Register'!$C$5:$C$1004,$B40,'Chart Register'!$N$5:$N$1004,"On hold")</f>
        <v/>
      </c>
      <c r="M40" s="23">
        <f>COUNTIFS('Chart Register'!$C$5:$C$1004,$B40,'Chart Register'!$N$5:$N$1004,"Retired")</f>
        <v/>
      </c>
      <c r="N40" s="35">
        <f>IF($H40=0,"NA",J40/$H40)</f>
        <v/>
      </c>
      <c r="O40" s="23">
        <f>$H40-J40</f>
        <v/>
      </c>
      <c r="P40" s="33">
        <f>IF($H40=0,"NA",IF(J40&gt;=$H40,"Complete",IF(J40/$H40&gt;='Schedule Model'!$C$8,"At or above threshold","BELOW THRESHOLD — source now")))</f>
        <v/>
      </c>
      <c r="Q40" s="29">
        <f>IF('Schedule Model'!$G$13="NA","NA",INT('Schedule Model'!$C$5+0.77*'Schedule Model'!$G$13*7))</f>
        <v/>
      </c>
      <c r="R40" s="23">
        <f>IF(OR($H40=0,NOT(ISNUMBER(Q40))),"NA",IF(J40&gt;=$H40,"On target",IF(TODAY()&lt;=Q40,"Not yet due",TODAY()-Q40)))</f>
        <v/>
      </c>
      <c r="S40" s="23">
        <f>COUNTIFS('Issues Log'!$D$5:$D$504,$B40,'Issues Log'!$K$5:$K$504,"Open")+COUNTIFS('Issues Log'!$D$5:$D$504,$B40,'Issues Log'!$K$5:$K$504,"In progress")</f>
        <v/>
      </c>
    </row>
    <row r="41" ht="26" customHeight="1">
      <c r="A41" s="23" t="inlineStr">
        <is>
          <t>ED Facility</t>
        </is>
      </c>
      <c r="B41" s="31" t="inlineStr">
        <is>
          <t>EDF-14</t>
        </is>
      </c>
      <c r="C41" s="32" t="inlineStr">
        <is>
          <t>Critical care (99291 / 99292)</t>
        </is>
      </c>
      <c r="D41" s="33" t="inlineStr">
        <is>
          <t>Level 5 / critical care</t>
        </is>
      </c>
      <c r="E41" s="36" t="inlineStr">
        <is>
          <t>P2</t>
        </is>
      </c>
      <c r="F41" s="33" t="inlineStr">
        <is>
          <t>Complex-led</t>
        </is>
      </c>
      <c r="G41" s="33" t="inlineStr">
        <is>
          <t>C2 High dollar value</t>
        </is>
      </c>
      <c r="H41" s="31" t="n">
        <v>56</v>
      </c>
      <c r="I41" s="23">
        <f>COUNTIFS('Chart Register'!$C$5:$C$1004,$B41)</f>
        <v/>
      </c>
      <c r="J41" s="23">
        <f>COUNTIFS('Chart Register'!$C$5:$C$1004,$B41,'Chart Register'!$N$5:$N$1004,"Live")</f>
        <v/>
      </c>
      <c r="K41" s="23">
        <f>I41-J41-L41-M41</f>
        <v/>
      </c>
      <c r="L41" s="23">
        <f>COUNTIFS('Chart Register'!$C$5:$C$1004,$B41,'Chart Register'!$N$5:$N$1004,"On hold")</f>
        <v/>
      </c>
      <c r="M41" s="23">
        <f>COUNTIFS('Chart Register'!$C$5:$C$1004,$B41,'Chart Register'!$N$5:$N$1004,"Retired")</f>
        <v/>
      </c>
      <c r="N41" s="35">
        <f>IF($H41=0,"NA",J41/$H41)</f>
        <v/>
      </c>
      <c r="O41" s="23">
        <f>$H41-J41</f>
        <v/>
      </c>
      <c r="P41" s="33">
        <f>IF($H41=0,"NA",IF(J41&gt;=$H41,"Complete",IF(J41/$H41&gt;='Schedule Model'!$C$8,"At or above threshold","BELOW THRESHOLD — source now")))</f>
        <v/>
      </c>
      <c r="Q41" s="29">
        <f>IF('Schedule Model'!$G$13="NA","NA",INT('Schedule Model'!$C$5+0.85*'Schedule Model'!$G$13*7))</f>
        <v/>
      </c>
      <c r="R41" s="23">
        <f>IF(OR($H41=0,NOT(ISNUMBER(Q41))),"NA",IF(J41&gt;=$H41,"On target",IF(TODAY()&lt;=Q41,"Not yet due",TODAY()-Q41)))</f>
        <v/>
      </c>
      <c r="S41" s="23">
        <f>COUNTIFS('Issues Log'!$D$5:$D$504,$B41,'Issues Log'!$K$5:$K$504,"Open")+COUNTIFS('Issues Log'!$D$5:$D$504,$B41,'Issues Log'!$K$5:$K$504,"In progress")</f>
        <v/>
      </c>
    </row>
    <row r="42" ht="26" customHeight="1">
      <c r="A42" s="23" t="inlineStr">
        <is>
          <t>ED Facility</t>
        </is>
      </c>
      <c r="B42" s="31" t="inlineStr">
        <is>
          <t>EDF-15</t>
        </is>
      </c>
      <c r="C42" s="32" t="inlineStr">
        <is>
          <t>The level 5 versus critical care boundary</t>
        </is>
      </c>
      <c r="D42" s="33" t="inlineStr">
        <is>
          <t>Level 5 / critical care</t>
        </is>
      </c>
      <c r="E42" s="36" t="inlineStr">
        <is>
          <t>P2</t>
        </is>
      </c>
      <c r="F42" s="33" t="inlineStr">
        <is>
          <t>Complex-led</t>
        </is>
      </c>
      <c r="G42" s="33" t="inlineStr">
        <is>
          <t>C6 Customer escalations</t>
        </is>
      </c>
      <c r="H42" s="31" t="n">
        <v>14</v>
      </c>
      <c r="I42" s="23">
        <f>COUNTIFS('Chart Register'!$C$5:$C$1004,$B42)</f>
        <v/>
      </c>
      <c r="J42" s="23">
        <f>COUNTIFS('Chart Register'!$C$5:$C$1004,$B42,'Chart Register'!$N$5:$N$1004,"Live")</f>
        <v/>
      </c>
      <c r="K42" s="23">
        <f>I42-J42-L42-M42</f>
        <v/>
      </c>
      <c r="L42" s="23">
        <f>COUNTIFS('Chart Register'!$C$5:$C$1004,$B42,'Chart Register'!$N$5:$N$1004,"On hold")</f>
        <v/>
      </c>
      <c r="M42" s="23">
        <f>COUNTIFS('Chart Register'!$C$5:$C$1004,$B42,'Chart Register'!$N$5:$N$1004,"Retired")</f>
        <v/>
      </c>
      <c r="N42" s="35">
        <f>IF($H42=0,"NA",J42/$H42)</f>
        <v/>
      </c>
      <c r="O42" s="23">
        <f>$H42-J42</f>
        <v/>
      </c>
      <c r="P42" s="33">
        <f>IF($H42=0,"NA",IF(J42&gt;=$H42,"Complete",IF(J42/$H42&gt;='Schedule Model'!$C$8,"At or above threshold","BELOW THRESHOLD — source now")))</f>
        <v/>
      </c>
      <c r="Q42" s="29">
        <f>IF('Schedule Model'!$G$13="NA","NA",INT('Schedule Model'!$C$5+0.87*'Schedule Model'!$G$13*7))</f>
        <v/>
      </c>
      <c r="R42" s="23">
        <f>IF(OR($H42=0,NOT(ISNUMBER(Q42))),"NA",IF(J42&gt;=$H42,"On target",IF(TODAY()&lt;=Q42,"Not yet due",TODAY()-Q42)))</f>
        <v/>
      </c>
      <c r="S42" s="23">
        <f>COUNTIFS('Issues Log'!$D$5:$D$504,$B42,'Issues Log'!$K$5:$K$504,"Open")+COUNTIFS('Issues Log'!$D$5:$D$504,$B42,'Issues Log'!$K$5:$K$504,"In progress")</f>
        <v/>
      </c>
    </row>
    <row r="43" ht="26" customHeight="1">
      <c r="A43" s="23" t="inlineStr">
        <is>
          <t>ED Facility</t>
        </is>
      </c>
      <c r="B43" s="31" t="inlineStr">
        <is>
          <t>EDF-16</t>
        </is>
      </c>
      <c r="C43" s="32" t="inlineStr">
        <is>
          <t>Trauma activation</t>
        </is>
      </c>
      <c r="D43" s="33" t="inlineStr">
        <is>
          <t>Level 5 / critical care</t>
        </is>
      </c>
      <c r="E43" s="36" t="inlineStr">
        <is>
          <t>P2</t>
        </is>
      </c>
      <c r="F43" s="33" t="inlineStr">
        <is>
          <t>Complex-led</t>
        </is>
      </c>
      <c r="G43" s="33" t="inlineStr">
        <is>
          <t>C7 Denial trends</t>
        </is>
      </c>
      <c r="H43" s="31" t="n">
        <v>14</v>
      </c>
      <c r="I43" s="23">
        <f>COUNTIFS('Chart Register'!$C$5:$C$1004,$B43)</f>
        <v/>
      </c>
      <c r="J43" s="23">
        <f>COUNTIFS('Chart Register'!$C$5:$C$1004,$B43,'Chart Register'!$N$5:$N$1004,"Live")</f>
        <v/>
      </c>
      <c r="K43" s="23">
        <f>I43-J43-L43-M43</f>
        <v/>
      </c>
      <c r="L43" s="23">
        <f>COUNTIFS('Chart Register'!$C$5:$C$1004,$B43,'Chart Register'!$N$5:$N$1004,"On hold")</f>
        <v/>
      </c>
      <c r="M43" s="23">
        <f>COUNTIFS('Chart Register'!$C$5:$C$1004,$B43,'Chart Register'!$N$5:$N$1004,"Retired")</f>
        <v/>
      </c>
      <c r="N43" s="35">
        <f>IF($H43=0,"NA",J43/$H43)</f>
        <v/>
      </c>
      <c r="O43" s="23">
        <f>$H43-J43</f>
        <v/>
      </c>
      <c r="P43" s="33">
        <f>IF($H43=0,"NA",IF(J43&gt;=$H43,"Complete",IF(J43/$H43&gt;='Schedule Model'!$C$8,"At or above threshold","BELOW THRESHOLD — source now")))</f>
        <v/>
      </c>
      <c r="Q43" s="29">
        <f>IF('Schedule Model'!$G$13="NA","NA",INT('Schedule Model'!$C$5+0.89*'Schedule Model'!$G$13*7))</f>
        <v/>
      </c>
      <c r="R43" s="23">
        <f>IF(OR($H43=0,NOT(ISNUMBER(Q43))),"NA",IF(J43&gt;=$H43,"On target",IF(TODAY()&lt;=Q43,"Not yet due",TODAY()-Q43)))</f>
        <v/>
      </c>
      <c r="S43" s="23">
        <f>COUNTIFS('Issues Log'!$D$5:$D$504,$B43,'Issues Log'!$K$5:$K$504,"Open")+COUNTIFS('Issues Log'!$D$5:$D$504,$B43,'Issues Log'!$K$5:$K$504,"In progress")</f>
        <v/>
      </c>
    </row>
    <row r="44" ht="26" customHeight="1">
      <c r="A44" s="23" t="inlineStr">
        <is>
          <t>ED Facility</t>
        </is>
      </c>
      <c r="B44" s="31" t="inlineStr">
        <is>
          <t>EDF-02</t>
        </is>
      </c>
      <c r="C44" s="32" t="inlineStr">
        <is>
          <t>Nurse-only and ancillary-only ED encounters</t>
        </is>
      </c>
      <c r="D44" s="33" t="inlineStr">
        <is>
          <t>Levels 1–2</t>
        </is>
      </c>
      <c r="E44" s="37" t="inlineStr">
        <is>
          <t>P3</t>
        </is>
      </c>
      <c r="F44" s="33" t="inlineStr">
        <is>
          <t>Basic-led</t>
        </is>
      </c>
      <c r="G44" s="33" t="inlineStr">
        <is>
          <t>C8 Foundation</t>
        </is>
      </c>
      <c r="H44" s="31" t="n">
        <v>35</v>
      </c>
      <c r="I44" s="23">
        <f>COUNTIFS('Chart Register'!$C$5:$C$1004,$B44)</f>
        <v/>
      </c>
      <c r="J44" s="23">
        <f>COUNTIFS('Chart Register'!$C$5:$C$1004,$B44,'Chart Register'!$N$5:$N$1004,"Live")</f>
        <v/>
      </c>
      <c r="K44" s="23">
        <f>I44-J44-L44-M44</f>
        <v/>
      </c>
      <c r="L44" s="23">
        <f>COUNTIFS('Chart Register'!$C$5:$C$1004,$B44,'Chart Register'!$N$5:$N$1004,"On hold")</f>
        <v/>
      </c>
      <c r="M44" s="23">
        <f>COUNTIFS('Chart Register'!$C$5:$C$1004,$B44,'Chart Register'!$N$5:$N$1004,"Retired")</f>
        <v/>
      </c>
      <c r="N44" s="35">
        <f>IF($H44=0,"NA",J44/$H44)</f>
        <v/>
      </c>
      <c r="O44" s="23">
        <f>$H44-J44</f>
        <v/>
      </c>
      <c r="P44" s="33">
        <f>IF($H44=0,"NA",IF(J44&gt;=$H44,"Complete",IF(J44/$H44&gt;='Schedule Model'!$C$8,"At or above threshold","BELOW THRESHOLD — source now")))</f>
        <v/>
      </c>
      <c r="Q44" s="29">
        <f>IF('Schedule Model'!$G$13="NA","NA",INT('Schedule Model'!$C$5+0.94*'Schedule Model'!$G$13*7))</f>
        <v/>
      </c>
      <c r="R44" s="23">
        <f>IF(OR($H44=0,NOT(ISNUMBER(Q44))),"NA",IF(J44&gt;=$H44,"On target",IF(TODAY()&lt;=Q44,"Not yet due",TODAY()-Q44)))</f>
        <v/>
      </c>
      <c r="S44" s="23">
        <f>COUNTIFS('Issues Log'!$D$5:$D$504,$B44,'Issues Log'!$K$5:$K$504,"Open")+COUNTIFS('Issues Log'!$D$5:$D$504,$B44,'Issues Log'!$K$5:$K$504,"In progress")</f>
        <v/>
      </c>
    </row>
    <row r="45" ht="26" customHeight="1">
      <c r="A45" s="23" t="inlineStr">
        <is>
          <t>ED Facility</t>
        </is>
      </c>
      <c r="B45" s="31" t="inlineStr">
        <is>
          <t>EDF-11</t>
        </is>
      </c>
      <c r="C45" s="32" t="inlineStr">
        <is>
          <t>Behavioural health presentations</t>
        </is>
      </c>
      <c r="D45" s="33" t="inlineStr">
        <is>
          <t>Level 4</t>
        </is>
      </c>
      <c r="E45" s="37" t="inlineStr">
        <is>
          <t>P3</t>
        </is>
      </c>
      <c r="F45" s="33" t="inlineStr">
        <is>
          <t>Moderate-led</t>
        </is>
      </c>
      <c r="G45" s="33" t="inlineStr">
        <is>
          <t>C6 Customer escalations</t>
        </is>
      </c>
      <c r="H45" s="31" t="n">
        <v>28</v>
      </c>
      <c r="I45" s="23">
        <f>COUNTIFS('Chart Register'!$C$5:$C$1004,$B45)</f>
        <v/>
      </c>
      <c r="J45" s="23">
        <f>COUNTIFS('Chart Register'!$C$5:$C$1004,$B45,'Chart Register'!$N$5:$N$1004,"Live")</f>
        <v/>
      </c>
      <c r="K45" s="23">
        <f>I45-J45-L45-M45</f>
        <v/>
      </c>
      <c r="L45" s="23">
        <f>COUNTIFS('Chart Register'!$C$5:$C$1004,$B45,'Chart Register'!$N$5:$N$1004,"On hold")</f>
        <v/>
      </c>
      <c r="M45" s="23">
        <f>COUNTIFS('Chart Register'!$C$5:$C$1004,$B45,'Chart Register'!$N$5:$N$1004,"Retired")</f>
        <v/>
      </c>
      <c r="N45" s="35">
        <f>IF($H45=0,"NA",J45/$H45)</f>
        <v/>
      </c>
      <c r="O45" s="23">
        <f>$H45-J45</f>
        <v/>
      </c>
      <c r="P45" s="33">
        <f>IF($H45=0,"NA",IF(J45&gt;=$H45,"Complete",IF(J45/$H45&gt;='Schedule Model'!$C$8,"At or above threshold","BELOW THRESHOLD — source now")))</f>
        <v/>
      </c>
      <c r="Q45" s="29">
        <f>IF('Schedule Model'!$G$13="NA","NA",INT('Schedule Model'!$C$5+0.98*'Schedule Model'!$G$13*7))</f>
        <v/>
      </c>
      <c r="R45" s="23">
        <f>IF(OR($H45=0,NOT(ISNUMBER(Q45))),"NA",IF(J45&gt;=$H45,"On target",IF(TODAY()&lt;=Q45,"Not yet due",TODAY()-Q45)))</f>
        <v/>
      </c>
      <c r="S45" s="23">
        <f>COUNTIFS('Issues Log'!$D$5:$D$504,$B45,'Issues Log'!$K$5:$K$504,"Open")+COUNTIFS('Issues Log'!$D$5:$D$504,$B45,'Issues Log'!$K$5:$K$504,"In progress")</f>
        <v/>
      </c>
    </row>
    <row r="46" ht="26" customHeight="1">
      <c r="A46" s="23" t="inlineStr">
        <is>
          <t>ED Facility</t>
        </is>
      </c>
      <c r="B46" s="31" t="inlineStr">
        <is>
          <t>EDF-17</t>
        </is>
      </c>
      <c r="C46" s="32" t="inlineStr">
        <is>
          <t>Cardiac arrest and resuscitation</t>
        </is>
      </c>
      <c r="D46" s="33" t="inlineStr">
        <is>
          <t>Level 5 / critical care</t>
        </is>
      </c>
      <c r="E46" s="37" t="inlineStr">
        <is>
          <t>P3</t>
        </is>
      </c>
      <c r="F46" s="33" t="inlineStr">
        <is>
          <t>Complex-led</t>
        </is>
      </c>
      <c r="G46" s="33" t="inlineStr">
        <is>
          <t>C2 High dollar value</t>
        </is>
      </c>
      <c r="H46" s="31" t="n">
        <v>14</v>
      </c>
      <c r="I46" s="23">
        <f>COUNTIFS('Chart Register'!$C$5:$C$1004,$B46)</f>
        <v/>
      </c>
      <c r="J46" s="23">
        <f>COUNTIFS('Chart Register'!$C$5:$C$1004,$B46,'Chart Register'!$N$5:$N$1004,"Live")</f>
        <v/>
      </c>
      <c r="K46" s="23">
        <f>I46-J46-L46-M46</f>
        <v/>
      </c>
      <c r="L46" s="23">
        <f>COUNTIFS('Chart Register'!$C$5:$C$1004,$B46,'Chart Register'!$N$5:$N$1004,"On hold")</f>
        <v/>
      </c>
      <c r="M46" s="23">
        <f>COUNTIFS('Chart Register'!$C$5:$C$1004,$B46,'Chart Register'!$N$5:$N$1004,"Retired")</f>
        <v/>
      </c>
      <c r="N46" s="35">
        <f>IF($H46=0,"NA",J46/$H46)</f>
        <v/>
      </c>
      <c r="O46" s="23">
        <f>$H46-J46</f>
        <v/>
      </c>
      <c r="P46" s="33">
        <f>IF($H46=0,"NA",IF(J46&gt;=$H46,"Complete",IF(J46/$H46&gt;='Schedule Model'!$C$8,"At or above threshold","BELOW THRESHOLD — source now")))</f>
        <v/>
      </c>
      <c r="Q46" s="29">
        <f>IF('Schedule Model'!$G$13="NA","NA",INT('Schedule Model'!$C$5+1.0*'Schedule Model'!$G$13*7))</f>
        <v/>
      </c>
      <c r="R46" s="23">
        <f>IF(OR($H46=0,NOT(ISNUMBER(Q46))),"NA",IF(J46&gt;=$H46,"On target",IF(TODAY()&lt;=Q46,"Not yet due",TODAY()-Q46)))</f>
        <v/>
      </c>
      <c r="S46" s="23">
        <f>COUNTIFS('Issues Log'!$D$5:$D$504,$B46,'Issues Log'!$K$5:$K$504,"Open")+COUNTIFS('Issues Log'!$D$5:$D$504,$B46,'Issues Log'!$K$5:$K$504,"In progress")</f>
        <v/>
      </c>
    </row>
    <row r="47" ht="26" customHeight="1">
      <c r="A47" s="23" t="inlineStr">
        <is>
          <t>ED Profee</t>
        </is>
      </c>
      <c r="B47" s="31" t="inlineStr">
        <is>
          <t>EDP-01</t>
        </is>
      </c>
      <c r="C47" s="32" t="inlineStr">
        <is>
          <t>99281 / 99282 — straightforward presentations</t>
        </is>
      </c>
      <c r="D47" s="33" t="inlineStr">
        <is>
          <t>Low acuity</t>
        </is>
      </c>
      <c r="E47" s="36" t="inlineStr">
        <is>
          <t>P2</t>
        </is>
      </c>
      <c r="F47" s="33" t="inlineStr">
        <is>
          <t>Basic-led</t>
        </is>
      </c>
      <c r="G47" s="33" t="inlineStr">
        <is>
          <t>C8 Foundation</t>
        </is>
      </c>
      <c r="H47" s="31" t="n">
        <v>28</v>
      </c>
      <c r="I47" s="23">
        <f>COUNTIFS('Chart Register'!$C$5:$C$1004,$B47)</f>
        <v/>
      </c>
      <c r="J47" s="23">
        <f>COUNTIFS('Chart Register'!$C$5:$C$1004,$B47,'Chart Register'!$N$5:$N$1004,"Live")</f>
        <v/>
      </c>
      <c r="K47" s="23">
        <f>I47-J47-L47-M47</f>
        <v/>
      </c>
      <c r="L47" s="23">
        <f>COUNTIFS('Chart Register'!$C$5:$C$1004,$B47,'Chart Register'!$N$5:$N$1004,"On hold")</f>
        <v/>
      </c>
      <c r="M47" s="23">
        <f>COUNTIFS('Chart Register'!$C$5:$C$1004,$B47,'Chart Register'!$N$5:$N$1004,"Retired")</f>
        <v/>
      </c>
      <c r="N47" s="35">
        <f>IF($H47=0,"NA",J47/$H47)</f>
        <v/>
      </c>
      <c r="O47" s="23">
        <f>$H47-J47</f>
        <v/>
      </c>
      <c r="P47" s="33">
        <f>IF($H47=0,"NA",IF(J47&gt;=$H47,"Complete",IF(J47/$H47&gt;='Schedule Model'!$C$8,"At or above threshold","BELOW THRESHOLD — source now")))</f>
        <v/>
      </c>
      <c r="Q47" s="29">
        <f>IF('Schedule Model'!$G$14="NA","NA",INT('Schedule Model'!$C$5+0.07*'Schedule Model'!$G$14*7))</f>
        <v/>
      </c>
      <c r="R47" s="23">
        <f>IF(OR($H47=0,NOT(ISNUMBER(Q47))),"NA",IF(J47&gt;=$H47,"On target",IF(TODAY()&lt;=Q47,"Not yet due",TODAY()-Q47)))</f>
        <v/>
      </c>
      <c r="S47" s="23">
        <f>COUNTIFS('Issues Log'!$D$5:$D$504,$B47,'Issues Log'!$K$5:$K$504,"Open")+COUNTIFS('Issues Log'!$D$5:$D$504,$B47,'Issues Log'!$K$5:$K$504,"In progress")</f>
        <v/>
      </c>
    </row>
    <row r="48" ht="26" customHeight="1">
      <c r="A48" s="23" t="inlineStr">
        <is>
          <t>ED Profee</t>
        </is>
      </c>
      <c r="B48" s="31" t="inlineStr">
        <is>
          <t>EDP-02</t>
        </is>
      </c>
      <c r="C48" s="32" t="inlineStr">
        <is>
          <t>99283 — moderate MDM</t>
        </is>
      </c>
      <c r="D48" s="33" t="inlineStr">
        <is>
          <t>Moderate</t>
        </is>
      </c>
      <c r="E48" s="36" t="inlineStr">
        <is>
          <t>P2</t>
        </is>
      </c>
      <c r="F48" s="33" t="inlineStr">
        <is>
          <t>Basic-led</t>
        </is>
      </c>
      <c r="G48" s="33" t="inlineStr">
        <is>
          <t>C8 Foundation</t>
        </is>
      </c>
      <c r="H48" s="31" t="n">
        <v>40</v>
      </c>
      <c r="I48" s="23">
        <f>COUNTIFS('Chart Register'!$C$5:$C$1004,$B48)</f>
        <v/>
      </c>
      <c r="J48" s="23">
        <f>COUNTIFS('Chart Register'!$C$5:$C$1004,$B48,'Chart Register'!$N$5:$N$1004,"Live")</f>
        <v/>
      </c>
      <c r="K48" s="23">
        <f>I48-J48-L48-M48</f>
        <v/>
      </c>
      <c r="L48" s="23">
        <f>COUNTIFS('Chart Register'!$C$5:$C$1004,$B48,'Chart Register'!$N$5:$N$1004,"On hold")</f>
        <v/>
      </c>
      <c r="M48" s="23">
        <f>COUNTIFS('Chart Register'!$C$5:$C$1004,$B48,'Chart Register'!$N$5:$N$1004,"Retired")</f>
        <v/>
      </c>
      <c r="N48" s="35">
        <f>IF($H48=0,"NA",J48/$H48)</f>
        <v/>
      </c>
      <c r="O48" s="23">
        <f>$H48-J48</f>
        <v/>
      </c>
      <c r="P48" s="33">
        <f>IF($H48=0,"NA",IF(J48&gt;=$H48,"Complete",IF(J48/$H48&gt;='Schedule Model'!$C$8,"At or above threshold","BELOW THRESHOLD — source now")))</f>
        <v/>
      </c>
      <c r="Q48" s="29">
        <f>IF('Schedule Model'!$G$14="NA","NA",INT('Schedule Model'!$C$5+0.17*'Schedule Model'!$G$14*7))</f>
        <v/>
      </c>
      <c r="R48" s="23">
        <f>IF(OR($H48=0,NOT(ISNUMBER(Q48))),"NA",IF(J48&gt;=$H48,"On target",IF(TODAY()&lt;=Q48,"Not yet due",TODAY()-Q48)))</f>
        <v/>
      </c>
      <c r="S48" s="23">
        <f>COUNTIFS('Issues Log'!$D$5:$D$504,$B48,'Issues Log'!$K$5:$K$504,"Open")+COUNTIFS('Issues Log'!$D$5:$D$504,$B48,'Issues Log'!$K$5:$K$504,"In progress")</f>
        <v/>
      </c>
    </row>
    <row r="49" ht="26" customHeight="1">
      <c r="A49" s="23" t="inlineStr">
        <is>
          <t>ED Profee</t>
        </is>
      </c>
      <c r="B49" s="31" t="inlineStr">
        <is>
          <t>EDP-03</t>
        </is>
      </c>
      <c r="C49" s="32" t="inlineStr">
        <is>
          <t>99283 with a separately reportable procedure</t>
        </is>
      </c>
      <c r="D49" s="33" t="inlineStr">
        <is>
          <t>Moderate</t>
        </is>
      </c>
      <c r="E49" s="36" t="inlineStr">
        <is>
          <t>P2</t>
        </is>
      </c>
      <c r="F49" s="33" t="inlineStr">
        <is>
          <t>Moderate-led</t>
        </is>
      </c>
      <c r="G49" s="33" t="inlineStr">
        <is>
          <t>C1 High error rate</t>
        </is>
      </c>
      <c r="H49" s="31" t="n">
        <v>24</v>
      </c>
      <c r="I49" s="23">
        <f>COUNTIFS('Chart Register'!$C$5:$C$1004,$B49)</f>
        <v/>
      </c>
      <c r="J49" s="23">
        <f>COUNTIFS('Chart Register'!$C$5:$C$1004,$B49,'Chart Register'!$N$5:$N$1004,"Live")</f>
        <v/>
      </c>
      <c r="K49" s="23">
        <f>I49-J49-L49-M49</f>
        <v/>
      </c>
      <c r="L49" s="23">
        <f>COUNTIFS('Chart Register'!$C$5:$C$1004,$B49,'Chart Register'!$N$5:$N$1004,"On hold")</f>
        <v/>
      </c>
      <c r="M49" s="23">
        <f>COUNTIFS('Chart Register'!$C$5:$C$1004,$B49,'Chart Register'!$N$5:$N$1004,"Retired")</f>
        <v/>
      </c>
      <c r="N49" s="35">
        <f>IF($H49=0,"NA",J49/$H49)</f>
        <v/>
      </c>
      <c r="O49" s="23">
        <f>$H49-J49</f>
        <v/>
      </c>
      <c r="P49" s="33">
        <f>IF($H49=0,"NA",IF(J49&gt;=$H49,"Complete",IF(J49/$H49&gt;='Schedule Model'!$C$8,"At or above threshold","BELOW THRESHOLD — source now")))</f>
        <v/>
      </c>
      <c r="Q49" s="29">
        <f>IF('Schedule Model'!$G$14="NA","NA",INT('Schedule Model'!$C$5+0.23*'Schedule Model'!$G$14*7))</f>
        <v/>
      </c>
      <c r="R49" s="23">
        <f>IF(OR($H49=0,NOT(ISNUMBER(Q49))),"NA",IF(J49&gt;=$H49,"On target",IF(TODAY()&lt;=Q49,"Not yet due",TODAY()-Q49)))</f>
        <v/>
      </c>
      <c r="S49" s="23">
        <f>COUNTIFS('Issues Log'!$D$5:$D$504,$B49,'Issues Log'!$K$5:$K$504,"Open")+COUNTIFS('Issues Log'!$D$5:$D$504,$B49,'Issues Log'!$K$5:$K$504,"In progress")</f>
        <v/>
      </c>
    </row>
    <row r="50" ht="26" customHeight="1">
      <c r="A50" s="23" t="inlineStr">
        <is>
          <t>ED Profee</t>
        </is>
      </c>
      <c r="B50" s="31" t="inlineStr">
        <is>
          <t>EDP-04</t>
        </is>
      </c>
      <c r="C50" s="32" t="inlineStr">
        <is>
          <t>99284 — moderate-to-high MDM</t>
        </is>
      </c>
      <c r="D50" s="33" t="inlineStr">
        <is>
          <t>Level 4</t>
        </is>
      </c>
      <c r="E50" s="36" t="inlineStr">
        <is>
          <t>P2</t>
        </is>
      </c>
      <c r="F50" s="33" t="inlineStr">
        <is>
          <t>Moderate-led</t>
        </is>
      </c>
      <c r="G50" s="33" t="inlineStr">
        <is>
          <t>C1 High error rate</t>
        </is>
      </c>
      <c r="H50" s="31" t="n">
        <v>48</v>
      </c>
      <c r="I50" s="23">
        <f>COUNTIFS('Chart Register'!$C$5:$C$1004,$B50)</f>
        <v/>
      </c>
      <c r="J50" s="23">
        <f>COUNTIFS('Chart Register'!$C$5:$C$1004,$B50,'Chart Register'!$N$5:$N$1004,"Live")</f>
        <v/>
      </c>
      <c r="K50" s="23">
        <f>I50-J50-L50-M50</f>
        <v/>
      </c>
      <c r="L50" s="23">
        <f>COUNTIFS('Chart Register'!$C$5:$C$1004,$B50,'Chart Register'!$N$5:$N$1004,"On hold")</f>
        <v/>
      </c>
      <c r="M50" s="23">
        <f>COUNTIFS('Chart Register'!$C$5:$C$1004,$B50,'Chart Register'!$N$5:$N$1004,"Retired")</f>
        <v/>
      </c>
      <c r="N50" s="35">
        <f>IF($H50=0,"NA",J50/$H50)</f>
        <v/>
      </c>
      <c r="O50" s="23">
        <f>$H50-J50</f>
        <v/>
      </c>
      <c r="P50" s="33">
        <f>IF($H50=0,"NA",IF(J50&gt;=$H50,"Complete",IF(J50/$H50&gt;='Schedule Model'!$C$8,"At or above threshold","BELOW THRESHOLD — source now")))</f>
        <v/>
      </c>
      <c r="Q50" s="29">
        <f>IF('Schedule Model'!$G$14="NA","NA",INT('Schedule Model'!$C$5+0.35*'Schedule Model'!$G$14*7))</f>
        <v/>
      </c>
      <c r="R50" s="23">
        <f>IF(OR($H50=0,NOT(ISNUMBER(Q50))),"NA",IF(J50&gt;=$H50,"On target",IF(TODAY()&lt;=Q50,"Not yet due",TODAY()-Q50)))</f>
        <v/>
      </c>
      <c r="S50" s="23">
        <f>COUNTIFS('Issues Log'!$D$5:$D$504,$B50,'Issues Log'!$K$5:$K$504,"Open")+COUNTIFS('Issues Log'!$D$5:$D$504,$B50,'Issues Log'!$K$5:$K$504,"In progress")</f>
        <v/>
      </c>
    </row>
    <row r="51" ht="26" customHeight="1">
      <c r="A51" s="23" t="inlineStr">
        <is>
          <t>ED Profee</t>
        </is>
      </c>
      <c r="B51" s="31" t="inlineStr">
        <is>
          <t>EDP-05</t>
        </is>
      </c>
      <c r="C51" s="32" t="inlineStr">
        <is>
          <t>99284 with fracture care or wound repair</t>
        </is>
      </c>
      <c r="D51" s="33" t="inlineStr">
        <is>
          <t>Level 4</t>
        </is>
      </c>
      <c r="E51" s="36" t="inlineStr">
        <is>
          <t>P2</t>
        </is>
      </c>
      <c r="F51" s="33" t="inlineStr">
        <is>
          <t>Complex-led</t>
        </is>
      </c>
      <c r="G51" s="33" t="inlineStr">
        <is>
          <t>C1 High error rate</t>
        </is>
      </c>
      <c r="H51" s="31" t="n">
        <v>24</v>
      </c>
      <c r="I51" s="23">
        <f>COUNTIFS('Chart Register'!$C$5:$C$1004,$B51)</f>
        <v/>
      </c>
      <c r="J51" s="23">
        <f>COUNTIFS('Chart Register'!$C$5:$C$1004,$B51,'Chart Register'!$N$5:$N$1004,"Live")</f>
        <v/>
      </c>
      <c r="K51" s="23">
        <f>I51-J51-L51-M51</f>
        <v/>
      </c>
      <c r="L51" s="23">
        <f>COUNTIFS('Chart Register'!$C$5:$C$1004,$B51,'Chart Register'!$N$5:$N$1004,"On hold")</f>
        <v/>
      </c>
      <c r="M51" s="23">
        <f>COUNTIFS('Chart Register'!$C$5:$C$1004,$B51,'Chart Register'!$N$5:$N$1004,"Retired")</f>
        <v/>
      </c>
      <c r="N51" s="35">
        <f>IF($H51=0,"NA",J51/$H51)</f>
        <v/>
      </c>
      <c r="O51" s="23">
        <f>$H51-J51</f>
        <v/>
      </c>
      <c r="P51" s="33">
        <f>IF($H51=0,"NA",IF(J51&gt;=$H51,"Complete",IF(J51/$H51&gt;='Schedule Model'!$C$8,"At or above threshold","BELOW THRESHOLD — source now")))</f>
        <v/>
      </c>
      <c r="Q51" s="29">
        <f>IF('Schedule Model'!$G$14="NA","NA",INT('Schedule Model'!$C$5+0.41*'Schedule Model'!$G$14*7))</f>
        <v/>
      </c>
      <c r="R51" s="23">
        <f>IF(OR($H51=0,NOT(ISNUMBER(Q51))),"NA",IF(J51&gt;=$H51,"On target",IF(TODAY()&lt;=Q51,"Not yet due",TODAY()-Q51)))</f>
        <v/>
      </c>
      <c r="S51" s="23">
        <f>COUNTIFS('Issues Log'!$D$5:$D$504,$B51,'Issues Log'!$K$5:$K$504,"Open")+COUNTIFS('Issues Log'!$D$5:$D$504,$B51,'Issues Log'!$K$5:$K$504,"In progress")</f>
        <v/>
      </c>
    </row>
    <row r="52" ht="26" customHeight="1">
      <c r="A52" s="23" t="inlineStr">
        <is>
          <t>ED Profee</t>
        </is>
      </c>
      <c r="B52" s="31" t="inlineStr">
        <is>
          <t>EDP-06</t>
        </is>
      </c>
      <c r="C52" s="32" t="inlineStr">
        <is>
          <t>99285 — high MDM</t>
        </is>
      </c>
      <c r="D52" s="33" t="inlineStr">
        <is>
          <t>Level 5</t>
        </is>
      </c>
      <c r="E52" s="36" t="inlineStr">
        <is>
          <t>P2</t>
        </is>
      </c>
      <c r="F52" s="33" t="inlineStr">
        <is>
          <t>Complex-led</t>
        </is>
      </c>
      <c r="G52" s="33" t="inlineStr">
        <is>
          <t>C1 High error rate</t>
        </is>
      </c>
      <c r="H52" s="31" t="n">
        <v>52</v>
      </c>
      <c r="I52" s="23">
        <f>COUNTIFS('Chart Register'!$C$5:$C$1004,$B52)</f>
        <v/>
      </c>
      <c r="J52" s="23">
        <f>COUNTIFS('Chart Register'!$C$5:$C$1004,$B52,'Chart Register'!$N$5:$N$1004,"Live")</f>
        <v/>
      </c>
      <c r="K52" s="23">
        <f>I52-J52-L52-M52</f>
        <v/>
      </c>
      <c r="L52" s="23">
        <f>COUNTIFS('Chart Register'!$C$5:$C$1004,$B52,'Chart Register'!$N$5:$N$1004,"On hold")</f>
        <v/>
      </c>
      <c r="M52" s="23">
        <f>COUNTIFS('Chart Register'!$C$5:$C$1004,$B52,'Chart Register'!$N$5:$N$1004,"Retired")</f>
        <v/>
      </c>
      <c r="N52" s="35">
        <f>IF($H52=0,"NA",J52/$H52)</f>
        <v/>
      </c>
      <c r="O52" s="23">
        <f>$H52-J52</f>
        <v/>
      </c>
      <c r="P52" s="33">
        <f>IF($H52=0,"NA",IF(J52&gt;=$H52,"Complete",IF(J52/$H52&gt;='Schedule Model'!$C$8,"At or above threshold","BELOW THRESHOLD — source now")))</f>
        <v/>
      </c>
      <c r="Q52" s="29">
        <f>IF('Schedule Model'!$G$14="NA","NA",INT('Schedule Model'!$C$5+0.54*'Schedule Model'!$G$14*7))</f>
        <v/>
      </c>
      <c r="R52" s="23">
        <f>IF(OR($H52=0,NOT(ISNUMBER(Q52))),"NA",IF(J52&gt;=$H52,"On target",IF(TODAY()&lt;=Q52,"Not yet due",TODAY()-Q52)))</f>
        <v/>
      </c>
      <c r="S52" s="23">
        <f>COUNTIFS('Issues Log'!$D$5:$D$504,$B52,'Issues Log'!$K$5:$K$504,"Open")+COUNTIFS('Issues Log'!$D$5:$D$504,$B52,'Issues Log'!$K$5:$K$504,"In progress")</f>
        <v/>
      </c>
    </row>
    <row r="53" ht="26" customHeight="1">
      <c r="A53" s="23" t="inlineStr">
        <is>
          <t>ED Profee</t>
        </is>
      </c>
      <c r="B53" s="31" t="inlineStr">
        <is>
          <t>EDP-07</t>
        </is>
      </c>
      <c r="C53" s="32" t="inlineStr">
        <is>
          <t>99285 versus 99291 — the critical care boundary</t>
        </is>
      </c>
      <c r="D53" s="33" t="inlineStr">
        <is>
          <t>Level 5</t>
        </is>
      </c>
      <c r="E53" s="36" t="inlineStr">
        <is>
          <t>P2</t>
        </is>
      </c>
      <c r="F53" s="33" t="inlineStr">
        <is>
          <t>Complex-led</t>
        </is>
      </c>
      <c r="G53" s="33" t="inlineStr">
        <is>
          <t>C6 Customer escalations</t>
        </is>
      </c>
      <c r="H53" s="31" t="n">
        <v>32</v>
      </c>
      <c r="I53" s="23">
        <f>COUNTIFS('Chart Register'!$C$5:$C$1004,$B53)</f>
        <v/>
      </c>
      <c r="J53" s="23">
        <f>COUNTIFS('Chart Register'!$C$5:$C$1004,$B53,'Chart Register'!$N$5:$N$1004,"Live")</f>
        <v/>
      </c>
      <c r="K53" s="23">
        <f>I53-J53-L53-M53</f>
        <v/>
      </c>
      <c r="L53" s="23">
        <f>COUNTIFS('Chart Register'!$C$5:$C$1004,$B53,'Chart Register'!$N$5:$N$1004,"On hold")</f>
        <v/>
      </c>
      <c r="M53" s="23">
        <f>COUNTIFS('Chart Register'!$C$5:$C$1004,$B53,'Chart Register'!$N$5:$N$1004,"Retired")</f>
        <v/>
      </c>
      <c r="N53" s="35">
        <f>IF($H53=0,"NA",J53/$H53)</f>
        <v/>
      </c>
      <c r="O53" s="23">
        <f>$H53-J53</f>
        <v/>
      </c>
      <c r="P53" s="33">
        <f>IF($H53=0,"NA",IF(J53&gt;=$H53,"Complete",IF(J53/$H53&gt;='Schedule Model'!$C$8,"At or above threshold","BELOW THRESHOLD — source now")))</f>
        <v/>
      </c>
      <c r="Q53" s="29">
        <f>IF('Schedule Model'!$G$14="NA","NA",INT('Schedule Model'!$C$5+0.62*'Schedule Model'!$G$14*7))</f>
        <v/>
      </c>
      <c r="R53" s="23">
        <f>IF(OR($H53=0,NOT(ISNUMBER(Q53))),"NA",IF(J53&gt;=$H53,"On target",IF(TODAY()&lt;=Q53,"Not yet due",TODAY()-Q53)))</f>
        <v/>
      </c>
      <c r="S53" s="23">
        <f>COUNTIFS('Issues Log'!$D$5:$D$504,$B53,'Issues Log'!$K$5:$K$504,"Open")+COUNTIFS('Issues Log'!$D$5:$D$504,$B53,'Issues Log'!$K$5:$K$504,"In progress")</f>
        <v/>
      </c>
    </row>
    <row r="54" ht="26" customHeight="1">
      <c r="A54" s="23" t="inlineStr">
        <is>
          <t>ED Profee</t>
        </is>
      </c>
      <c r="B54" s="31" t="inlineStr">
        <is>
          <t>EDP-08</t>
        </is>
      </c>
      <c r="C54" s="32" t="inlineStr">
        <is>
          <t>99291 / 99292 — critical care</t>
        </is>
      </c>
      <c r="D54" s="33" t="inlineStr">
        <is>
          <t>Critical care</t>
        </is>
      </c>
      <c r="E54" s="36" t="inlineStr">
        <is>
          <t>P2</t>
        </is>
      </c>
      <c r="F54" s="33" t="inlineStr">
        <is>
          <t>Complex-led</t>
        </is>
      </c>
      <c r="G54" s="33" t="inlineStr">
        <is>
          <t>C2 High dollar value</t>
        </is>
      </c>
      <c r="H54" s="31" t="n">
        <v>56</v>
      </c>
      <c r="I54" s="23">
        <f>COUNTIFS('Chart Register'!$C$5:$C$1004,$B54)</f>
        <v/>
      </c>
      <c r="J54" s="23">
        <f>COUNTIFS('Chart Register'!$C$5:$C$1004,$B54,'Chart Register'!$N$5:$N$1004,"Live")</f>
        <v/>
      </c>
      <c r="K54" s="23">
        <f>I54-J54-L54-M54</f>
        <v/>
      </c>
      <c r="L54" s="23">
        <f>COUNTIFS('Chart Register'!$C$5:$C$1004,$B54,'Chart Register'!$N$5:$N$1004,"On hold")</f>
        <v/>
      </c>
      <c r="M54" s="23">
        <f>COUNTIFS('Chart Register'!$C$5:$C$1004,$B54,'Chart Register'!$N$5:$N$1004,"Retired")</f>
        <v/>
      </c>
      <c r="N54" s="35">
        <f>IF($H54=0,"NA",J54/$H54)</f>
        <v/>
      </c>
      <c r="O54" s="23">
        <f>$H54-J54</f>
        <v/>
      </c>
      <c r="P54" s="33">
        <f>IF($H54=0,"NA",IF(J54&gt;=$H54,"Complete",IF(J54/$H54&gt;='Schedule Model'!$C$8,"At or above threshold","BELOW THRESHOLD — source now")))</f>
        <v/>
      </c>
      <c r="Q54" s="29">
        <f>IF('Schedule Model'!$G$14="NA","NA",INT('Schedule Model'!$C$5+0.76*'Schedule Model'!$G$14*7))</f>
        <v/>
      </c>
      <c r="R54" s="23">
        <f>IF(OR($H54=0,NOT(ISNUMBER(Q54))),"NA",IF(J54&gt;=$H54,"On target",IF(TODAY()&lt;=Q54,"Not yet due",TODAY()-Q54)))</f>
        <v/>
      </c>
      <c r="S54" s="23">
        <f>COUNTIFS('Issues Log'!$D$5:$D$504,$B54,'Issues Log'!$K$5:$K$504,"Open")+COUNTIFS('Issues Log'!$D$5:$D$504,$B54,'Issues Log'!$K$5:$K$504,"In progress")</f>
        <v/>
      </c>
    </row>
    <row r="55" ht="26" customHeight="1">
      <c r="A55" s="23" t="inlineStr">
        <is>
          <t>ED Profee</t>
        </is>
      </c>
      <c r="B55" s="31" t="inlineStr">
        <is>
          <t>EDP-09</t>
        </is>
      </c>
      <c r="C55" s="32" t="inlineStr">
        <is>
          <t>Critical care with separately reportable procedures</t>
        </is>
      </c>
      <c r="D55" s="33" t="inlineStr">
        <is>
          <t>Critical care</t>
        </is>
      </c>
      <c r="E55" s="36" t="inlineStr">
        <is>
          <t>P2</t>
        </is>
      </c>
      <c r="F55" s="33" t="inlineStr">
        <is>
          <t>Complex-led</t>
        </is>
      </c>
      <c r="G55" s="33" t="inlineStr">
        <is>
          <t>C2 High dollar value</t>
        </is>
      </c>
      <c r="H55" s="31" t="n">
        <v>24</v>
      </c>
      <c r="I55" s="23">
        <f>COUNTIFS('Chart Register'!$C$5:$C$1004,$B55)</f>
        <v/>
      </c>
      <c r="J55" s="23">
        <f>COUNTIFS('Chart Register'!$C$5:$C$1004,$B55,'Chart Register'!$N$5:$N$1004,"Live")</f>
        <v/>
      </c>
      <c r="K55" s="23">
        <f>I55-J55-L55-M55</f>
        <v/>
      </c>
      <c r="L55" s="23">
        <f>COUNTIFS('Chart Register'!$C$5:$C$1004,$B55,'Chart Register'!$N$5:$N$1004,"On hold")</f>
        <v/>
      </c>
      <c r="M55" s="23">
        <f>COUNTIFS('Chart Register'!$C$5:$C$1004,$B55,'Chart Register'!$N$5:$N$1004,"Retired")</f>
        <v/>
      </c>
      <c r="N55" s="35">
        <f>IF($H55=0,"NA",J55/$H55)</f>
        <v/>
      </c>
      <c r="O55" s="23">
        <f>$H55-J55</f>
        <v/>
      </c>
      <c r="P55" s="33">
        <f>IF($H55=0,"NA",IF(J55&gt;=$H55,"Complete",IF(J55/$H55&gt;='Schedule Model'!$C$8,"At or above threshold","BELOW THRESHOLD — source now")))</f>
        <v/>
      </c>
      <c r="Q55" s="29">
        <f>IF('Schedule Model'!$G$14="NA","NA",INT('Schedule Model'!$C$5+0.82*'Schedule Model'!$G$14*7))</f>
        <v/>
      </c>
      <c r="R55" s="23">
        <f>IF(OR($H55=0,NOT(ISNUMBER(Q55))),"NA",IF(J55&gt;=$H55,"On target",IF(TODAY()&lt;=Q55,"Not yet due",TODAY()-Q55)))</f>
        <v/>
      </c>
      <c r="S55" s="23">
        <f>COUNTIFS('Issues Log'!$D$5:$D$504,$B55,'Issues Log'!$K$5:$K$504,"Open")+COUNTIFS('Issues Log'!$D$5:$D$504,$B55,'Issues Log'!$K$5:$K$504,"In progress")</f>
        <v/>
      </c>
    </row>
    <row r="56" ht="26" customHeight="1">
      <c r="A56" s="23" t="inlineStr">
        <is>
          <t>ED Profee</t>
        </is>
      </c>
      <c r="B56" s="31" t="inlineStr">
        <is>
          <t>EDP-10</t>
        </is>
      </c>
      <c r="C56" s="32" t="inlineStr">
        <is>
          <t>ED procedures billed with an E/M</t>
        </is>
      </c>
      <c r="D56" s="33" t="inlineStr">
        <is>
          <t>Cross-cutting</t>
        </is>
      </c>
      <c r="E56" s="36" t="inlineStr">
        <is>
          <t>P2</t>
        </is>
      </c>
      <c r="F56" s="33" t="inlineStr">
        <is>
          <t>Moderate-led</t>
        </is>
      </c>
      <c r="G56" s="33" t="inlineStr">
        <is>
          <t>C1 High error rate</t>
        </is>
      </c>
      <c r="H56" s="31" t="n">
        <v>40</v>
      </c>
      <c r="I56" s="23">
        <f>COUNTIFS('Chart Register'!$C$5:$C$1004,$B56)</f>
        <v/>
      </c>
      <c r="J56" s="23">
        <f>COUNTIFS('Chart Register'!$C$5:$C$1004,$B56,'Chart Register'!$N$5:$N$1004,"Live")</f>
        <v/>
      </c>
      <c r="K56" s="23">
        <f>I56-J56-L56-M56</f>
        <v/>
      </c>
      <c r="L56" s="23">
        <f>COUNTIFS('Chart Register'!$C$5:$C$1004,$B56,'Chart Register'!$N$5:$N$1004,"On hold")</f>
        <v/>
      </c>
      <c r="M56" s="23">
        <f>COUNTIFS('Chart Register'!$C$5:$C$1004,$B56,'Chart Register'!$N$5:$N$1004,"Retired")</f>
        <v/>
      </c>
      <c r="N56" s="35">
        <f>IF($H56=0,"NA",J56/$H56)</f>
        <v/>
      </c>
      <c r="O56" s="23">
        <f>$H56-J56</f>
        <v/>
      </c>
      <c r="P56" s="33">
        <f>IF($H56=0,"NA",IF(J56&gt;=$H56,"Complete",IF(J56/$H56&gt;='Schedule Model'!$C$8,"At or above threshold","BELOW THRESHOLD — source now")))</f>
        <v/>
      </c>
      <c r="Q56" s="29">
        <f>IF('Schedule Model'!$G$14="NA","NA",INT('Schedule Model'!$C$5+0.92*'Schedule Model'!$G$14*7))</f>
        <v/>
      </c>
      <c r="R56" s="23">
        <f>IF(OR($H56=0,NOT(ISNUMBER(Q56))),"NA",IF(J56&gt;=$H56,"On target",IF(TODAY()&lt;=Q56,"Not yet due",TODAY()-Q56)))</f>
        <v/>
      </c>
      <c r="S56" s="23">
        <f>COUNTIFS('Issues Log'!$D$5:$D$504,$B56,'Issues Log'!$K$5:$K$504,"Open")+COUNTIFS('Issues Log'!$D$5:$D$504,$B56,'Issues Log'!$K$5:$K$504,"In progress")</f>
        <v/>
      </c>
    </row>
    <row r="57" ht="26" customHeight="1">
      <c r="A57" s="23" t="inlineStr">
        <is>
          <t>ED Profee</t>
        </is>
      </c>
      <c r="B57" s="31" t="inlineStr">
        <is>
          <t>EDP-11</t>
        </is>
      </c>
      <c r="C57" s="32" t="inlineStr">
        <is>
          <t>Observation and admission by the ED physician</t>
        </is>
      </c>
      <c r="D57" s="33" t="inlineStr">
        <is>
          <t>Cross-cutting</t>
        </is>
      </c>
      <c r="E57" s="36" t="inlineStr">
        <is>
          <t>P2</t>
        </is>
      </c>
      <c r="F57" s="33" t="inlineStr">
        <is>
          <t>Complex-led</t>
        </is>
      </c>
      <c r="G57" s="33" t="inlineStr">
        <is>
          <t>C7 Denial trends</t>
        </is>
      </c>
      <c r="H57" s="31" t="n">
        <v>16</v>
      </c>
      <c r="I57" s="23">
        <f>COUNTIFS('Chart Register'!$C$5:$C$1004,$B57)</f>
        <v/>
      </c>
      <c r="J57" s="23">
        <f>COUNTIFS('Chart Register'!$C$5:$C$1004,$B57,'Chart Register'!$N$5:$N$1004,"Live")</f>
        <v/>
      </c>
      <c r="K57" s="23">
        <f>I57-J57-L57-M57</f>
        <v/>
      </c>
      <c r="L57" s="23">
        <f>COUNTIFS('Chart Register'!$C$5:$C$1004,$B57,'Chart Register'!$N$5:$N$1004,"On hold")</f>
        <v/>
      </c>
      <c r="M57" s="23">
        <f>COUNTIFS('Chart Register'!$C$5:$C$1004,$B57,'Chart Register'!$N$5:$N$1004,"Retired")</f>
        <v/>
      </c>
      <c r="N57" s="35">
        <f>IF($H57=0,"NA",J57/$H57)</f>
        <v/>
      </c>
      <c r="O57" s="23">
        <f>$H57-J57</f>
        <v/>
      </c>
      <c r="P57" s="33">
        <f>IF($H57=0,"NA",IF(J57&gt;=$H57,"Complete",IF(J57/$H57&gt;='Schedule Model'!$C$8,"At or above threshold","BELOW THRESHOLD — source now")))</f>
        <v/>
      </c>
      <c r="Q57" s="29">
        <f>IF('Schedule Model'!$G$14="NA","NA",INT('Schedule Model'!$C$5+0.96*'Schedule Model'!$G$14*7))</f>
        <v/>
      </c>
      <c r="R57" s="23">
        <f>IF(OR($H57=0,NOT(ISNUMBER(Q57))),"NA",IF(J57&gt;=$H57,"On target",IF(TODAY()&lt;=Q57,"Not yet due",TODAY()-Q57)))</f>
        <v/>
      </c>
      <c r="S57" s="23">
        <f>COUNTIFS('Issues Log'!$D$5:$D$504,$B57,'Issues Log'!$K$5:$K$504,"Open")+COUNTIFS('Issues Log'!$D$5:$D$504,$B57,'Issues Log'!$K$5:$K$504,"In progress")</f>
        <v/>
      </c>
    </row>
    <row r="58" ht="26" customHeight="1">
      <c r="A58" s="23" t="inlineStr">
        <is>
          <t>ED Profee</t>
        </is>
      </c>
      <c r="B58" s="31" t="inlineStr">
        <is>
          <t>EDP-12</t>
        </is>
      </c>
      <c r="C58" s="32" t="inlineStr">
        <is>
          <t>Split / shared and teaching-physician documentation</t>
        </is>
      </c>
      <c r="D58" s="33" t="inlineStr">
        <is>
          <t>Cross-cutting</t>
        </is>
      </c>
      <c r="E58" s="37" t="inlineStr">
        <is>
          <t>P3</t>
        </is>
      </c>
      <c r="F58" s="33" t="inlineStr">
        <is>
          <t>Complex-led</t>
        </is>
      </c>
      <c r="G58" s="33" t="inlineStr">
        <is>
          <t>C6 Customer escalations</t>
        </is>
      </c>
      <c r="H58" s="31" t="n">
        <v>16</v>
      </c>
      <c r="I58" s="23">
        <f>COUNTIFS('Chart Register'!$C$5:$C$1004,$B58)</f>
        <v/>
      </c>
      <c r="J58" s="23">
        <f>COUNTIFS('Chart Register'!$C$5:$C$1004,$B58,'Chart Register'!$N$5:$N$1004,"Live")</f>
        <v/>
      </c>
      <c r="K58" s="23">
        <f>I58-J58-L58-M58</f>
        <v/>
      </c>
      <c r="L58" s="23">
        <f>COUNTIFS('Chart Register'!$C$5:$C$1004,$B58,'Chart Register'!$N$5:$N$1004,"On hold")</f>
        <v/>
      </c>
      <c r="M58" s="23">
        <f>COUNTIFS('Chart Register'!$C$5:$C$1004,$B58,'Chart Register'!$N$5:$N$1004,"Retired")</f>
        <v/>
      </c>
      <c r="N58" s="35">
        <f>IF($H58=0,"NA",J58/$H58)</f>
        <v/>
      </c>
      <c r="O58" s="23">
        <f>$H58-J58</f>
        <v/>
      </c>
      <c r="P58" s="33">
        <f>IF($H58=0,"NA",IF(J58&gt;=$H58,"Complete",IF(J58/$H58&gt;='Schedule Model'!$C$8,"At or above threshold","BELOW THRESHOLD — source now")))</f>
        <v/>
      </c>
      <c r="Q58" s="29">
        <f>IF('Schedule Model'!$G$14="NA","NA",INT('Schedule Model'!$C$5+1.0*'Schedule Model'!$G$14*7))</f>
        <v/>
      </c>
      <c r="R58" s="23">
        <f>IF(OR($H58=0,NOT(ISNUMBER(Q58))),"NA",IF(J58&gt;=$H58,"On target",IF(TODAY()&lt;=Q58,"Not yet due",TODAY()-Q58)))</f>
        <v/>
      </c>
      <c r="S58" s="23">
        <f>COUNTIFS('Issues Log'!$D$5:$D$504,$B58,'Issues Log'!$K$5:$K$504,"Open")+COUNTIFS('Issues Log'!$D$5:$D$504,$B58,'Issues Log'!$K$5:$K$504,"In progress")</f>
        <v/>
      </c>
    </row>
    <row r="59" ht="26" customHeight="1">
      <c r="A59" s="23" t="inlineStr">
        <is>
          <t>E/M</t>
        </is>
      </c>
      <c r="B59" s="31" t="inlineStr">
        <is>
          <t>EM-01</t>
        </is>
      </c>
      <c r="C59" s="32" t="inlineStr">
        <is>
          <t>Level 3 established patient office visit (99213)</t>
        </is>
      </c>
      <c r="D59" s="33" t="inlineStr">
        <is>
          <t>Office / outpatient visits</t>
        </is>
      </c>
      <c r="E59" s="34" t="inlineStr">
        <is>
          <t>P1</t>
        </is>
      </c>
      <c r="F59" s="33" t="inlineStr">
        <is>
          <t>Basic-led</t>
        </is>
      </c>
      <c r="G59" s="33" t="inlineStr">
        <is>
          <t>C8 Foundation</t>
        </is>
      </c>
      <c r="H59" s="31" t="n">
        <v>41</v>
      </c>
      <c r="I59" s="23">
        <f>COUNTIFS('Chart Register'!$C$5:$C$1004,$B59)</f>
        <v/>
      </c>
      <c r="J59" s="23">
        <f>COUNTIFS('Chart Register'!$C$5:$C$1004,$B59,'Chart Register'!$N$5:$N$1004,"Live")</f>
        <v/>
      </c>
      <c r="K59" s="23">
        <f>I59-J59-L59-M59</f>
        <v/>
      </c>
      <c r="L59" s="23">
        <f>COUNTIFS('Chart Register'!$C$5:$C$1004,$B59,'Chart Register'!$N$5:$N$1004,"On hold")</f>
        <v/>
      </c>
      <c r="M59" s="23">
        <f>COUNTIFS('Chart Register'!$C$5:$C$1004,$B59,'Chart Register'!$N$5:$N$1004,"Retired")</f>
        <v/>
      </c>
      <c r="N59" s="35">
        <f>IF($H59=0,"NA",J59/$H59)</f>
        <v/>
      </c>
      <c r="O59" s="23">
        <f>$H59-J59</f>
        <v/>
      </c>
      <c r="P59" s="33">
        <f>IF($H59=0,"NA",IF(J59&gt;=$H59,"Complete",IF(J59/$H59&gt;='Schedule Model'!$C$8,"At or above threshold","BELOW THRESHOLD — source now")))</f>
        <v/>
      </c>
      <c r="Q59" s="29">
        <f>IF('Schedule Model'!$G$15="NA","NA",INT('Schedule Model'!$C$5+0.099515*'Schedule Model'!$G$15*7))</f>
        <v/>
      </c>
      <c r="R59" s="23">
        <f>IF(OR($H59=0,NOT(ISNUMBER(Q59))),"NA",IF(J59&gt;=$H59,"On target",IF(TODAY()&lt;=Q59,"Not yet due",TODAY()-Q59)))</f>
        <v/>
      </c>
      <c r="S59" s="23">
        <f>COUNTIFS('Issues Log'!$D$5:$D$504,$B59,'Issues Log'!$K$5:$K$504,"Open")+COUNTIFS('Issues Log'!$D$5:$D$504,$B59,'Issues Log'!$K$5:$K$504,"In progress")</f>
        <v/>
      </c>
    </row>
    <row r="60" ht="26" customHeight="1">
      <c r="A60" s="23" t="inlineStr">
        <is>
          <t>E/M</t>
        </is>
      </c>
      <c r="B60" s="31" t="inlineStr">
        <is>
          <t>EM-02</t>
        </is>
      </c>
      <c r="C60" s="32" t="inlineStr">
        <is>
          <t>Level 4 established patient office visit (99214)</t>
        </is>
      </c>
      <c r="D60" s="33" t="inlineStr">
        <is>
          <t>Office / outpatient visits</t>
        </is>
      </c>
      <c r="E60" s="34" t="inlineStr">
        <is>
          <t>P1</t>
        </is>
      </c>
      <c r="F60" s="33" t="inlineStr">
        <is>
          <t>Moderate-led</t>
        </is>
      </c>
      <c r="G60" s="33" t="inlineStr">
        <is>
          <t>C1 High error rate</t>
        </is>
      </c>
      <c r="H60" s="31" t="n">
        <v>45</v>
      </c>
      <c r="I60" s="23">
        <f>COUNTIFS('Chart Register'!$C$5:$C$1004,$B60)</f>
        <v/>
      </c>
      <c r="J60" s="23">
        <f>COUNTIFS('Chart Register'!$C$5:$C$1004,$B60,'Chart Register'!$N$5:$N$1004,"Live")</f>
        <v/>
      </c>
      <c r="K60" s="23">
        <f>I60-J60-L60-M60</f>
        <v/>
      </c>
      <c r="L60" s="23">
        <f>COUNTIFS('Chart Register'!$C$5:$C$1004,$B60,'Chart Register'!$N$5:$N$1004,"On hold")</f>
        <v/>
      </c>
      <c r="M60" s="23">
        <f>COUNTIFS('Chart Register'!$C$5:$C$1004,$B60,'Chart Register'!$N$5:$N$1004,"Retired")</f>
        <v/>
      </c>
      <c r="N60" s="35">
        <f>IF($H60=0,"NA",J60/$H60)</f>
        <v/>
      </c>
      <c r="O60" s="23">
        <f>$H60-J60</f>
        <v/>
      </c>
      <c r="P60" s="33">
        <f>IF($H60=0,"NA",IF(J60&gt;=$H60,"Complete",IF(J60/$H60&gt;='Schedule Model'!$C$8,"At or above threshold","BELOW THRESHOLD — source now")))</f>
        <v/>
      </c>
      <c r="Q60" s="29">
        <f>IF('Schedule Model'!$G$15="NA","NA",INT('Schedule Model'!$C$5+0.208738*'Schedule Model'!$G$15*7))</f>
        <v/>
      </c>
      <c r="R60" s="23">
        <f>IF(OR($H60=0,NOT(ISNUMBER(Q60))),"NA",IF(J60&gt;=$H60,"On target",IF(TODAY()&lt;=Q60,"Not yet due",TODAY()-Q60)))</f>
        <v/>
      </c>
      <c r="S60" s="23">
        <f>COUNTIFS('Issues Log'!$D$5:$D$504,$B60,'Issues Log'!$K$5:$K$504,"Open")+COUNTIFS('Issues Log'!$D$5:$D$504,$B60,'Issues Log'!$K$5:$K$504,"In progress")</f>
        <v/>
      </c>
    </row>
    <row r="61" ht="26" customHeight="1">
      <c r="A61" s="23" t="inlineStr">
        <is>
          <t>E/M</t>
        </is>
      </c>
      <c r="B61" s="31" t="inlineStr">
        <is>
          <t>EM-03</t>
        </is>
      </c>
      <c r="C61" s="32" t="inlineStr">
        <is>
          <t>Level 3 new patient office visit (99203)</t>
        </is>
      </c>
      <c r="D61" s="33" t="inlineStr">
        <is>
          <t>Office / outpatient visits</t>
        </is>
      </c>
      <c r="E61" s="34" t="inlineStr">
        <is>
          <t>P1</t>
        </is>
      </c>
      <c r="F61" s="33" t="inlineStr">
        <is>
          <t>Basic-led</t>
        </is>
      </c>
      <c r="G61" s="33" t="inlineStr">
        <is>
          <t>C8 Foundation</t>
        </is>
      </c>
      <c r="H61" s="31" t="n">
        <v>21</v>
      </c>
      <c r="I61" s="23">
        <f>COUNTIFS('Chart Register'!$C$5:$C$1004,$B61)</f>
        <v/>
      </c>
      <c r="J61" s="23">
        <f>COUNTIFS('Chart Register'!$C$5:$C$1004,$B61,'Chart Register'!$N$5:$N$1004,"Live")</f>
        <v/>
      </c>
      <c r="K61" s="23">
        <f>I61-J61-L61-M61</f>
        <v/>
      </c>
      <c r="L61" s="23">
        <f>COUNTIFS('Chart Register'!$C$5:$C$1004,$B61,'Chart Register'!$N$5:$N$1004,"On hold")</f>
        <v/>
      </c>
      <c r="M61" s="23">
        <f>COUNTIFS('Chart Register'!$C$5:$C$1004,$B61,'Chart Register'!$N$5:$N$1004,"Retired")</f>
        <v/>
      </c>
      <c r="N61" s="35">
        <f>IF($H61=0,"NA",J61/$H61)</f>
        <v/>
      </c>
      <c r="O61" s="23">
        <f>$H61-J61</f>
        <v/>
      </c>
      <c r="P61" s="33">
        <f>IF($H61=0,"NA",IF(J61&gt;=$H61,"Complete",IF(J61/$H61&gt;='Schedule Model'!$C$8,"At or above threshold","BELOW THRESHOLD — source now")))</f>
        <v/>
      </c>
      <c r="Q61" s="29">
        <f>IF('Schedule Model'!$G$15="NA","NA",INT('Schedule Model'!$C$5+0.259709*'Schedule Model'!$G$15*7))</f>
        <v/>
      </c>
      <c r="R61" s="23">
        <f>IF(OR($H61=0,NOT(ISNUMBER(Q61))),"NA",IF(J61&gt;=$H61,"On target",IF(TODAY()&lt;=Q61,"Not yet due",TODAY()-Q61)))</f>
        <v/>
      </c>
      <c r="S61" s="23">
        <f>COUNTIFS('Issues Log'!$D$5:$D$504,$B61,'Issues Log'!$K$5:$K$504,"Open")+COUNTIFS('Issues Log'!$D$5:$D$504,$B61,'Issues Log'!$K$5:$K$504,"In progress")</f>
        <v/>
      </c>
    </row>
    <row r="62" ht="26" customHeight="1">
      <c r="A62" s="23" t="inlineStr">
        <is>
          <t>E/M</t>
        </is>
      </c>
      <c r="B62" s="31" t="inlineStr">
        <is>
          <t>EM-04</t>
        </is>
      </c>
      <c r="C62" s="32" t="inlineStr">
        <is>
          <t>Level 4 new patient office visit (99204)</t>
        </is>
      </c>
      <c r="D62" s="33" t="inlineStr">
        <is>
          <t>Office / outpatient visits</t>
        </is>
      </c>
      <c r="E62" s="34" t="inlineStr">
        <is>
          <t>P1</t>
        </is>
      </c>
      <c r="F62" s="33" t="inlineStr">
        <is>
          <t>Moderate-led</t>
        </is>
      </c>
      <c r="G62" s="33" t="inlineStr">
        <is>
          <t>C1 High error rate</t>
        </is>
      </c>
      <c r="H62" s="31" t="n">
        <v>25</v>
      </c>
      <c r="I62" s="23">
        <f>COUNTIFS('Chart Register'!$C$5:$C$1004,$B62)</f>
        <v/>
      </c>
      <c r="J62" s="23">
        <f>COUNTIFS('Chart Register'!$C$5:$C$1004,$B62,'Chart Register'!$N$5:$N$1004,"Live")</f>
        <v/>
      </c>
      <c r="K62" s="23">
        <f>I62-J62-L62-M62</f>
        <v/>
      </c>
      <c r="L62" s="23">
        <f>COUNTIFS('Chart Register'!$C$5:$C$1004,$B62,'Chart Register'!$N$5:$N$1004,"On hold")</f>
        <v/>
      </c>
      <c r="M62" s="23">
        <f>COUNTIFS('Chart Register'!$C$5:$C$1004,$B62,'Chart Register'!$N$5:$N$1004,"Retired")</f>
        <v/>
      </c>
      <c r="N62" s="35">
        <f>IF($H62=0,"NA",J62/$H62)</f>
        <v/>
      </c>
      <c r="O62" s="23">
        <f>$H62-J62</f>
        <v/>
      </c>
      <c r="P62" s="33">
        <f>IF($H62=0,"NA",IF(J62&gt;=$H62,"Complete",IF(J62/$H62&gt;='Schedule Model'!$C$8,"At or above threshold","BELOW THRESHOLD — source now")))</f>
        <v/>
      </c>
      <c r="Q62" s="29">
        <f>IF('Schedule Model'!$G$15="NA","NA",INT('Schedule Model'!$C$5+0.320388*'Schedule Model'!$G$15*7))</f>
        <v/>
      </c>
      <c r="R62" s="23">
        <f>IF(OR($H62=0,NOT(ISNUMBER(Q62))),"NA",IF(J62&gt;=$H62,"On target",IF(TODAY()&lt;=Q62,"Not yet due",TODAY()-Q62)))</f>
        <v/>
      </c>
      <c r="S62" s="23">
        <f>COUNTIFS('Issues Log'!$D$5:$D$504,$B62,'Issues Log'!$K$5:$K$504,"Open")+COUNTIFS('Issues Log'!$D$5:$D$504,$B62,'Issues Log'!$K$5:$K$504,"In progress")</f>
        <v/>
      </c>
    </row>
    <row r="63" ht="26" customHeight="1">
      <c r="A63" s="23" t="inlineStr">
        <is>
          <t>E/M</t>
        </is>
      </c>
      <c r="B63" s="31" t="inlineStr">
        <is>
          <t>EM-16</t>
        </is>
      </c>
      <c r="C63" s="32" t="inlineStr">
        <is>
          <t>Initial hospital inpatient or observation care (99221-99223)</t>
        </is>
      </c>
      <c r="D63" s="33" t="inlineStr">
        <is>
          <t>Inpatient and observation</t>
        </is>
      </c>
      <c r="E63" s="34" t="inlineStr">
        <is>
          <t>P1</t>
        </is>
      </c>
      <c r="F63" s="33" t="inlineStr">
        <is>
          <t>Moderate-led</t>
        </is>
      </c>
      <c r="G63" s="33" t="inlineStr">
        <is>
          <t>C1 High error rate</t>
        </is>
      </c>
      <c r="H63" s="31" t="n">
        <v>25</v>
      </c>
      <c r="I63" s="23">
        <f>COUNTIFS('Chart Register'!$C$5:$C$1004,$B63)</f>
        <v/>
      </c>
      <c r="J63" s="23">
        <f>COUNTIFS('Chart Register'!$C$5:$C$1004,$B63,'Chart Register'!$N$5:$N$1004,"Live")</f>
        <v/>
      </c>
      <c r="K63" s="23">
        <f>I63-J63-L63-M63</f>
        <v/>
      </c>
      <c r="L63" s="23">
        <f>COUNTIFS('Chart Register'!$C$5:$C$1004,$B63,'Chart Register'!$N$5:$N$1004,"On hold")</f>
        <v/>
      </c>
      <c r="M63" s="23">
        <f>COUNTIFS('Chart Register'!$C$5:$C$1004,$B63,'Chart Register'!$N$5:$N$1004,"Retired")</f>
        <v/>
      </c>
      <c r="N63" s="35">
        <f>IF($H63=0,"NA",J63/$H63)</f>
        <v/>
      </c>
      <c r="O63" s="23">
        <f>$H63-J63</f>
        <v/>
      </c>
      <c r="P63" s="33">
        <f>IF($H63=0,"NA",IF(J63&gt;=$H63,"Complete",IF(J63/$H63&gt;='Schedule Model'!$C$8,"At or above threshold","BELOW THRESHOLD — source now")))</f>
        <v/>
      </c>
      <c r="Q63" s="29">
        <f>IF('Schedule Model'!$G$15="NA","NA",INT('Schedule Model'!$C$5+0.381068*'Schedule Model'!$G$15*7))</f>
        <v/>
      </c>
      <c r="R63" s="23">
        <f>IF(OR($H63=0,NOT(ISNUMBER(Q63))),"NA",IF(J63&gt;=$H63,"On target",IF(TODAY()&lt;=Q63,"Not yet due",TODAY()-Q63)))</f>
        <v/>
      </c>
      <c r="S63" s="23">
        <f>COUNTIFS('Issues Log'!$D$5:$D$504,$B63,'Issues Log'!$K$5:$K$504,"Open")+COUNTIFS('Issues Log'!$D$5:$D$504,$B63,'Issues Log'!$K$5:$K$504,"In progress")</f>
        <v/>
      </c>
    </row>
    <row r="64" ht="26" customHeight="1">
      <c r="A64" s="23" t="inlineStr">
        <is>
          <t>E/M</t>
        </is>
      </c>
      <c r="B64" s="31" t="inlineStr">
        <is>
          <t>EM-17</t>
        </is>
      </c>
      <c r="C64" s="32" t="inlineStr">
        <is>
          <t>Subsequent hospital inpatient or observation care (99231-99233)</t>
        </is>
      </c>
      <c r="D64" s="33" t="inlineStr">
        <is>
          <t>Inpatient and observation</t>
        </is>
      </c>
      <c r="E64" s="34" t="inlineStr">
        <is>
          <t>P1</t>
        </is>
      </c>
      <c r="F64" s="33" t="inlineStr">
        <is>
          <t>Moderate-led</t>
        </is>
      </c>
      <c r="G64" s="33" t="inlineStr">
        <is>
          <t>C1 High error rate</t>
        </is>
      </c>
      <c r="H64" s="31" t="n">
        <v>25</v>
      </c>
      <c r="I64" s="23">
        <f>COUNTIFS('Chart Register'!$C$5:$C$1004,$B64)</f>
        <v/>
      </c>
      <c r="J64" s="23">
        <f>COUNTIFS('Chart Register'!$C$5:$C$1004,$B64,'Chart Register'!$N$5:$N$1004,"Live")</f>
        <v/>
      </c>
      <c r="K64" s="23">
        <f>I64-J64-L64-M64</f>
        <v/>
      </c>
      <c r="L64" s="23">
        <f>COUNTIFS('Chart Register'!$C$5:$C$1004,$B64,'Chart Register'!$N$5:$N$1004,"On hold")</f>
        <v/>
      </c>
      <c r="M64" s="23">
        <f>COUNTIFS('Chart Register'!$C$5:$C$1004,$B64,'Chart Register'!$N$5:$N$1004,"Retired")</f>
        <v/>
      </c>
      <c r="N64" s="35">
        <f>IF($H64=0,"NA",J64/$H64)</f>
        <v/>
      </c>
      <c r="O64" s="23">
        <f>$H64-J64</f>
        <v/>
      </c>
      <c r="P64" s="33">
        <f>IF($H64=0,"NA",IF(J64&gt;=$H64,"Complete",IF(J64/$H64&gt;='Schedule Model'!$C$8,"At or above threshold","BELOW THRESHOLD — source now")))</f>
        <v/>
      </c>
      <c r="Q64" s="29">
        <f>IF('Schedule Model'!$G$15="NA","NA",INT('Schedule Model'!$C$5+0.441748*'Schedule Model'!$G$15*7))</f>
        <v/>
      </c>
      <c r="R64" s="23">
        <f>IF(OR($H64=0,NOT(ISNUMBER(Q64))),"NA",IF(J64&gt;=$H64,"On target",IF(TODAY()&lt;=Q64,"Not yet due",TODAY()-Q64)))</f>
        <v/>
      </c>
      <c r="S64" s="23">
        <f>COUNTIFS('Issues Log'!$D$5:$D$504,$B64,'Issues Log'!$K$5:$K$504,"Open")+COUNTIFS('Issues Log'!$D$5:$D$504,$B64,'Issues Log'!$K$5:$K$504,"In progress")</f>
        <v/>
      </c>
    </row>
    <row r="65" ht="26" customHeight="1">
      <c r="A65" s="23" t="inlineStr">
        <is>
          <t>E/M</t>
        </is>
      </c>
      <c r="B65" s="31" t="inlineStr">
        <is>
          <t>EM-18</t>
        </is>
      </c>
      <c r="C65" s="32" t="inlineStr">
        <is>
          <t>Discharge day management (99238 / 99239)</t>
        </is>
      </c>
      <c r="D65" s="33" t="inlineStr">
        <is>
          <t>Inpatient and observation</t>
        </is>
      </c>
      <c r="E65" s="34" t="inlineStr">
        <is>
          <t>P1</t>
        </is>
      </c>
      <c r="F65" s="33" t="inlineStr">
        <is>
          <t>Moderate-led</t>
        </is>
      </c>
      <c r="G65" s="33" t="inlineStr">
        <is>
          <t>C7 Denial trends</t>
        </is>
      </c>
      <c r="H65" s="31" t="n">
        <v>17</v>
      </c>
      <c r="I65" s="23">
        <f>COUNTIFS('Chart Register'!$C$5:$C$1004,$B65)</f>
        <v/>
      </c>
      <c r="J65" s="23">
        <f>COUNTIFS('Chart Register'!$C$5:$C$1004,$B65,'Chart Register'!$N$5:$N$1004,"Live")</f>
        <v/>
      </c>
      <c r="K65" s="23">
        <f>I65-J65-L65-M65</f>
        <v/>
      </c>
      <c r="L65" s="23">
        <f>COUNTIFS('Chart Register'!$C$5:$C$1004,$B65,'Chart Register'!$N$5:$N$1004,"On hold")</f>
        <v/>
      </c>
      <c r="M65" s="23">
        <f>COUNTIFS('Chart Register'!$C$5:$C$1004,$B65,'Chart Register'!$N$5:$N$1004,"Retired")</f>
        <v/>
      </c>
      <c r="N65" s="35">
        <f>IF($H65=0,"NA",J65/$H65)</f>
        <v/>
      </c>
      <c r="O65" s="23">
        <f>$H65-J65</f>
        <v/>
      </c>
      <c r="P65" s="33">
        <f>IF($H65=0,"NA",IF(J65&gt;=$H65,"Complete",IF(J65/$H65&gt;='Schedule Model'!$C$8,"At or above threshold","BELOW THRESHOLD — source now")))</f>
        <v/>
      </c>
      <c r="Q65" s="29">
        <f>IF('Schedule Model'!$G$15="NA","NA",INT('Schedule Model'!$C$5+0.48301*'Schedule Model'!$G$15*7))</f>
        <v/>
      </c>
      <c r="R65" s="23">
        <f>IF(OR($H65=0,NOT(ISNUMBER(Q65))),"NA",IF(J65&gt;=$H65,"On target",IF(TODAY()&lt;=Q65,"Not yet due",TODAY()-Q65)))</f>
        <v/>
      </c>
      <c r="S65" s="23">
        <f>COUNTIFS('Issues Log'!$D$5:$D$504,$B65,'Issues Log'!$K$5:$K$504,"Open")+COUNTIFS('Issues Log'!$D$5:$D$504,$B65,'Issues Log'!$K$5:$K$504,"In progress")</f>
        <v/>
      </c>
    </row>
    <row r="66" ht="26" customHeight="1">
      <c r="A66" s="23" t="inlineStr">
        <is>
          <t>E/M</t>
        </is>
      </c>
      <c r="B66" s="31" t="inlineStr">
        <is>
          <t>EM-05</t>
        </is>
      </c>
      <c r="C66" s="32" t="inlineStr">
        <is>
          <t>Level 5 office visit, new and established (99205 / 99215)</t>
        </is>
      </c>
      <c r="D66" s="33" t="inlineStr">
        <is>
          <t>Office / outpatient visits</t>
        </is>
      </c>
      <c r="E66" s="36" t="inlineStr">
        <is>
          <t>P2</t>
        </is>
      </c>
      <c r="F66" s="33" t="inlineStr">
        <is>
          <t>Complex-led</t>
        </is>
      </c>
      <c r="G66" s="33" t="inlineStr">
        <is>
          <t>C2 High dollar value</t>
        </is>
      </c>
      <c r="H66" s="31" t="n">
        <v>29</v>
      </c>
      <c r="I66" s="23">
        <f>COUNTIFS('Chart Register'!$C$5:$C$1004,$B66)</f>
        <v/>
      </c>
      <c r="J66" s="23">
        <f>COUNTIFS('Chart Register'!$C$5:$C$1004,$B66,'Chart Register'!$N$5:$N$1004,"Live")</f>
        <v/>
      </c>
      <c r="K66" s="23">
        <f>I66-J66-L66-M66</f>
        <v/>
      </c>
      <c r="L66" s="23">
        <f>COUNTIFS('Chart Register'!$C$5:$C$1004,$B66,'Chart Register'!$N$5:$N$1004,"On hold")</f>
        <v/>
      </c>
      <c r="M66" s="23">
        <f>COUNTIFS('Chart Register'!$C$5:$C$1004,$B66,'Chart Register'!$N$5:$N$1004,"Retired")</f>
        <v/>
      </c>
      <c r="N66" s="35">
        <f>IF($H66=0,"NA",J66/$H66)</f>
        <v/>
      </c>
      <c r="O66" s="23">
        <f>$H66-J66</f>
        <v/>
      </c>
      <c r="P66" s="33">
        <f>IF($H66=0,"NA",IF(J66&gt;=$H66,"Complete",IF(J66/$H66&gt;='Schedule Model'!$C$8,"At or above threshold","BELOW THRESHOLD — source now")))</f>
        <v/>
      </c>
      <c r="Q66" s="29">
        <f>IF('Schedule Model'!$G$15="NA","NA",INT('Schedule Model'!$C$5+0.553398*'Schedule Model'!$G$15*7))</f>
        <v/>
      </c>
      <c r="R66" s="23">
        <f>IF(OR($H66=0,NOT(ISNUMBER(Q66))),"NA",IF(J66&gt;=$H66,"On target",IF(TODAY()&lt;=Q66,"Not yet due",TODAY()-Q66)))</f>
        <v/>
      </c>
      <c r="S66" s="23">
        <f>COUNTIFS('Issues Log'!$D$5:$D$504,$B66,'Issues Log'!$K$5:$K$504,"Open")+COUNTIFS('Issues Log'!$D$5:$D$504,$B66,'Issues Log'!$K$5:$K$504,"In progress")</f>
        <v/>
      </c>
    </row>
    <row r="67" ht="26" customHeight="1">
      <c r="A67" s="23" t="inlineStr">
        <is>
          <t>E/M</t>
        </is>
      </c>
      <c r="B67" s="31" t="inlineStr">
        <is>
          <t>EM-07</t>
        </is>
      </c>
      <c r="C67" s="32" t="inlineStr">
        <is>
          <t>Visits levelled by time, and prolonged service add-ons (99417 / G2212)</t>
        </is>
      </c>
      <c r="D67" s="33" t="inlineStr">
        <is>
          <t>Time-based and prolonged services</t>
        </is>
      </c>
      <c r="E67" s="36" t="inlineStr">
        <is>
          <t>P2</t>
        </is>
      </c>
      <c r="F67" s="33" t="inlineStr">
        <is>
          <t>Complex-led</t>
        </is>
      </c>
      <c r="G67" s="33" t="inlineStr">
        <is>
          <t>C7 Denial trends</t>
        </is>
      </c>
      <c r="H67" s="31" t="n">
        <v>17</v>
      </c>
      <c r="I67" s="23">
        <f>COUNTIFS('Chart Register'!$C$5:$C$1004,$B67)</f>
        <v/>
      </c>
      <c r="J67" s="23">
        <f>COUNTIFS('Chart Register'!$C$5:$C$1004,$B67,'Chart Register'!$N$5:$N$1004,"Live")</f>
        <v/>
      </c>
      <c r="K67" s="23">
        <f>I67-J67-L67-M67</f>
        <v/>
      </c>
      <c r="L67" s="23">
        <f>COUNTIFS('Chart Register'!$C$5:$C$1004,$B67,'Chart Register'!$N$5:$N$1004,"On hold")</f>
        <v/>
      </c>
      <c r="M67" s="23">
        <f>COUNTIFS('Chart Register'!$C$5:$C$1004,$B67,'Chart Register'!$N$5:$N$1004,"Retired")</f>
        <v/>
      </c>
      <c r="N67" s="35">
        <f>IF($H67=0,"NA",J67/$H67)</f>
        <v/>
      </c>
      <c r="O67" s="23">
        <f>$H67-J67</f>
        <v/>
      </c>
      <c r="P67" s="33">
        <f>IF($H67=0,"NA",IF(J67&gt;=$H67,"Complete",IF(J67/$H67&gt;='Schedule Model'!$C$8,"At or above threshold","BELOW THRESHOLD — source now")))</f>
        <v/>
      </c>
      <c r="Q67" s="29">
        <f>IF('Schedule Model'!$G$15="NA","NA",INT('Schedule Model'!$C$5+0.59466*'Schedule Model'!$G$15*7))</f>
        <v/>
      </c>
      <c r="R67" s="23">
        <f>IF(OR($H67=0,NOT(ISNUMBER(Q67))),"NA",IF(J67&gt;=$H67,"On target",IF(TODAY()&lt;=Q67,"Not yet due",TODAY()-Q67)))</f>
        <v/>
      </c>
      <c r="S67" s="23">
        <f>COUNTIFS('Issues Log'!$D$5:$D$504,$B67,'Issues Log'!$K$5:$K$504,"Open")+COUNTIFS('Issues Log'!$D$5:$D$504,$B67,'Issues Log'!$K$5:$K$504,"In progress")</f>
        <v/>
      </c>
    </row>
    <row r="68" ht="26" customHeight="1">
      <c r="A68" s="23" t="inlineStr">
        <is>
          <t>E/M</t>
        </is>
      </c>
      <c r="B68" s="31" t="inlineStr">
        <is>
          <t>EM-08</t>
        </is>
      </c>
      <c r="C68" s="32" t="inlineStr">
        <is>
          <t>Annual wellness visit — initial versus subsequent (G0438 / G0439)</t>
        </is>
      </c>
      <c r="D68" s="33" t="inlineStr">
        <is>
          <t>Preventive and wellness</t>
        </is>
      </c>
      <c r="E68" s="36" t="inlineStr">
        <is>
          <t>P2</t>
        </is>
      </c>
      <c r="F68" s="33" t="inlineStr">
        <is>
          <t>Moderate-led</t>
        </is>
      </c>
      <c r="G68" s="33" t="inlineStr">
        <is>
          <t>C7 Denial trends</t>
        </is>
      </c>
      <c r="H68" s="31" t="n">
        <v>21</v>
      </c>
      <c r="I68" s="23">
        <f>COUNTIFS('Chart Register'!$C$5:$C$1004,$B68)</f>
        <v/>
      </c>
      <c r="J68" s="23">
        <f>COUNTIFS('Chart Register'!$C$5:$C$1004,$B68,'Chart Register'!$N$5:$N$1004,"Live")</f>
        <v/>
      </c>
      <c r="K68" s="23">
        <f>I68-J68-L68-M68</f>
        <v/>
      </c>
      <c r="L68" s="23">
        <f>COUNTIFS('Chart Register'!$C$5:$C$1004,$B68,'Chart Register'!$N$5:$N$1004,"On hold")</f>
        <v/>
      </c>
      <c r="M68" s="23">
        <f>COUNTIFS('Chart Register'!$C$5:$C$1004,$B68,'Chart Register'!$N$5:$N$1004,"Retired")</f>
        <v/>
      </c>
      <c r="N68" s="35">
        <f>IF($H68=0,"NA",J68/$H68)</f>
        <v/>
      </c>
      <c r="O68" s="23">
        <f>$H68-J68</f>
        <v/>
      </c>
      <c r="P68" s="33">
        <f>IF($H68=0,"NA",IF(J68&gt;=$H68,"Complete",IF(J68/$H68&gt;='Schedule Model'!$C$8,"At or above threshold","BELOW THRESHOLD — source now")))</f>
        <v/>
      </c>
      <c r="Q68" s="29">
        <f>IF('Schedule Model'!$G$15="NA","NA",INT('Schedule Model'!$C$5+0.645631*'Schedule Model'!$G$15*7))</f>
        <v/>
      </c>
      <c r="R68" s="23">
        <f>IF(OR($H68=0,NOT(ISNUMBER(Q68))),"NA",IF(J68&gt;=$H68,"On target",IF(TODAY()&lt;=Q68,"Not yet due",TODAY()-Q68)))</f>
        <v/>
      </c>
      <c r="S68" s="23">
        <f>COUNTIFS('Issues Log'!$D$5:$D$504,$B68,'Issues Log'!$K$5:$K$504,"Open")+COUNTIFS('Issues Log'!$D$5:$D$504,$B68,'Issues Log'!$K$5:$K$504,"In progress")</f>
        <v/>
      </c>
    </row>
    <row r="69" ht="26" customHeight="1">
      <c r="A69" s="23" t="inlineStr">
        <is>
          <t>E/M</t>
        </is>
      </c>
      <c r="B69" s="31" t="inlineStr">
        <is>
          <t>EM-09</t>
        </is>
      </c>
      <c r="C69" s="32" t="inlineStr">
        <is>
          <t>Preventive medicine visits, age-banded (99381-99397)</t>
        </is>
      </c>
      <c r="D69" s="33" t="inlineStr">
        <is>
          <t>Preventive and wellness</t>
        </is>
      </c>
      <c r="E69" s="36" t="inlineStr">
        <is>
          <t>P2</t>
        </is>
      </c>
      <c r="F69" s="33" t="inlineStr">
        <is>
          <t>Basic-led</t>
        </is>
      </c>
      <c r="G69" s="33" t="inlineStr">
        <is>
          <t>C8 Foundation</t>
        </is>
      </c>
      <c r="H69" s="31" t="n">
        <v>17</v>
      </c>
      <c r="I69" s="23">
        <f>COUNTIFS('Chart Register'!$C$5:$C$1004,$B69)</f>
        <v/>
      </c>
      <c r="J69" s="23">
        <f>COUNTIFS('Chart Register'!$C$5:$C$1004,$B69,'Chart Register'!$N$5:$N$1004,"Live")</f>
        <v/>
      </c>
      <c r="K69" s="23">
        <f>I69-J69-L69-M69</f>
        <v/>
      </c>
      <c r="L69" s="23">
        <f>COUNTIFS('Chart Register'!$C$5:$C$1004,$B69,'Chart Register'!$N$5:$N$1004,"On hold")</f>
        <v/>
      </c>
      <c r="M69" s="23">
        <f>COUNTIFS('Chart Register'!$C$5:$C$1004,$B69,'Chart Register'!$N$5:$N$1004,"Retired")</f>
        <v/>
      </c>
      <c r="N69" s="35">
        <f>IF($H69=0,"NA",J69/$H69)</f>
        <v/>
      </c>
      <c r="O69" s="23">
        <f>$H69-J69</f>
        <v/>
      </c>
      <c r="P69" s="33">
        <f>IF($H69=0,"NA",IF(J69&gt;=$H69,"Complete",IF(J69/$H69&gt;='Schedule Model'!$C$8,"At or above threshold","BELOW THRESHOLD — source now")))</f>
        <v/>
      </c>
      <c r="Q69" s="29">
        <f>IF('Schedule Model'!$G$15="NA","NA",INT('Schedule Model'!$C$5+0.686893*'Schedule Model'!$G$15*7))</f>
        <v/>
      </c>
      <c r="R69" s="23">
        <f>IF(OR($H69=0,NOT(ISNUMBER(Q69))),"NA",IF(J69&gt;=$H69,"On target",IF(TODAY()&lt;=Q69,"Not yet due",TODAY()-Q69)))</f>
        <v/>
      </c>
      <c r="S69" s="23">
        <f>COUNTIFS('Issues Log'!$D$5:$D$504,$B69,'Issues Log'!$K$5:$K$504,"Open")+COUNTIFS('Issues Log'!$D$5:$D$504,$B69,'Issues Log'!$K$5:$K$504,"In progress")</f>
        <v/>
      </c>
    </row>
    <row r="70" ht="26" customHeight="1">
      <c r="A70" s="23" t="inlineStr">
        <is>
          <t>E/M</t>
        </is>
      </c>
      <c r="B70" s="31" t="inlineStr">
        <is>
          <t>EM-10</t>
        </is>
      </c>
      <c r="C70" s="32" t="inlineStr">
        <is>
          <t>Preventive or AWV with a same-day problem visit</t>
        </is>
      </c>
      <c r="D70" s="33" t="inlineStr">
        <is>
          <t>Preventive and wellness</t>
        </is>
      </c>
      <c r="E70" s="36" t="inlineStr">
        <is>
          <t>P2</t>
        </is>
      </c>
      <c r="F70" s="33" t="inlineStr">
        <is>
          <t>Complex-led</t>
        </is>
      </c>
      <c r="G70" s="33" t="inlineStr">
        <is>
          <t>C1 High error rate</t>
        </is>
      </c>
      <c r="H70" s="31" t="n">
        <v>12</v>
      </c>
      <c r="I70" s="23">
        <f>COUNTIFS('Chart Register'!$C$5:$C$1004,$B70)</f>
        <v/>
      </c>
      <c r="J70" s="23">
        <f>COUNTIFS('Chart Register'!$C$5:$C$1004,$B70,'Chart Register'!$N$5:$N$1004,"Live")</f>
        <v/>
      </c>
      <c r="K70" s="23">
        <f>I70-J70-L70-M70</f>
        <v/>
      </c>
      <c r="L70" s="23">
        <f>COUNTIFS('Chart Register'!$C$5:$C$1004,$B70,'Chart Register'!$N$5:$N$1004,"On hold")</f>
        <v/>
      </c>
      <c r="M70" s="23">
        <f>COUNTIFS('Chart Register'!$C$5:$C$1004,$B70,'Chart Register'!$N$5:$N$1004,"Retired")</f>
        <v/>
      </c>
      <c r="N70" s="35">
        <f>IF($H70=0,"NA",J70/$H70)</f>
        <v/>
      </c>
      <c r="O70" s="23">
        <f>$H70-J70</f>
        <v/>
      </c>
      <c r="P70" s="33">
        <f>IF($H70=0,"NA",IF(J70&gt;=$H70,"Complete",IF(J70/$H70&gt;='Schedule Model'!$C$8,"At or above threshold","BELOW THRESHOLD — source now")))</f>
        <v/>
      </c>
      <c r="Q70" s="29">
        <f>IF('Schedule Model'!$G$15="NA","NA",INT('Schedule Model'!$C$5+0.716019*'Schedule Model'!$G$15*7))</f>
        <v/>
      </c>
      <c r="R70" s="23">
        <f>IF(OR($H70=0,NOT(ISNUMBER(Q70))),"NA",IF(J70&gt;=$H70,"On target",IF(TODAY()&lt;=Q70,"Not yet due",TODAY()-Q70)))</f>
        <v/>
      </c>
      <c r="S70" s="23">
        <f>COUNTIFS('Issues Log'!$D$5:$D$504,$B70,'Issues Log'!$K$5:$K$504,"Open")+COUNTIFS('Issues Log'!$D$5:$D$504,$B70,'Issues Log'!$K$5:$K$504,"In progress")</f>
        <v/>
      </c>
    </row>
    <row r="71" ht="26" customHeight="1">
      <c r="A71" s="23" t="inlineStr">
        <is>
          <t>E/M</t>
        </is>
      </c>
      <c r="B71" s="31" t="inlineStr">
        <is>
          <t>EM-11</t>
        </is>
      </c>
      <c r="C71" s="32" t="inlineStr">
        <is>
          <t>Screening and counselling services</t>
        </is>
      </c>
      <c r="D71" s="33" t="inlineStr">
        <is>
          <t>Preventive and wellness</t>
        </is>
      </c>
      <c r="E71" s="36" t="inlineStr">
        <is>
          <t>P2</t>
        </is>
      </c>
      <c r="F71" s="33" t="inlineStr">
        <is>
          <t>Moderate-led</t>
        </is>
      </c>
      <c r="G71" s="33" t="inlineStr">
        <is>
          <t>C7 Denial trends</t>
        </is>
      </c>
      <c r="H71" s="31" t="n">
        <v>8</v>
      </c>
      <c r="I71" s="23">
        <f>COUNTIFS('Chart Register'!$C$5:$C$1004,$B71)</f>
        <v/>
      </c>
      <c r="J71" s="23">
        <f>COUNTIFS('Chart Register'!$C$5:$C$1004,$B71,'Chart Register'!$N$5:$N$1004,"Live")</f>
        <v/>
      </c>
      <c r="K71" s="23">
        <f>I71-J71-L71-M71</f>
        <v/>
      </c>
      <c r="L71" s="23">
        <f>COUNTIFS('Chart Register'!$C$5:$C$1004,$B71,'Chart Register'!$N$5:$N$1004,"On hold")</f>
        <v/>
      </c>
      <c r="M71" s="23">
        <f>COUNTIFS('Chart Register'!$C$5:$C$1004,$B71,'Chart Register'!$N$5:$N$1004,"Retired")</f>
        <v/>
      </c>
      <c r="N71" s="35">
        <f>IF($H71=0,"NA",J71/$H71)</f>
        <v/>
      </c>
      <c r="O71" s="23">
        <f>$H71-J71</f>
        <v/>
      </c>
      <c r="P71" s="33">
        <f>IF($H71=0,"NA",IF(J71&gt;=$H71,"Complete",IF(J71/$H71&gt;='Schedule Model'!$C$8,"At or above threshold","BELOW THRESHOLD — source now")))</f>
        <v/>
      </c>
      <c r="Q71" s="29">
        <f>IF('Schedule Model'!$G$15="NA","NA",INT('Schedule Model'!$C$5+0.735437*'Schedule Model'!$G$15*7))</f>
        <v/>
      </c>
      <c r="R71" s="23">
        <f>IF(OR($H71=0,NOT(ISNUMBER(Q71))),"NA",IF(J71&gt;=$H71,"On target",IF(TODAY()&lt;=Q71,"Not yet due",TODAY()-Q71)))</f>
        <v/>
      </c>
      <c r="S71" s="23">
        <f>COUNTIFS('Issues Log'!$D$5:$D$504,$B71,'Issues Log'!$K$5:$K$504,"Open")+COUNTIFS('Issues Log'!$D$5:$D$504,$B71,'Issues Log'!$K$5:$K$504,"In progress")</f>
        <v/>
      </c>
    </row>
    <row r="72" ht="26" customHeight="1">
      <c r="A72" s="23" t="inlineStr">
        <is>
          <t>E/M</t>
        </is>
      </c>
      <c r="B72" s="31" t="inlineStr">
        <is>
          <t>EM-19</t>
        </is>
      </c>
      <c r="C72" s="32" t="inlineStr">
        <is>
          <t>Same-day admission and discharge (99234-99236)</t>
        </is>
      </c>
      <c r="D72" s="33" t="inlineStr">
        <is>
          <t>Inpatient and observation</t>
        </is>
      </c>
      <c r="E72" s="36" t="inlineStr">
        <is>
          <t>P2</t>
        </is>
      </c>
      <c r="F72" s="33" t="inlineStr">
        <is>
          <t>Complex-led</t>
        </is>
      </c>
      <c r="G72" s="33" t="inlineStr">
        <is>
          <t>C1 High error rate</t>
        </is>
      </c>
      <c r="H72" s="31" t="n">
        <v>8</v>
      </c>
      <c r="I72" s="23">
        <f>COUNTIFS('Chart Register'!$C$5:$C$1004,$B72)</f>
        <v/>
      </c>
      <c r="J72" s="23">
        <f>COUNTIFS('Chart Register'!$C$5:$C$1004,$B72,'Chart Register'!$N$5:$N$1004,"Live")</f>
        <v/>
      </c>
      <c r="K72" s="23">
        <f>I72-J72-L72-M72</f>
        <v/>
      </c>
      <c r="L72" s="23">
        <f>COUNTIFS('Chart Register'!$C$5:$C$1004,$B72,'Chart Register'!$N$5:$N$1004,"On hold")</f>
        <v/>
      </c>
      <c r="M72" s="23">
        <f>COUNTIFS('Chart Register'!$C$5:$C$1004,$B72,'Chart Register'!$N$5:$N$1004,"Retired")</f>
        <v/>
      </c>
      <c r="N72" s="35">
        <f>IF($H72=0,"NA",J72/$H72)</f>
        <v/>
      </c>
      <c r="O72" s="23">
        <f>$H72-J72</f>
        <v/>
      </c>
      <c r="P72" s="33">
        <f>IF($H72=0,"NA",IF(J72&gt;=$H72,"Complete",IF(J72/$H72&gt;='Schedule Model'!$C$8,"At or above threshold","BELOW THRESHOLD — source now")))</f>
        <v/>
      </c>
      <c r="Q72" s="29">
        <f>IF('Schedule Model'!$G$15="NA","NA",INT('Schedule Model'!$C$5+0.754854*'Schedule Model'!$G$15*7))</f>
        <v/>
      </c>
      <c r="R72" s="23">
        <f>IF(OR($H72=0,NOT(ISNUMBER(Q72))),"NA",IF(J72&gt;=$H72,"On target",IF(TODAY()&lt;=Q72,"Not yet due",TODAY()-Q72)))</f>
        <v/>
      </c>
      <c r="S72" s="23">
        <f>COUNTIFS('Issues Log'!$D$5:$D$504,$B72,'Issues Log'!$K$5:$K$504,"Open")+COUNTIFS('Issues Log'!$D$5:$D$504,$B72,'Issues Log'!$K$5:$K$504,"In progress")</f>
        <v/>
      </c>
    </row>
    <row r="73" ht="26" customHeight="1">
      <c r="A73" s="23" t="inlineStr">
        <is>
          <t>E/M</t>
        </is>
      </c>
      <c r="B73" s="31" t="inlineStr">
        <is>
          <t>EM-20</t>
        </is>
      </c>
      <c r="C73" s="32" t="inlineStr">
        <is>
          <t>Inpatient critical care (99291 / 99292)</t>
        </is>
      </c>
      <c r="D73" s="33" t="inlineStr">
        <is>
          <t>Critical care and neonatal intensive care</t>
        </is>
      </c>
      <c r="E73" s="36" t="inlineStr">
        <is>
          <t>P2</t>
        </is>
      </c>
      <c r="F73" s="33" t="inlineStr">
        <is>
          <t>Complex-led</t>
        </is>
      </c>
      <c r="G73" s="33" t="inlineStr">
        <is>
          <t>C2 High dollar value</t>
        </is>
      </c>
      <c r="H73" s="31" t="n">
        <v>12</v>
      </c>
      <c r="I73" s="23">
        <f>COUNTIFS('Chart Register'!$C$5:$C$1004,$B73)</f>
        <v/>
      </c>
      <c r="J73" s="23">
        <f>COUNTIFS('Chart Register'!$C$5:$C$1004,$B73,'Chart Register'!$N$5:$N$1004,"Live")</f>
        <v/>
      </c>
      <c r="K73" s="23">
        <f>I73-J73-L73-M73</f>
        <v/>
      </c>
      <c r="L73" s="23">
        <f>COUNTIFS('Chart Register'!$C$5:$C$1004,$B73,'Chart Register'!$N$5:$N$1004,"On hold")</f>
        <v/>
      </c>
      <c r="M73" s="23">
        <f>COUNTIFS('Chart Register'!$C$5:$C$1004,$B73,'Chart Register'!$N$5:$N$1004,"Retired")</f>
        <v/>
      </c>
      <c r="N73" s="35">
        <f>IF($H73=0,"NA",J73/$H73)</f>
        <v/>
      </c>
      <c r="O73" s="23">
        <f>$H73-J73</f>
        <v/>
      </c>
      <c r="P73" s="33">
        <f>IF($H73=0,"NA",IF(J73&gt;=$H73,"Complete",IF(J73/$H73&gt;='Schedule Model'!$C$8,"At or above threshold","BELOW THRESHOLD — source now")))</f>
        <v/>
      </c>
      <c r="Q73" s="29">
        <f>IF('Schedule Model'!$G$15="NA","NA",INT('Schedule Model'!$C$5+0.783981*'Schedule Model'!$G$15*7))</f>
        <v/>
      </c>
      <c r="R73" s="23">
        <f>IF(OR($H73=0,NOT(ISNUMBER(Q73))),"NA",IF(J73&gt;=$H73,"On target",IF(TODAY()&lt;=Q73,"Not yet due",TODAY()-Q73)))</f>
        <v/>
      </c>
      <c r="S73" s="23">
        <f>COUNTIFS('Issues Log'!$D$5:$D$504,$B73,'Issues Log'!$K$5:$K$504,"Open")+COUNTIFS('Issues Log'!$D$5:$D$504,$B73,'Issues Log'!$K$5:$K$504,"In progress")</f>
        <v/>
      </c>
    </row>
    <row r="74" ht="26" customHeight="1">
      <c r="A74" s="23" t="inlineStr">
        <is>
          <t>E/M</t>
        </is>
      </c>
      <c r="B74" s="31" t="inlineStr">
        <is>
          <t>EM-22</t>
        </is>
      </c>
      <c r="C74" s="32" t="inlineStr">
        <is>
          <t>Office and outpatient consultations (99242-99245)</t>
        </is>
      </c>
      <c r="D74" s="33" t="inlineStr">
        <is>
          <t>Consultations</t>
        </is>
      </c>
      <c r="E74" s="36" t="inlineStr">
        <is>
          <t>P2</t>
        </is>
      </c>
      <c r="F74" s="33" t="inlineStr">
        <is>
          <t>Complex-led</t>
        </is>
      </c>
      <c r="G74" s="33" t="inlineStr">
        <is>
          <t>C6 Customer escalations</t>
        </is>
      </c>
      <c r="H74" s="31" t="n">
        <v>8</v>
      </c>
      <c r="I74" s="23">
        <f>COUNTIFS('Chart Register'!$C$5:$C$1004,$B74)</f>
        <v/>
      </c>
      <c r="J74" s="23">
        <f>COUNTIFS('Chart Register'!$C$5:$C$1004,$B74,'Chart Register'!$N$5:$N$1004,"Live")</f>
        <v/>
      </c>
      <c r="K74" s="23">
        <f>I74-J74-L74-M74</f>
        <v/>
      </c>
      <c r="L74" s="23">
        <f>COUNTIFS('Chart Register'!$C$5:$C$1004,$B74,'Chart Register'!$N$5:$N$1004,"On hold")</f>
        <v/>
      </c>
      <c r="M74" s="23">
        <f>COUNTIFS('Chart Register'!$C$5:$C$1004,$B74,'Chart Register'!$N$5:$N$1004,"Retired")</f>
        <v/>
      </c>
      <c r="N74" s="35">
        <f>IF($H74=0,"NA",J74/$H74)</f>
        <v/>
      </c>
      <c r="O74" s="23">
        <f>$H74-J74</f>
        <v/>
      </c>
      <c r="P74" s="33">
        <f>IF($H74=0,"NA",IF(J74&gt;=$H74,"Complete",IF(J74/$H74&gt;='Schedule Model'!$C$8,"At or above threshold","BELOW THRESHOLD — source now")))</f>
        <v/>
      </c>
      <c r="Q74" s="29">
        <f>IF('Schedule Model'!$G$15="NA","NA",INT('Schedule Model'!$C$5+0.803398*'Schedule Model'!$G$15*7))</f>
        <v/>
      </c>
      <c r="R74" s="23">
        <f>IF(OR($H74=0,NOT(ISNUMBER(Q74))),"NA",IF(J74&gt;=$H74,"On target",IF(TODAY()&lt;=Q74,"Not yet due",TODAY()-Q74)))</f>
        <v/>
      </c>
      <c r="S74" s="23">
        <f>COUNTIFS('Issues Log'!$D$5:$D$504,$B74,'Issues Log'!$K$5:$K$504,"Open")+COUNTIFS('Issues Log'!$D$5:$D$504,$B74,'Issues Log'!$K$5:$K$504,"In progress")</f>
        <v/>
      </c>
    </row>
    <row r="75" ht="26" customHeight="1">
      <c r="A75" s="23" t="inlineStr">
        <is>
          <t>E/M</t>
        </is>
      </c>
      <c r="B75" s="31" t="inlineStr">
        <is>
          <t>EM-23</t>
        </is>
      </c>
      <c r="C75" s="32" t="inlineStr">
        <is>
          <t>Inpatient consultations (99252-99255)</t>
        </is>
      </c>
      <c r="D75" s="33" t="inlineStr">
        <is>
          <t>Consultations</t>
        </is>
      </c>
      <c r="E75" s="36" t="inlineStr">
        <is>
          <t>P2</t>
        </is>
      </c>
      <c r="F75" s="33" t="inlineStr">
        <is>
          <t>Complex-led</t>
        </is>
      </c>
      <c r="G75" s="33" t="inlineStr">
        <is>
          <t>C6 Customer escalations</t>
        </is>
      </c>
      <c r="H75" s="31" t="n">
        <v>8</v>
      </c>
      <c r="I75" s="23">
        <f>COUNTIFS('Chart Register'!$C$5:$C$1004,$B75)</f>
        <v/>
      </c>
      <c r="J75" s="23">
        <f>COUNTIFS('Chart Register'!$C$5:$C$1004,$B75,'Chart Register'!$N$5:$N$1004,"Live")</f>
        <v/>
      </c>
      <c r="K75" s="23">
        <f>I75-J75-L75-M75</f>
        <v/>
      </c>
      <c r="L75" s="23">
        <f>COUNTIFS('Chart Register'!$C$5:$C$1004,$B75,'Chart Register'!$N$5:$N$1004,"On hold")</f>
        <v/>
      </c>
      <c r="M75" s="23">
        <f>COUNTIFS('Chart Register'!$C$5:$C$1004,$B75,'Chart Register'!$N$5:$N$1004,"Retired")</f>
        <v/>
      </c>
      <c r="N75" s="35">
        <f>IF($H75=0,"NA",J75/$H75)</f>
        <v/>
      </c>
      <c r="O75" s="23">
        <f>$H75-J75</f>
        <v/>
      </c>
      <c r="P75" s="33">
        <f>IF($H75=0,"NA",IF(J75&gt;=$H75,"Complete",IF(J75/$H75&gt;='Schedule Model'!$C$8,"At or above threshold","BELOW THRESHOLD — source now")))</f>
        <v/>
      </c>
      <c r="Q75" s="29">
        <f>IF('Schedule Model'!$G$15="NA","NA",INT('Schedule Model'!$C$5+0.822816*'Schedule Model'!$G$15*7))</f>
        <v/>
      </c>
      <c r="R75" s="23">
        <f>IF(OR($H75=0,NOT(ISNUMBER(Q75))),"NA",IF(J75&gt;=$H75,"On target",IF(TODAY()&lt;=Q75,"Not yet due",TODAY()-Q75)))</f>
        <v/>
      </c>
      <c r="S75" s="23">
        <f>COUNTIFS('Issues Log'!$D$5:$D$504,$B75,'Issues Log'!$K$5:$K$504,"Open")+COUNTIFS('Issues Log'!$D$5:$D$504,$B75,'Issues Log'!$K$5:$K$504,"In progress")</f>
        <v/>
      </c>
    </row>
    <row r="76" ht="26" customHeight="1">
      <c r="A76" s="23" t="inlineStr">
        <is>
          <t>E/M</t>
        </is>
      </c>
      <c r="B76" s="31" t="inlineStr">
        <is>
          <t>EM-06</t>
        </is>
      </c>
      <c r="C76" s="32" t="inlineStr">
        <is>
          <t>Level 1-2 office visits (99202 / 99211 / 99212)</t>
        </is>
      </c>
      <c r="D76" s="33" t="inlineStr">
        <is>
          <t>Office / outpatient visits</t>
        </is>
      </c>
      <c r="E76" s="37" t="inlineStr">
        <is>
          <t>P3</t>
        </is>
      </c>
      <c r="F76" s="33" t="inlineStr">
        <is>
          <t>Basic-led</t>
        </is>
      </c>
      <c r="G76" s="33" t="inlineStr">
        <is>
          <t>C8 Foundation</t>
        </is>
      </c>
      <c r="H76" s="31" t="n">
        <v>12</v>
      </c>
      <c r="I76" s="23">
        <f>COUNTIFS('Chart Register'!$C$5:$C$1004,$B76)</f>
        <v/>
      </c>
      <c r="J76" s="23">
        <f>COUNTIFS('Chart Register'!$C$5:$C$1004,$B76,'Chart Register'!$N$5:$N$1004,"Live")</f>
        <v/>
      </c>
      <c r="K76" s="23">
        <f>I76-J76-L76-M76</f>
        <v/>
      </c>
      <c r="L76" s="23">
        <f>COUNTIFS('Chart Register'!$C$5:$C$1004,$B76,'Chart Register'!$N$5:$N$1004,"On hold")</f>
        <v/>
      </c>
      <c r="M76" s="23">
        <f>COUNTIFS('Chart Register'!$C$5:$C$1004,$B76,'Chart Register'!$N$5:$N$1004,"Retired")</f>
        <v/>
      </c>
      <c r="N76" s="35">
        <f>IF($H76=0,"NA",J76/$H76)</f>
        <v/>
      </c>
      <c r="O76" s="23">
        <f>$H76-J76</f>
        <v/>
      </c>
      <c r="P76" s="33">
        <f>IF($H76=0,"NA",IF(J76&gt;=$H76,"Complete",IF(J76/$H76&gt;='Schedule Model'!$C$8,"At or above threshold","BELOW THRESHOLD — source now")))</f>
        <v/>
      </c>
      <c r="Q76" s="29">
        <f>IF('Schedule Model'!$G$15="NA","NA",INT('Schedule Model'!$C$5+0.851942*'Schedule Model'!$G$15*7))</f>
        <v/>
      </c>
      <c r="R76" s="23">
        <f>IF(OR($H76=0,NOT(ISNUMBER(Q76))),"NA",IF(J76&gt;=$H76,"On target",IF(TODAY()&lt;=Q76,"Not yet due",TODAY()-Q76)))</f>
        <v/>
      </c>
      <c r="S76" s="23">
        <f>COUNTIFS('Issues Log'!$D$5:$D$504,$B76,'Issues Log'!$K$5:$K$504,"Open")+COUNTIFS('Issues Log'!$D$5:$D$504,$B76,'Issues Log'!$K$5:$K$504,"In progress")</f>
        <v/>
      </c>
    </row>
    <row r="77" ht="26" customHeight="1">
      <c r="A77" s="23" t="inlineStr">
        <is>
          <t>E/M</t>
        </is>
      </c>
      <c r="B77" s="31" t="inlineStr">
        <is>
          <t>EM-12</t>
        </is>
      </c>
      <c r="C77" s="32" t="inlineStr">
        <is>
          <t>Minor office procedures billed with an E/M</t>
        </is>
      </c>
      <c r="D77" s="33" t="inlineStr">
        <is>
          <t>Office procedures with an E/M</t>
        </is>
      </c>
      <c r="E77" s="37" t="inlineStr">
        <is>
          <t>P3</t>
        </is>
      </c>
      <c r="F77" s="33" t="inlineStr">
        <is>
          <t>Moderate-led</t>
        </is>
      </c>
      <c r="G77" s="33" t="inlineStr">
        <is>
          <t>C1 High error rate</t>
        </is>
      </c>
      <c r="H77" s="31" t="n">
        <v>21</v>
      </c>
      <c r="I77" s="23">
        <f>COUNTIFS('Chart Register'!$C$5:$C$1004,$B77)</f>
        <v/>
      </c>
      <c r="J77" s="23">
        <f>COUNTIFS('Chart Register'!$C$5:$C$1004,$B77,'Chart Register'!$N$5:$N$1004,"Live")</f>
        <v/>
      </c>
      <c r="K77" s="23">
        <f>I77-J77-L77-M77</f>
        <v/>
      </c>
      <c r="L77" s="23">
        <f>COUNTIFS('Chart Register'!$C$5:$C$1004,$B77,'Chart Register'!$N$5:$N$1004,"On hold")</f>
        <v/>
      </c>
      <c r="M77" s="23">
        <f>COUNTIFS('Chart Register'!$C$5:$C$1004,$B77,'Chart Register'!$N$5:$N$1004,"Retired")</f>
        <v/>
      </c>
      <c r="N77" s="35">
        <f>IF($H77=0,"NA",J77/$H77)</f>
        <v/>
      </c>
      <c r="O77" s="23">
        <f>$H77-J77</f>
        <v/>
      </c>
      <c r="P77" s="33">
        <f>IF($H77=0,"NA",IF(J77&gt;=$H77,"Complete",IF(J77/$H77&gt;='Schedule Model'!$C$8,"At or above threshold","BELOW THRESHOLD — source now")))</f>
        <v/>
      </c>
      <c r="Q77" s="29">
        <f>IF('Schedule Model'!$G$15="NA","NA",INT('Schedule Model'!$C$5+0.902913*'Schedule Model'!$G$15*7))</f>
        <v/>
      </c>
      <c r="R77" s="23">
        <f>IF(OR($H77=0,NOT(ISNUMBER(Q77))),"NA",IF(J77&gt;=$H77,"On target",IF(TODAY()&lt;=Q77,"Not yet due",TODAY()-Q77)))</f>
        <v/>
      </c>
      <c r="S77" s="23">
        <f>COUNTIFS('Issues Log'!$D$5:$D$504,$B77,'Issues Log'!$K$5:$K$504,"Open")+COUNTIFS('Issues Log'!$D$5:$D$504,$B77,'Issues Log'!$K$5:$K$504,"In progress")</f>
        <v/>
      </c>
    </row>
    <row r="78" ht="26" customHeight="1">
      <c r="A78" s="23" t="inlineStr">
        <is>
          <t>E/M</t>
        </is>
      </c>
      <c r="B78" s="31" t="inlineStr">
        <is>
          <t>EM-13</t>
        </is>
      </c>
      <c r="C78" s="32" t="inlineStr">
        <is>
          <t>Transitional care management (99495 / 99496)</t>
        </is>
      </c>
      <c r="D78" s="33" t="inlineStr">
        <is>
          <t>Care management and transitional care</t>
        </is>
      </c>
      <c r="E78" s="37" t="inlineStr">
        <is>
          <t>P3</t>
        </is>
      </c>
      <c r="F78" s="33" t="inlineStr">
        <is>
          <t>Complex-led</t>
        </is>
      </c>
      <c r="G78" s="33" t="inlineStr">
        <is>
          <t>C7 Denial trends</t>
        </is>
      </c>
      <c r="H78" s="31" t="n">
        <v>12</v>
      </c>
      <c r="I78" s="23">
        <f>COUNTIFS('Chart Register'!$C$5:$C$1004,$B78)</f>
        <v/>
      </c>
      <c r="J78" s="23">
        <f>COUNTIFS('Chart Register'!$C$5:$C$1004,$B78,'Chart Register'!$N$5:$N$1004,"Live")</f>
        <v/>
      </c>
      <c r="K78" s="23">
        <f>I78-J78-L78-M78</f>
        <v/>
      </c>
      <c r="L78" s="23">
        <f>COUNTIFS('Chart Register'!$C$5:$C$1004,$B78,'Chart Register'!$N$5:$N$1004,"On hold")</f>
        <v/>
      </c>
      <c r="M78" s="23">
        <f>COUNTIFS('Chart Register'!$C$5:$C$1004,$B78,'Chart Register'!$N$5:$N$1004,"Retired")</f>
        <v/>
      </c>
      <c r="N78" s="35">
        <f>IF($H78=0,"NA",J78/$H78)</f>
        <v/>
      </c>
      <c r="O78" s="23">
        <f>$H78-J78</f>
        <v/>
      </c>
      <c r="P78" s="33">
        <f>IF($H78=0,"NA",IF(J78&gt;=$H78,"Complete",IF(J78/$H78&gt;='Schedule Model'!$C$8,"At or above threshold","BELOW THRESHOLD — source now")))</f>
        <v/>
      </c>
      <c r="Q78" s="29">
        <f>IF('Schedule Model'!$G$15="NA","NA",INT('Schedule Model'!$C$5+0.932039*'Schedule Model'!$G$15*7))</f>
        <v/>
      </c>
      <c r="R78" s="23">
        <f>IF(OR($H78=0,NOT(ISNUMBER(Q78))),"NA",IF(J78&gt;=$H78,"On target",IF(TODAY()&lt;=Q78,"Not yet due",TODAY()-Q78)))</f>
        <v/>
      </c>
      <c r="S78" s="23">
        <f>COUNTIFS('Issues Log'!$D$5:$D$504,$B78,'Issues Log'!$K$5:$K$504,"Open")+COUNTIFS('Issues Log'!$D$5:$D$504,$B78,'Issues Log'!$K$5:$K$504,"In progress")</f>
        <v/>
      </c>
    </row>
    <row r="79" ht="26" customHeight="1">
      <c r="A79" s="23" t="inlineStr">
        <is>
          <t>E/M</t>
        </is>
      </c>
      <c r="B79" s="31" t="inlineStr">
        <is>
          <t>EM-15</t>
        </is>
      </c>
      <c r="C79" s="32" t="inlineStr">
        <is>
          <t>Telehealth and virtual services</t>
        </is>
      </c>
      <c r="D79" s="33" t="inlineStr">
        <is>
          <t>Telehealth</t>
        </is>
      </c>
      <c r="E79" s="37" t="inlineStr">
        <is>
          <t>P3</t>
        </is>
      </c>
      <c r="F79" s="33" t="inlineStr">
        <is>
          <t>Moderate-led</t>
        </is>
      </c>
      <c r="G79" s="33" t="inlineStr">
        <is>
          <t>C6 Customer escalations</t>
        </is>
      </c>
      <c r="H79" s="31" t="n">
        <v>12</v>
      </c>
      <c r="I79" s="23">
        <f>COUNTIFS('Chart Register'!$C$5:$C$1004,$B79)</f>
        <v/>
      </c>
      <c r="J79" s="23">
        <f>COUNTIFS('Chart Register'!$C$5:$C$1004,$B79,'Chart Register'!$N$5:$N$1004,"Live")</f>
        <v/>
      </c>
      <c r="K79" s="23">
        <f>I79-J79-L79-M79</f>
        <v/>
      </c>
      <c r="L79" s="23">
        <f>COUNTIFS('Chart Register'!$C$5:$C$1004,$B79,'Chart Register'!$N$5:$N$1004,"On hold")</f>
        <v/>
      </c>
      <c r="M79" s="23">
        <f>COUNTIFS('Chart Register'!$C$5:$C$1004,$B79,'Chart Register'!$N$5:$N$1004,"Retired")</f>
        <v/>
      </c>
      <c r="N79" s="35">
        <f>IF($H79=0,"NA",J79/$H79)</f>
        <v/>
      </c>
      <c r="O79" s="23">
        <f>$H79-J79</f>
        <v/>
      </c>
      <c r="P79" s="33">
        <f>IF($H79=0,"NA",IF(J79&gt;=$H79,"Complete",IF(J79/$H79&gt;='Schedule Model'!$C$8,"At or above threshold","BELOW THRESHOLD — source now")))</f>
        <v/>
      </c>
      <c r="Q79" s="29">
        <f>IF('Schedule Model'!$G$15="NA","NA",INT('Schedule Model'!$C$5+0.961165*'Schedule Model'!$G$15*7))</f>
        <v/>
      </c>
      <c r="R79" s="23">
        <f>IF(OR($H79=0,NOT(ISNUMBER(Q79))),"NA",IF(J79&gt;=$H79,"On target",IF(TODAY()&lt;=Q79,"Not yet due",TODAY()-Q79)))</f>
        <v/>
      </c>
      <c r="S79" s="23">
        <f>COUNTIFS('Issues Log'!$D$5:$D$504,$B79,'Issues Log'!$K$5:$K$504,"Open")+COUNTIFS('Issues Log'!$D$5:$D$504,$B79,'Issues Log'!$K$5:$K$504,"In progress")</f>
        <v/>
      </c>
    </row>
    <row r="80" ht="26" customHeight="1">
      <c r="A80" s="23" t="inlineStr">
        <is>
          <t>E/M</t>
        </is>
      </c>
      <c r="B80" s="31" t="inlineStr">
        <is>
          <t>EM-21</t>
        </is>
      </c>
      <c r="C80" s="32" t="inlineStr">
        <is>
          <t>Neonatal and paediatric critical care (99468-99476)</t>
        </is>
      </c>
      <c r="D80" s="33" t="inlineStr">
        <is>
          <t>Critical care and neonatal intensive care</t>
        </is>
      </c>
      <c r="E80" s="37" t="inlineStr">
        <is>
          <t>P3</t>
        </is>
      </c>
      <c r="F80" s="33" t="inlineStr">
        <is>
          <t>Complex-led</t>
        </is>
      </c>
      <c r="G80" s="33" t="inlineStr">
        <is>
          <t>C6 Customer escalations</t>
        </is>
      </c>
      <c r="H80" s="31" t="n">
        <v>8</v>
      </c>
      <c r="I80" s="23">
        <f>COUNTIFS('Chart Register'!$C$5:$C$1004,$B80)</f>
        <v/>
      </c>
      <c r="J80" s="23">
        <f>COUNTIFS('Chart Register'!$C$5:$C$1004,$B80,'Chart Register'!$N$5:$N$1004,"Live")</f>
        <v/>
      </c>
      <c r="K80" s="23">
        <f>I80-J80-L80-M80</f>
        <v/>
      </c>
      <c r="L80" s="23">
        <f>COUNTIFS('Chart Register'!$C$5:$C$1004,$B80,'Chart Register'!$N$5:$N$1004,"On hold")</f>
        <v/>
      </c>
      <c r="M80" s="23">
        <f>COUNTIFS('Chart Register'!$C$5:$C$1004,$B80,'Chart Register'!$N$5:$N$1004,"Retired")</f>
        <v/>
      </c>
      <c r="N80" s="35">
        <f>IF($H80=0,"NA",J80/$H80)</f>
        <v/>
      </c>
      <c r="O80" s="23">
        <f>$H80-J80</f>
        <v/>
      </c>
      <c r="P80" s="33">
        <f>IF($H80=0,"NA",IF(J80&gt;=$H80,"Complete",IF(J80/$H80&gt;='Schedule Model'!$C$8,"At or above threshold","BELOW THRESHOLD — source now")))</f>
        <v/>
      </c>
      <c r="Q80" s="29">
        <f>IF('Schedule Model'!$G$15="NA","NA",INT('Schedule Model'!$C$5+0.980583*'Schedule Model'!$G$15*7))</f>
        <v/>
      </c>
      <c r="R80" s="23">
        <f>IF(OR($H80=0,NOT(ISNUMBER(Q80))),"NA",IF(J80&gt;=$H80,"On target",IF(TODAY()&lt;=Q80,"Not yet due",TODAY()-Q80)))</f>
        <v/>
      </c>
      <c r="S80" s="23">
        <f>COUNTIFS('Issues Log'!$D$5:$D$504,$B80,'Issues Log'!$K$5:$K$504,"Open")+COUNTIFS('Issues Log'!$D$5:$D$504,$B80,'Issues Log'!$K$5:$K$504,"In progress")</f>
        <v/>
      </c>
    </row>
    <row r="81" ht="26" customHeight="1">
      <c r="A81" s="23" t="inlineStr">
        <is>
          <t>E/M</t>
        </is>
      </c>
      <c r="B81" s="31" t="inlineStr">
        <is>
          <t>EM-14</t>
        </is>
      </c>
      <c r="C81" s="32" t="inlineStr">
        <is>
          <t>Chronic care management (99490 / 99439 / 99487)</t>
        </is>
      </c>
      <c r="D81" s="33" t="inlineStr">
        <is>
          <t>Care management and transitional care</t>
        </is>
      </c>
      <c r="E81" s="36" t="inlineStr">
        <is>
          <t>P4</t>
        </is>
      </c>
      <c r="F81" s="33" t="inlineStr">
        <is>
          <t>Moderate-led</t>
        </is>
      </c>
      <c r="G81" s="33" t="inlineStr">
        <is>
          <t>C7 Denial trends</t>
        </is>
      </c>
      <c r="H81" s="31" t="n">
        <v>8</v>
      </c>
      <c r="I81" s="23">
        <f>COUNTIFS('Chart Register'!$C$5:$C$1004,$B81)</f>
        <v/>
      </c>
      <c r="J81" s="23">
        <f>COUNTIFS('Chart Register'!$C$5:$C$1004,$B81,'Chart Register'!$N$5:$N$1004,"Live")</f>
        <v/>
      </c>
      <c r="K81" s="23">
        <f>I81-J81-L81-M81</f>
        <v/>
      </c>
      <c r="L81" s="23">
        <f>COUNTIFS('Chart Register'!$C$5:$C$1004,$B81,'Chart Register'!$N$5:$N$1004,"On hold")</f>
        <v/>
      </c>
      <c r="M81" s="23">
        <f>COUNTIFS('Chart Register'!$C$5:$C$1004,$B81,'Chart Register'!$N$5:$N$1004,"Retired")</f>
        <v/>
      </c>
      <c r="N81" s="35">
        <f>IF($H81=0,"NA",J81/$H81)</f>
        <v/>
      </c>
      <c r="O81" s="23">
        <f>$H81-J81</f>
        <v/>
      </c>
      <c r="P81" s="33">
        <f>IF($H81=0,"NA",IF(J81&gt;=$H81,"Complete",IF(J81/$H81&gt;='Schedule Model'!$C$8,"At or above threshold","BELOW THRESHOLD — source now")))</f>
        <v/>
      </c>
      <c r="Q81" s="29">
        <f>IF('Schedule Model'!$G$15="NA","NA",INT('Schedule Model'!$C$5+1.0*'Schedule Model'!$G$15*7))</f>
        <v/>
      </c>
      <c r="R81" s="23">
        <f>IF(OR($H81=0,NOT(ISNUMBER(Q81))),"NA",IF(J81&gt;=$H81,"On target",IF(TODAY()&lt;=Q81,"Not yet due",TODAY()-Q81)))</f>
        <v/>
      </c>
      <c r="S81" s="23">
        <f>COUNTIFS('Issues Log'!$D$5:$D$504,$B81,'Issues Log'!$K$5:$K$504,"Open")+COUNTIFS('Issues Log'!$D$5:$D$504,$B81,'Issues Log'!$K$5:$K$504,"In progress")</f>
        <v/>
      </c>
    </row>
    <row r="82" ht="26" customHeight="1">
      <c r="A82" s="23" t="inlineStr">
        <is>
          <t>SDS</t>
        </is>
      </c>
      <c r="B82" s="31" t="inlineStr">
        <is>
          <t>SDS-01</t>
        </is>
      </c>
      <c r="C82" s="32" t="inlineStr">
        <is>
          <t>Knee and shoulder arthroscopy</t>
        </is>
      </c>
      <c r="D82" s="33" t="inlineStr">
        <is>
          <t>Orthopaedics</t>
        </is>
      </c>
      <c r="E82" s="36" t="inlineStr">
        <is>
          <t>P2</t>
        </is>
      </c>
      <c r="F82" s="33" t="inlineStr">
        <is>
          <t>Moderate-led</t>
        </is>
      </c>
      <c r="G82" s="33" t="inlineStr">
        <is>
          <t>C1 High error rate</t>
        </is>
      </c>
      <c r="H82" s="31" t="n">
        <v>13</v>
      </c>
      <c r="I82" s="23">
        <f>COUNTIFS('Chart Register'!$C$5:$C$1004,$B82)</f>
        <v/>
      </c>
      <c r="J82" s="23">
        <f>COUNTIFS('Chart Register'!$C$5:$C$1004,$B82,'Chart Register'!$N$5:$N$1004,"Live")</f>
        <v/>
      </c>
      <c r="K82" s="23">
        <f>I82-J82-L82-M82</f>
        <v/>
      </c>
      <c r="L82" s="23">
        <f>COUNTIFS('Chart Register'!$C$5:$C$1004,$B82,'Chart Register'!$N$5:$N$1004,"On hold")</f>
        <v/>
      </c>
      <c r="M82" s="23">
        <f>COUNTIFS('Chart Register'!$C$5:$C$1004,$B82,'Chart Register'!$N$5:$N$1004,"Retired")</f>
        <v/>
      </c>
      <c r="N82" s="35">
        <f>IF($H82=0,"NA",J82/$H82)</f>
        <v/>
      </c>
      <c r="O82" s="23">
        <f>$H82-J82</f>
        <v/>
      </c>
      <c r="P82" s="33">
        <f>IF($H82=0,"NA",IF(J82&gt;=$H82,"Complete",IF(J82/$H82&gt;='Schedule Model'!$C$8,"At or above threshold","BELOW THRESHOLD — source now")))</f>
        <v/>
      </c>
      <c r="Q82" s="29">
        <f>IF('Schedule Model'!$G$16="NA","NA",INT('Schedule Model'!$C$5+0.098485*'Schedule Model'!$G$16*7))</f>
        <v/>
      </c>
      <c r="R82" s="23">
        <f>IF(OR($H82=0,NOT(ISNUMBER(Q82))),"NA",IF(J82&gt;=$H82,"On target",IF(TODAY()&lt;=Q82,"Not yet due",TODAY()-Q82)))</f>
        <v/>
      </c>
      <c r="S82" s="23">
        <f>COUNTIFS('Issues Log'!$D$5:$D$504,$B82,'Issues Log'!$K$5:$K$504,"Open")+COUNTIFS('Issues Log'!$D$5:$D$504,$B82,'Issues Log'!$K$5:$K$504,"In progress")</f>
        <v/>
      </c>
    </row>
    <row r="83" ht="26" customHeight="1">
      <c r="A83" s="23" t="inlineStr">
        <is>
          <t>SDS</t>
        </is>
      </c>
      <c r="B83" s="31" t="inlineStr">
        <is>
          <t>SDS-02</t>
        </is>
      </c>
      <c r="C83" s="32" t="inlineStr">
        <is>
          <t>Hand and foot procedures</t>
        </is>
      </c>
      <c r="D83" s="33" t="inlineStr">
        <is>
          <t>Orthopaedics</t>
        </is>
      </c>
      <c r="E83" s="36" t="inlineStr">
        <is>
          <t>P2</t>
        </is>
      </c>
      <c r="F83" s="33" t="inlineStr">
        <is>
          <t>Moderate-led</t>
        </is>
      </c>
      <c r="G83" s="33" t="inlineStr">
        <is>
          <t>C8 Foundation</t>
        </is>
      </c>
      <c r="H83" s="31" t="n">
        <v>11</v>
      </c>
      <c r="I83" s="23">
        <f>COUNTIFS('Chart Register'!$C$5:$C$1004,$B83)</f>
        <v/>
      </c>
      <c r="J83" s="23">
        <f>COUNTIFS('Chart Register'!$C$5:$C$1004,$B83,'Chart Register'!$N$5:$N$1004,"Live")</f>
        <v/>
      </c>
      <c r="K83" s="23">
        <f>I83-J83-L83-M83</f>
        <v/>
      </c>
      <c r="L83" s="23">
        <f>COUNTIFS('Chart Register'!$C$5:$C$1004,$B83,'Chart Register'!$N$5:$N$1004,"On hold")</f>
        <v/>
      </c>
      <c r="M83" s="23">
        <f>COUNTIFS('Chart Register'!$C$5:$C$1004,$B83,'Chart Register'!$N$5:$N$1004,"Retired")</f>
        <v/>
      </c>
      <c r="N83" s="35">
        <f>IF($H83=0,"NA",J83/$H83)</f>
        <v/>
      </c>
      <c r="O83" s="23">
        <f>$H83-J83</f>
        <v/>
      </c>
      <c r="P83" s="33">
        <f>IF($H83=0,"NA",IF(J83&gt;=$H83,"Complete",IF(J83/$H83&gt;='Schedule Model'!$C$8,"At or above threshold","BELOW THRESHOLD — source now")))</f>
        <v/>
      </c>
      <c r="Q83" s="29">
        <f>IF('Schedule Model'!$G$16="NA","NA",INT('Schedule Model'!$C$5+0.181818*'Schedule Model'!$G$16*7))</f>
        <v/>
      </c>
      <c r="R83" s="23">
        <f>IF(OR($H83=0,NOT(ISNUMBER(Q83))),"NA",IF(J83&gt;=$H83,"On target",IF(TODAY()&lt;=Q83,"Not yet due",TODAY()-Q83)))</f>
        <v/>
      </c>
      <c r="S83" s="23">
        <f>COUNTIFS('Issues Log'!$D$5:$D$504,$B83,'Issues Log'!$K$5:$K$504,"Open")+COUNTIFS('Issues Log'!$D$5:$D$504,$B83,'Issues Log'!$K$5:$K$504,"In progress")</f>
        <v/>
      </c>
    </row>
    <row r="84" ht="26" customHeight="1">
      <c r="A84" s="23" t="inlineStr">
        <is>
          <t>SDS</t>
        </is>
      </c>
      <c r="B84" s="31" t="inlineStr">
        <is>
          <t>SDS-03</t>
        </is>
      </c>
      <c r="C84" s="32" t="inlineStr">
        <is>
          <t>Fracture care and hardware removal</t>
        </is>
      </c>
      <c r="D84" s="33" t="inlineStr">
        <is>
          <t>Orthopaedics</t>
        </is>
      </c>
      <c r="E84" s="36" t="inlineStr">
        <is>
          <t>P2</t>
        </is>
      </c>
      <c r="F84" s="33" t="inlineStr">
        <is>
          <t>Moderate-led</t>
        </is>
      </c>
      <c r="G84" s="33" t="inlineStr">
        <is>
          <t>C8 Foundation</t>
        </is>
      </c>
      <c r="H84" s="31" t="n">
        <v>9</v>
      </c>
      <c r="I84" s="23">
        <f>COUNTIFS('Chart Register'!$C$5:$C$1004,$B84)</f>
        <v/>
      </c>
      <c r="J84" s="23">
        <f>COUNTIFS('Chart Register'!$C$5:$C$1004,$B84,'Chart Register'!$N$5:$N$1004,"Live")</f>
        <v/>
      </c>
      <c r="K84" s="23">
        <f>I84-J84-L84-M84</f>
        <v/>
      </c>
      <c r="L84" s="23">
        <f>COUNTIFS('Chart Register'!$C$5:$C$1004,$B84,'Chart Register'!$N$5:$N$1004,"On hold")</f>
        <v/>
      </c>
      <c r="M84" s="23">
        <f>COUNTIFS('Chart Register'!$C$5:$C$1004,$B84,'Chart Register'!$N$5:$N$1004,"Retired")</f>
        <v/>
      </c>
      <c r="N84" s="35">
        <f>IF($H84=0,"NA",J84/$H84)</f>
        <v/>
      </c>
      <c r="O84" s="23">
        <f>$H84-J84</f>
        <v/>
      </c>
      <c r="P84" s="33">
        <f>IF($H84=0,"NA",IF(J84&gt;=$H84,"Complete",IF(J84/$H84&gt;='Schedule Model'!$C$8,"At or above threshold","BELOW THRESHOLD — source now")))</f>
        <v/>
      </c>
      <c r="Q84" s="29">
        <f>IF('Schedule Model'!$G$16="NA","NA",INT('Schedule Model'!$C$5+0.25*'Schedule Model'!$G$16*7))</f>
        <v/>
      </c>
      <c r="R84" s="23">
        <f>IF(OR($H84=0,NOT(ISNUMBER(Q84))),"NA",IF(J84&gt;=$H84,"On target",IF(TODAY()&lt;=Q84,"Not yet due",TODAY()-Q84)))</f>
        <v/>
      </c>
      <c r="S84" s="23">
        <f>COUNTIFS('Issues Log'!$D$5:$D$504,$B84,'Issues Log'!$K$5:$K$504,"Open")+COUNTIFS('Issues Log'!$D$5:$D$504,$B84,'Issues Log'!$K$5:$K$504,"In progress")</f>
        <v/>
      </c>
    </row>
    <row r="85" ht="26" customHeight="1">
      <c r="A85" s="23" t="inlineStr">
        <is>
          <t>SDS</t>
        </is>
      </c>
      <c r="B85" s="31" t="inlineStr">
        <is>
          <t>SDS-04</t>
        </is>
      </c>
      <c r="C85" s="32" t="inlineStr">
        <is>
          <t>Screening versus diagnostic colonoscopy</t>
        </is>
      </c>
      <c r="D85" s="33" t="inlineStr">
        <is>
          <t>GI / endoscopy</t>
        </is>
      </c>
      <c r="E85" s="36" t="inlineStr">
        <is>
          <t>P2</t>
        </is>
      </c>
      <c r="F85" s="33" t="inlineStr">
        <is>
          <t>Moderate-led</t>
        </is>
      </c>
      <c r="G85" s="33" t="inlineStr">
        <is>
          <t>C7 Denial trends</t>
        </is>
      </c>
      <c r="H85" s="31" t="n">
        <v>13</v>
      </c>
      <c r="I85" s="23">
        <f>COUNTIFS('Chart Register'!$C$5:$C$1004,$B85)</f>
        <v/>
      </c>
      <c r="J85" s="23">
        <f>COUNTIFS('Chart Register'!$C$5:$C$1004,$B85,'Chart Register'!$N$5:$N$1004,"Live")</f>
        <v/>
      </c>
      <c r="K85" s="23">
        <f>I85-J85-L85-M85</f>
        <v/>
      </c>
      <c r="L85" s="23">
        <f>COUNTIFS('Chart Register'!$C$5:$C$1004,$B85,'Chart Register'!$N$5:$N$1004,"On hold")</f>
        <v/>
      </c>
      <c r="M85" s="23">
        <f>COUNTIFS('Chart Register'!$C$5:$C$1004,$B85,'Chart Register'!$N$5:$N$1004,"Retired")</f>
        <v/>
      </c>
      <c r="N85" s="35">
        <f>IF($H85=0,"NA",J85/$H85)</f>
        <v/>
      </c>
      <c r="O85" s="23">
        <f>$H85-J85</f>
        <v/>
      </c>
      <c r="P85" s="33">
        <f>IF($H85=0,"NA",IF(J85&gt;=$H85,"Complete",IF(J85/$H85&gt;='Schedule Model'!$C$8,"At or above threshold","BELOW THRESHOLD — source now")))</f>
        <v/>
      </c>
      <c r="Q85" s="29">
        <f>IF('Schedule Model'!$G$16="NA","NA",INT('Schedule Model'!$C$5+0.348485*'Schedule Model'!$G$16*7))</f>
        <v/>
      </c>
      <c r="R85" s="23">
        <f>IF(OR($H85=0,NOT(ISNUMBER(Q85))),"NA",IF(J85&gt;=$H85,"On target",IF(TODAY()&lt;=Q85,"Not yet due",TODAY()-Q85)))</f>
        <v/>
      </c>
      <c r="S85" s="23">
        <f>COUNTIFS('Issues Log'!$D$5:$D$504,$B85,'Issues Log'!$K$5:$K$504,"Open")+COUNTIFS('Issues Log'!$D$5:$D$504,$B85,'Issues Log'!$K$5:$K$504,"In progress")</f>
        <v/>
      </c>
    </row>
    <row r="86" ht="26" customHeight="1">
      <c r="A86" s="23" t="inlineStr">
        <is>
          <t>SDS</t>
        </is>
      </c>
      <c r="B86" s="31" t="inlineStr">
        <is>
          <t>SDS-05</t>
        </is>
      </c>
      <c r="C86" s="32" t="inlineStr">
        <is>
          <t>Colonoscopy with polypectomy — technique-driven coding</t>
        </is>
      </c>
      <c r="D86" s="33" t="inlineStr">
        <is>
          <t>GI / endoscopy</t>
        </is>
      </c>
      <c r="E86" s="36" t="inlineStr">
        <is>
          <t>P2</t>
        </is>
      </c>
      <c r="F86" s="33" t="inlineStr">
        <is>
          <t>Complex-led</t>
        </is>
      </c>
      <c r="G86" s="33" t="inlineStr">
        <is>
          <t>C1 High error rate</t>
        </is>
      </c>
      <c r="H86" s="31" t="n">
        <v>11</v>
      </c>
      <c r="I86" s="23">
        <f>COUNTIFS('Chart Register'!$C$5:$C$1004,$B86)</f>
        <v/>
      </c>
      <c r="J86" s="23">
        <f>COUNTIFS('Chart Register'!$C$5:$C$1004,$B86,'Chart Register'!$N$5:$N$1004,"Live")</f>
        <v/>
      </c>
      <c r="K86" s="23">
        <f>I86-J86-L86-M86</f>
        <v/>
      </c>
      <c r="L86" s="23">
        <f>COUNTIFS('Chart Register'!$C$5:$C$1004,$B86,'Chart Register'!$N$5:$N$1004,"On hold")</f>
        <v/>
      </c>
      <c r="M86" s="23">
        <f>COUNTIFS('Chart Register'!$C$5:$C$1004,$B86,'Chart Register'!$N$5:$N$1004,"Retired")</f>
        <v/>
      </c>
      <c r="N86" s="35">
        <f>IF($H86=0,"NA",J86/$H86)</f>
        <v/>
      </c>
      <c r="O86" s="23">
        <f>$H86-J86</f>
        <v/>
      </c>
      <c r="P86" s="33">
        <f>IF($H86=0,"NA",IF(J86&gt;=$H86,"Complete",IF(J86/$H86&gt;='Schedule Model'!$C$8,"At or above threshold","BELOW THRESHOLD — source now")))</f>
        <v/>
      </c>
      <c r="Q86" s="29">
        <f>IF('Schedule Model'!$G$16="NA","NA",INT('Schedule Model'!$C$5+0.431818*'Schedule Model'!$G$16*7))</f>
        <v/>
      </c>
      <c r="R86" s="23">
        <f>IF(OR($H86=0,NOT(ISNUMBER(Q86))),"NA",IF(J86&gt;=$H86,"On target",IF(TODAY()&lt;=Q86,"Not yet due",TODAY()-Q86)))</f>
        <v/>
      </c>
      <c r="S86" s="23">
        <f>COUNTIFS('Issues Log'!$D$5:$D$504,$B86,'Issues Log'!$K$5:$K$504,"Open")+COUNTIFS('Issues Log'!$D$5:$D$504,$B86,'Issues Log'!$K$5:$K$504,"In progress")</f>
        <v/>
      </c>
    </row>
    <row r="87" ht="26" customHeight="1">
      <c r="A87" s="23" t="inlineStr">
        <is>
          <t>SDS</t>
        </is>
      </c>
      <c r="B87" s="31" t="inlineStr">
        <is>
          <t>SDS-06</t>
        </is>
      </c>
      <c r="C87" s="32" t="inlineStr">
        <is>
          <t>EGD and combined upper and lower endoscopy</t>
        </is>
      </c>
      <c r="D87" s="33" t="inlineStr">
        <is>
          <t>GI / endoscopy</t>
        </is>
      </c>
      <c r="E87" s="36" t="inlineStr">
        <is>
          <t>P2</t>
        </is>
      </c>
      <c r="F87" s="33" t="inlineStr">
        <is>
          <t>Moderate-led</t>
        </is>
      </c>
      <c r="G87" s="33" t="inlineStr">
        <is>
          <t>C8 Foundation</t>
        </is>
      </c>
      <c r="H87" s="31" t="n">
        <v>9</v>
      </c>
      <c r="I87" s="23">
        <f>COUNTIFS('Chart Register'!$C$5:$C$1004,$B87)</f>
        <v/>
      </c>
      <c r="J87" s="23">
        <f>COUNTIFS('Chart Register'!$C$5:$C$1004,$B87,'Chart Register'!$N$5:$N$1004,"Live")</f>
        <v/>
      </c>
      <c r="K87" s="23">
        <f>I87-J87-L87-M87</f>
        <v/>
      </c>
      <c r="L87" s="23">
        <f>COUNTIFS('Chart Register'!$C$5:$C$1004,$B87,'Chart Register'!$N$5:$N$1004,"On hold")</f>
        <v/>
      </c>
      <c r="M87" s="23">
        <f>COUNTIFS('Chart Register'!$C$5:$C$1004,$B87,'Chart Register'!$N$5:$N$1004,"Retired")</f>
        <v/>
      </c>
      <c r="N87" s="35">
        <f>IF($H87=0,"NA",J87/$H87)</f>
        <v/>
      </c>
      <c r="O87" s="23">
        <f>$H87-J87</f>
        <v/>
      </c>
      <c r="P87" s="33">
        <f>IF($H87=0,"NA",IF(J87&gt;=$H87,"Complete",IF(J87/$H87&gt;='Schedule Model'!$C$8,"At or above threshold","BELOW THRESHOLD — source now")))</f>
        <v/>
      </c>
      <c r="Q87" s="29">
        <f>IF('Schedule Model'!$G$16="NA","NA",INT('Schedule Model'!$C$5+0.5*'Schedule Model'!$G$16*7))</f>
        <v/>
      </c>
      <c r="R87" s="23">
        <f>IF(OR($H87=0,NOT(ISNUMBER(Q87))),"NA",IF(J87&gt;=$H87,"On target",IF(TODAY()&lt;=Q87,"Not yet due",TODAY()-Q87)))</f>
        <v/>
      </c>
      <c r="S87" s="23">
        <f>COUNTIFS('Issues Log'!$D$5:$D$504,$B87,'Issues Log'!$K$5:$K$504,"Open")+COUNTIFS('Issues Log'!$D$5:$D$504,$B87,'Issues Log'!$K$5:$K$504,"In progress")</f>
        <v/>
      </c>
    </row>
    <row r="88" ht="26" customHeight="1">
      <c r="A88" s="23" t="inlineStr">
        <is>
          <t>SDS</t>
        </is>
      </c>
      <c r="B88" s="31" t="inlineStr">
        <is>
          <t>SDS-07</t>
        </is>
      </c>
      <c r="C88" s="32" t="inlineStr">
        <is>
          <t>Cataract extraction with IOL</t>
        </is>
      </c>
      <c r="D88" s="33" t="inlineStr">
        <is>
          <t>Ophthalmology</t>
        </is>
      </c>
      <c r="E88" s="36" t="inlineStr">
        <is>
          <t>P2</t>
        </is>
      </c>
      <c r="F88" s="33" t="inlineStr">
        <is>
          <t>Basic-led</t>
        </is>
      </c>
      <c r="G88" s="33" t="inlineStr">
        <is>
          <t>C8 Foundation</t>
        </is>
      </c>
      <c r="H88" s="31" t="n">
        <v>11</v>
      </c>
      <c r="I88" s="23">
        <f>COUNTIFS('Chart Register'!$C$5:$C$1004,$B88)</f>
        <v/>
      </c>
      <c r="J88" s="23">
        <f>COUNTIFS('Chart Register'!$C$5:$C$1004,$B88,'Chart Register'!$N$5:$N$1004,"Live")</f>
        <v/>
      </c>
      <c r="K88" s="23">
        <f>I88-J88-L88-M88</f>
        <v/>
      </c>
      <c r="L88" s="23">
        <f>COUNTIFS('Chart Register'!$C$5:$C$1004,$B88,'Chart Register'!$N$5:$N$1004,"On hold")</f>
        <v/>
      </c>
      <c r="M88" s="23">
        <f>COUNTIFS('Chart Register'!$C$5:$C$1004,$B88,'Chart Register'!$N$5:$N$1004,"Retired")</f>
        <v/>
      </c>
      <c r="N88" s="35">
        <f>IF($H88=0,"NA",J88/$H88)</f>
        <v/>
      </c>
      <c r="O88" s="23">
        <f>$H88-J88</f>
        <v/>
      </c>
      <c r="P88" s="33">
        <f>IF($H88=0,"NA",IF(J88&gt;=$H88,"Complete",IF(J88/$H88&gt;='Schedule Model'!$C$8,"At or above threshold","BELOW THRESHOLD — source now")))</f>
        <v/>
      </c>
      <c r="Q88" s="29">
        <f>IF('Schedule Model'!$G$16="NA","NA",INT('Schedule Model'!$C$5+0.583333*'Schedule Model'!$G$16*7))</f>
        <v/>
      </c>
      <c r="R88" s="23">
        <f>IF(OR($H88=0,NOT(ISNUMBER(Q88))),"NA",IF(J88&gt;=$H88,"On target",IF(TODAY()&lt;=Q88,"Not yet due",TODAY()-Q88)))</f>
        <v/>
      </c>
      <c r="S88" s="23">
        <f>COUNTIFS('Issues Log'!$D$5:$D$504,$B88,'Issues Log'!$K$5:$K$504,"Open")+COUNTIFS('Issues Log'!$D$5:$D$504,$B88,'Issues Log'!$K$5:$K$504,"In progress")</f>
        <v/>
      </c>
    </row>
    <row r="89" ht="26" customHeight="1">
      <c r="A89" s="23" t="inlineStr">
        <is>
          <t>SDS</t>
        </is>
      </c>
      <c r="B89" s="31" t="inlineStr">
        <is>
          <t>SDS-08</t>
        </is>
      </c>
      <c r="C89" s="32" t="inlineStr">
        <is>
          <t>Intravitreal injections and retinal laser</t>
        </is>
      </c>
      <c r="D89" s="33" t="inlineStr">
        <is>
          <t>Ophthalmology</t>
        </is>
      </c>
      <c r="E89" s="36" t="inlineStr">
        <is>
          <t>P2</t>
        </is>
      </c>
      <c r="F89" s="33" t="inlineStr">
        <is>
          <t>Moderate-led</t>
        </is>
      </c>
      <c r="G89" s="33" t="inlineStr">
        <is>
          <t>C7 Denial trends</t>
        </is>
      </c>
      <c r="H89" s="31" t="n">
        <v>5</v>
      </c>
      <c r="I89" s="23">
        <f>COUNTIFS('Chart Register'!$C$5:$C$1004,$B89)</f>
        <v/>
      </c>
      <c r="J89" s="23">
        <f>COUNTIFS('Chart Register'!$C$5:$C$1004,$B89,'Chart Register'!$N$5:$N$1004,"Live")</f>
        <v/>
      </c>
      <c r="K89" s="23">
        <f>I89-J89-L89-M89</f>
        <v/>
      </c>
      <c r="L89" s="23">
        <f>COUNTIFS('Chart Register'!$C$5:$C$1004,$B89,'Chart Register'!$N$5:$N$1004,"On hold")</f>
        <v/>
      </c>
      <c r="M89" s="23">
        <f>COUNTIFS('Chart Register'!$C$5:$C$1004,$B89,'Chart Register'!$N$5:$N$1004,"Retired")</f>
        <v/>
      </c>
      <c r="N89" s="35">
        <f>IF($H89=0,"NA",J89/$H89)</f>
        <v/>
      </c>
      <c r="O89" s="23">
        <f>$H89-J89</f>
        <v/>
      </c>
      <c r="P89" s="33">
        <f>IF($H89=0,"NA",IF(J89&gt;=$H89,"Complete",IF(J89/$H89&gt;='Schedule Model'!$C$8,"At or above threshold","BELOW THRESHOLD — source now")))</f>
        <v/>
      </c>
      <c r="Q89" s="29">
        <f>IF('Schedule Model'!$G$16="NA","NA",INT('Schedule Model'!$C$5+0.621212*'Schedule Model'!$G$16*7))</f>
        <v/>
      </c>
      <c r="R89" s="23">
        <f>IF(OR($H89=0,NOT(ISNUMBER(Q89))),"NA",IF(J89&gt;=$H89,"On target",IF(TODAY()&lt;=Q89,"Not yet due",TODAY()-Q89)))</f>
        <v/>
      </c>
      <c r="S89" s="23">
        <f>COUNTIFS('Issues Log'!$D$5:$D$504,$B89,'Issues Log'!$K$5:$K$504,"Open")+COUNTIFS('Issues Log'!$D$5:$D$504,$B89,'Issues Log'!$K$5:$K$504,"In progress")</f>
        <v/>
      </c>
    </row>
    <row r="90" ht="26" customHeight="1">
      <c r="A90" s="23" t="inlineStr">
        <is>
          <t>SDS</t>
        </is>
      </c>
      <c r="B90" s="31" t="inlineStr">
        <is>
          <t>SDS-10</t>
        </is>
      </c>
      <c r="C90" s="32" t="inlineStr">
        <is>
          <t>Epidural and facet joint injections</t>
        </is>
      </c>
      <c r="D90" s="33" t="inlineStr">
        <is>
          <t>Pain management</t>
        </is>
      </c>
      <c r="E90" s="36" t="inlineStr">
        <is>
          <t>P2</t>
        </is>
      </c>
      <c r="F90" s="33" t="inlineStr">
        <is>
          <t>Complex-led</t>
        </is>
      </c>
      <c r="G90" s="33" t="inlineStr">
        <is>
          <t>C1 High error rate</t>
        </is>
      </c>
      <c r="H90" s="31" t="n">
        <v>11</v>
      </c>
      <c r="I90" s="23">
        <f>COUNTIFS('Chart Register'!$C$5:$C$1004,$B90)</f>
        <v/>
      </c>
      <c r="J90" s="23">
        <f>COUNTIFS('Chart Register'!$C$5:$C$1004,$B90,'Chart Register'!$N$5:$N$1004,"Live")</f>
        <v/>
      </c>
      <c r="K90" s="23">
        <f>I90-J90-L90-M90</f>
        <v/>
      </c>
      <c r="L90" s="23">
        <f>COUNTIFS('Chart Register'!$C$5:$C$1004,$B90,'Chart Register'!$N$5:$N$1004,"On hold")</f>
        <v/>
      </c>
      <c r="M90" s="23">
        <f>COUNTIFS('Chart Register'!$C$5:$C$1004,$B90,'Chart Register'!$N$5:$N$1004,"Retired")</f>
        <v/>
      </c>
      <c r="N90" s="35">
        <f>IF($H90=0,"NA",J90/$H90)</f>
        <v/>
      </c>
      <c r="O90" s="23">
        <f>$H90-J90</f>
        <v/>
      </c>
      <c r="P90" s="33">
        <f>IF($H90=0,"NA",IF(J90&gt;=$H90,"Complete",IF(J90/$H90&gt;='Schedule Model'!$C$8,"At or above threshold","BELOW THRESHOLD — source now")))</f>
        <v/>
      </c>
      <c r="Q90" s="29">
        <f>IF('Schedule Model'!$G$16="NA","NA",INT('Schedule Model'!$C$5+0.704545*'Schedule Model'!$G$16*7))</f>
        <v/>
      </c>
      <c r="R90" s="23">
        <f>IF(OR($H90=0,NOT(ISNUMBER(Q90))),"NA",IF(J90&gt;=$H90,"On target",IF(TODAY()&lt;=Q90,"Not yet due",TODAY()-Q90)))</f>
        <v/>
      </c>
      <c r="S90" s="23">
        <f>COUNTIFS('Issues Log'!$D$5:$D$504,$B90,'Issues Log'!$K$5:$K$504,"Open")+COUNTIFS('Issues Log'!$D$5:$D$504,$B90,'Issues Log'!$K$5:$K$504,"In progress")</f>
        <v/>
      </c>
    </row>
    <row r="91" ht="26" customHeight="1">
      <c r="A91" s="23" t="inlineStr">
        <is>
          <t>SDS</t>
        </is>
      </c>
      <c r="B91" s="31" t="inlineStr">
        <is>
          <t>SDS-11</t>
        </is>
      </c>
      <c r="C91" s="32" t="inlineStr">
        <is>
          <t>Radiofrequency ablation and nerve blocks</t>
        </is>
      </c>
      <c r="D91" s="33" t="inlineStr">
        <is>
          <t>Pain management</t>
        </is>
      </c>
      <c r="E91" s="36" t="inlineStr">
        <is>
          <t>P2</t>
        </is>
      </c>
      <c r="F91" s="33" t="inlineStr">
        <is>
          <t>Complex-led</t>
        </is>
      </c>
      <c r="G91" s="33" t="inlineStr">
        <is>
          <t>C7 Denial trends</t>
        </is>
      </c>
      <c r="H91" s="31" t="n">
        <v>9</v>
      </c>
      <c r="I91" s="23">
        <f>COUNTIFS('Chart Register'!$C$5:$C$1004,$B91)</f>
        <v/>
      </c>
      <c r="J91" s="23">
        <f>COUNTIFS('Chart Register'!$C$5:$C$1004,$B91,'Chart Register'!$N$5:$N$1004,"Live")</f>
        <v/>
      </c>
      <c r="K91" s="23">
        <f>I91-J91-L91-M91</f>
        <v/>
      </c>
      <c r="L91" s="23">
        <f>COUNTIFS('Chart Register'!$C$5:$C$1004,$B91,'Chart Register'!$N$5:$N$1004,"On hold")</f>
        <v/>
      </c>
      <c r="M91" s="23">
        <f>COUNTIFS('Chart Register'!$C$5:$C$1004,$B91,'Chart Register'!$N$5:$N$1004,"Retired")</f>
        <v/>
      </c>
      <c r="N91" s="35">
        <f>IF($H91=0,"NA",J91/$H91)</f>
        <v/>
      </c>
      <c r="O91" s="23">
        <f>$H91-J91</f>
        <v/>
      </c>
      <c r="P91" s="33">
        <f>IF($H91=0,"NA",IF(J91&gt;=$H91,"Complete",IF(J91/$H91&gt;='Schedule Model'!$C$8,"At or above threshold","BELOW THRESHOLD — source now")))</f>
        <v/>
      </c>
      <c r="Q91" s="29">
        <f>IF('Schedule Model'!$G$16="NA","NA",INT('Schedule Model'!$C$5+0.772727*'Schedule Model'!$G$16*7))</f>
        <v/>
      </c>
      <c r="R91" s="23">
        <f>IF(OR($H91=0,NOT(ISNUMBER(Q91))),"NA",IF(J91&gt;=$H91,"On target",IF(TODAY()&lt;=Q91,"Not yet due",TODAY()-Q91)))</f>
        <v/>
      </c>
      <c r="S91" s="23">
        <f>COUNTIFS('Issues Log'!$D$5:$D$504,$B91,'Issues Log'!$K$5:$K$504,"Open")+COUNTIFS('Issues Log'!$D$5:$D$504,$B91,'Issues Log'!$K$5:$K$504,"In progress")</f>
        <v/>
      </c>
    </row>
    <row r="92" ht="26" customHeight="1">
      <c r="A92" s="23" t="inlineStr">
        <is>
          <t>SDS</t>
        </is>
      </c>
      <c r="B92" s="31" t="inlineStr">
        <is>
          <t>SDS-12</t>
        </is>
      </c>
      <c r="C92" s="32" t="inlineStr">
        <is>
          <t>General surgery — hernia repair, cholecystectomy, excisions</t>
        </is>
      </c>
      <c r="D92" s="33" t="inlineStr">
        <is>
          <t>Other surgical</t>
        </is>
      </c>
      <c r="E92" s="36" t="inlineStr">
        <is>
          <t>P2</t>
        </is>
      </c>
      <c r="F92" s="33" t="inlineStr">
        <is>
          <t>Moderate-led</t>
        </is>
      </c>
      <c r="G92" s="33" t="inlineStr">
        <is>
          <t>C8 Foundation</t>
        </is>
      </c>
      <c r="H92" s="31" t="n">
        <v>9</v>
      </c>
      <c r="I92" s="23">
        <f>COUNTIFS('Chart Register'!$C$5:$C$1004,$B92)</f>
        <v/>
      </c>
      <c r="J92" s="23">
        <f>COUNTIFS('Chart Register'!$C$5:$C$1004,$B92,'Chart Register'!$N$5:$N$1004,"Live")</f>
        <v/>
      </c>
      <c r="K92" s="23">
        <f>I92-J92-L92-M92</f>
        <v/>
      </c>
      <c r="L92" s="23">
        <f>COUNTIFS('Chart Register'!$C$5:$C$1004,$B92,'Chart Register'!$N$5:$N$1004,"On hold")</f>
        <v/>
      </c>
      <c r="M92" s="23">
        <f>COUNTIFS('Chart Register'!$C$5:$C$1004,$B92,'Chart Register'!$N$5:$N$1004,"Retired")</f>
        <v/>
      </c>
      <c r="N92" s="35">
        <f>IF($H92=0,"NA",J92/$H92)</f>
        <v/>
      </c>
      <c r="O92" s="23">
        <f>$H92-J92</f>
        <v/>
      </c>
      <c r="P92" s="33">
        <f>IF($H92=0,"NA",IF(J92&gt;=$H92,"Complete",IF(J92/$H92&gt;='Schedule Model'!$C$8,"At or above threshold","BELOW THRESHOLD — source now")))</f>
        <v/>
      </c>
      <c r="Q92" s="29">
        <f>IF('Schedule Model'!$G$16="NA","NA",INT('Schedule Model'!$C$5+0.840909*'Schedule Model'!$G$16*7))</f>
        <v/>
      </c>
      <c r="R92" s="23">
        <f>IF(OR($H92=0,NOT(ISNUMBER(Q92))),"NA",IF(J92&gt;=$H92,"On target",IF(TODAY()&lt;=Q92,"Not yet due",TODAY()-Q92)))</f>
        <v/>
      </c>
      <c r="S92" s="23">
        <f>COUNTIFS('Issues Log'!$D$5:$D$504,$B92,'Issues Log'!$K$5:$K$504,"Open")+COUNTIFS('Issues Log'!$D$5:$D$504,$B92,'Issues Log'!$K$5:$K$504,"In progress")</f>
        <v/>
      </c>
    </row>
    <row r="93" ht="26" customHeight="1">
      <c r="A93" s="23" t="inlineStr">
        <is>
          <t>SDS</t>
        </is>
      </c>
      <c r="B93" s="31" t="inlineStr">
        <is>
          <t>SDS-13</t>
        </is>
      </c>
      <c r="C93" s="32" t="inlineStr">
        <is>
          <t>Gynaecology — hysteroscopy, D&amp;C, laparoscopy</t>
        </is>
      </c>
      <c r="D93" s="33" t="inlineStr">
        <is>
          <t>Other surgical</t>
        </is>
      </c>
      <c r="E93" s="36" t="inlineStr">
        <is>
          <t>P2</t>
        </is>
      </c>
      <c r="F93" s="33" t="inlineStr">
        <is>
          <t>Moderate-led</t>
        </is>
      </c>
      <c r="G93" s="33" t="inlineStr">
        <is>
          <t>C8 Foundation</t>
        </is>
      </c>
      <c r="H93" s="31" t="n">
        <v>7</v>
      </c>
      <c r="I93" s="23">
        <f>COUNTIFS('Chart Register'!$C$5:$C$1004,$B93)</f>
        <v/>
      </c>
      <c r="J93" s="23">
        <f>COUNTIFS('Chart Register'!$C$5:$C$1004,$B93,'Chart Register'!$N$5:$N$1004,"Live")</f>
        <v/>
      </c>
      <c r="K93" s="23">
        <f>I93-J93-L93-M93</f>
        <v/>
      </c>
      <c r="L93" s="23">
        <f>COUNTIFS('Chart Register'!$C$5:$C$1004,$B93,'Chart Register'!$N$5:$N$1004,"On hold")</f>
        <v/>
      </c>
      <c r="M93" s="23">
        <f>COUNTIFS('Chart Register'!$C$5:$C$1004,$B93,'Chart Register'!$N$5:$N$1004,"Retired")</f>
        <v/>
      </c>
      <c r="N93" s="35">
        <f>IF($H93=0,"NA",J93/$H93)</f>
        <v/>
      </c>
      <c r="O93" s="23">
        <f>$H93-J93</f>
        <v/>
      </c>
      <c r="P93" s="33">
        <f>IF($H93=0,"NA",IF(J93&gt;=$H93,"Complete",IF(J93/$H93&gt;='Schedule Model'!$C$8,"At or above threshold","BELOW THRESHOLD — source now")))</f>
        <v/>
      </c>
      <c r="Q93" s="29">
        <f>IF('Schedule Model'!$G$16="NA","NA",INT('Schedule Model'!$C$5+0.893939*'Schedule Model'!$G$16*7))</f>
        <v/>
      </c>
      <c r="R93" s="23">
        <f>IF(OR($H93=0,NOT(ISNUMBER(Q93))),"NA",IF(J93&gt;=$H93,"On target",IF(TODAY()&lt;=Q93,"Not yet due",TODAY()-Q93)))</f>
        <v/>
      </c>
      <c r="S93" s="23">
        <f>COUNTIFS('Issues Log'!$D$5:$D$504,$B93,'Issues Log'!$K$5:$K$504,"Open")+COUNTIFS('Issues Log'!$D$5:$D$504,$B93,'Issues Log'!$K$5:$K$504,"In progress")</f>
        <v/>
      </c>
    </row>
    <row r="94" ht="26" customHeight="1">
      <c r="A94" s="23" t="inlineStr">
        <is>
          <t>SDS</t>
        </is>
      </c>
      <c r="B94" s="31" t="inlineStr">
        <is>
          <t>SDS-15</t>
        </is>
      </c>
      <c r="C94" s="32" t="inlineStr">
        <is>
          <t>Urology — cystoscopy, TURP, stone procedures</t>
        </is>
      </c>
      <c r="D94" s="33" t="inlineStr">
        <is>
          <t>Other surgical</t>
        </is>
      </c>
      <c r="E94" s="36" t="inlineStr">
        <is>
          <t>P2</t>
        </is>
      </c>
      <c r="F94" s="33" t="inlineStr">
        <is>
          <t>Moderate-led</t>
        </is>
      </c>
      <c r="G94" s="33" t="inlineStr">
        <is>
          <t>C8 Foundation</t>
        </is>
      </c>
      <c r="H94" s="31" t="n">
        <v>5</v>
      </c>
      <c r="I94" s="23">
        <f>COUNTIFS('Chart Register'!$C$5:$C$1004,$B94)</f>
        <v/>
      </c>
      <c r="J94" s="23">
        <f>COUNTIFS('Chart Register'!$C$5:$C$1004,$B94,'Chart Register'!$N$5:$N$1004,"Live")</f>
        <v/>
      </c>
      <c r="K94" s="23">
        <f>I94-J94-L94-M94</f>
        <v/>
      </c>
      <c r="L94" s="23">
        <f>COUNTIFS('Chart Register'!$C$5:$C$1004,$B94,'Chart Register'!$N$5:$N$1004,"On hold")</f>
        <v/>
      </c>
      <c r="M94" s="23">
        <f>COUNTIFS('Chart Register'!$C$5:$C$1004,$B94,'Chart Register'!$N$5:$N$1004,"Retired")</f>
        <v/>
      </c>
      <c r="N94" s="35">
        <f>IF($H94=0,"NA",J94/$H94)</f>
        <v/>
      </c>
      <c r="O94" s="23">
        <f>$H94-J94</f>
        <v/>
      </c>
      <c r="P94" s="33">
        <f>IF($H94=0,"NA",IF(J94&gt;=$H94,"Complete",IF(J94/$H94&gt;='Schedule Model'!$C$8,"At or above threshold","BELOW THRESHOLD — source now")))</f>
        <v/>
      </c>
      <c r="Q94" s="29">
        <f>IF('Schedule Model'!$G$16="NA","NA",INT('Schedule Model'!$C$5+0.931818*'Schedule Model'!$G$16*7))</f>
        <v/>
      </c>
      <c r="R94" s="23">
        <f>IF(OR($H94=0,NOT(ISNUMBER(Q94))),"NA",IF(J94&gt;=$H94,"On target",IF(TODAY()&lt;=Q94,"Not yet due",TODAY()-Q94)))</f>
        <v/>
      </c>
      <c r="S94" s="23">
        <f>COUNTIFS('Issues Log'!$D$5:$D$504,$B94,'Issues Log'!$K$5:$K$504,"Open")+COUNTIFS('Issues Log'!$D$5:$D$504,$B94,'Issues Log'!$K$5:$K$504,"In progress")</f>
        <v/>
      </c>
    </row>
    <row r="95" ht="26" customHeight="1">
      <c r="A95" s="23" t="inlineStr">
        <is>
          <t>SDS</t>
        </is>
      </c>
      <c r="B95" s="31" t="inlineStr">
        <is>
          <t>SDS-09</t>
        </is>
      </c>
      <c r="C95" s="32" t="inlineStr">
        <is>
          <t>Oculoplastic and other eye procedures</t>
        </is>
      </c>
      <c r="D95" s="33" t="inlineStr">
        <is>
          <t>Ophthalmology</t>
        </is>
      </c>
      <c r="E95" s="37" t="inlineStr">
        <is>
          <t>P3</t>
        </is>
      </c>
      <c r="F95" s="33" t="inlineStr">
        <is>
          <t>Complex-led</t>
        </is>
      </c>
      <c r="G95" s="33" t="inlineStr">
        <is>
          <t>C7 Denial trends</t>
        </is>
      </c>
      <c r="H95" s="31" t="n">
        <v>4</v>
      </c>
      <c r="I95" s="23">
        <f>COUNTIFS('Chart Register'!$C$5:$C$1004,$B95)</f>
        <v/>
      </c>
      <c r="J95" s="23">
        <f>COUNTIFS('Chart Register'!$C$5:$C$1004,$B95,'Chart Register'!$N$5:$N$1004,"Live")</f>
        <v/>
      </c>
      <c r="K95" s="23">
        <f>I95-J95-L95-M95</f>
        <v/>
      </c>
      <c r="L95" s="23">
        <f>COUNTIFS('Chart Register'!$C$5:$C$1004,$B95,'Chart Register'!$N$5:$N$1004,"On hold")</f>
        <v/>
      </c>
      <c r="M95" s="23">
        <f>COUNTIFS('Chart Register'!$C$5:$C$1004,$B95,'Chart Register'!$N$5:$N$1004,"Retired")</f>
        <v/>
      </c>
      <c r="N95" s="35">
        <f>IF($H95=0,"NA",J95/$H95)</f>
        <v/>
      </c>
      <c r="O95" s="23">
        <f>$H95-J95</f>
        <v/>
      </c>
      <c r="P95" s="33">
        <f>IF($H95=0,"NA",IF(J95&gt;=$H95,"Complete",IF(J95/$H95&gt;='Schedule Model'!$C$8,"At or above threshold","BELOW THRESHOLD — source now")))</f>
        <v/>
      </c>
      <c r="Q95" s="29">
        <f>IF('Schedule Model'!$G$16="NA","NA",INT('Schedule Model'!$C$5+0.962121*'Schedule Model'!$G$16*7))</f>
        <v/>
      </c>
      <c r="R95" s="23">
        <f>IF(OR($H95=0,NOT(ISNUMBER(Q95))),"NA",IF(J95&gt;=$H95,"On target",IF(TODAY()&lt;=Q95,"Not yet due",TODAY()-Q95)))</f>
        <v/>
      </c>
      <c r="S95" s="23">
        <f>COUNTIFS('Issues Log'!$D$5:$D$504,$B95,'Issues Log'!$K$5:$K$504,"Open")+COUNTIFS('Issues Log'!$D$5:$D$504,$B95,'Issues Log'!$K$5:$K$504,"In progress")</f>
        <v/>
      </c>
    </row>
    <row r="96" ht="26" customHeight="1">
      <c r="A96" s="23" t="inlineStr">
        <is>
          <t>SDS</t>
        </is>
      </c>
      <c r="B96" s="31" t="inlineStr">
        <is>
          <t>SDS-14</t>
        </is>
      </c>
      <c r="C96" s="32" t="inlineStr">
        <is>
          <t>ENT — tonsillectomy, sinus surgery, myringotomy</t>
        </is>
      </c>
      <c r="D96" s="33" t="inlineStr">
        <is>
          <t>Other surgical</t>
        </is>
      </c>
      <c r="E96" s="37" t="inlineStr">
        <is>
          <t>P3</t>
        </is>
      </c>
      <c r="F96" s="33" t="inlineStr">
        <is>
          <t>Moderate-led</t>
        </is>
      </c>
      <c r="G96" s="33" t="inlineStr">
        <is>
          <t>C8 Foundation</t>
        </is>
      </c>
      <c r="H96" s="31" t="n">
        <v>5</v>
      </c>
      <c r="I96" s="23">
        <f>COUNTIFS('Chart Register'!$C$5:$C$1004,$B96)</f>
        <v/>
      </c>
      <c r="J96" s="23">
        <f>COUNTIFS('Chart Register'!$C$5:$C$1004,$B96,'Chart Register'!$N$5:$N$1004,"Live")</f>
        <v/>
      </c>
      <c r="K96" s="23">
        <f>I96-J96-L96-M96</f>
        <v/>
      </c>
      <c r="L96" s="23">
        <f>COUNTIFS('Chart Register'!$C$5:$C$1004,$B96,'Chart Register'!$N$5:$N$1004,"On hold")</f>
        <v/>
      </c>
      <c r="M96" s="23">
        <f>COUNTIFS('Chart Register'!$C$5:$C$1004,$B96,'Chart Register'!$N$5:$N$1004,"Retired")</f>
        <v/>
      </c>
      <c r="N96" s="35">
        <f>IF($H96=0,"NA",J96/$H96)</f>
        <v/>
      </c>
      <c r="O96" s="23">
        <f>$H96-J96</f>
        <v/>
      </c>
      <c r="P96" s="33">
        <f>IF($H96=0,"NA",IF(J96&gt;=$H96,"Complete",IF(J96/$H96&gt;='Schedule Model'!$C$8,"At or above threshold","BELOW THRESHOLD — source now")))</f>
        <v/>
      </c>
      <c r="Q96" s="29">
        <f>IF('Schedule Model'!$G$16="NA","NA",INT('Schedule Model'!$C$5+1.0*'Schedule Model'!$G$16*7))</f>
        <v/>
      </c>
      <c r="R96" s="23">
        <f>IF(OR($H96=0,NOT(ISNUMBER(Q96))),"NA",IF(J96&gt;=$H96,"On target",IF(TODAY()&lt;=Q96,"Not yet due",TODAY()-Q96)))</f>
        <v/>
      </c>
      <c r="S96" s="23">
        <f>COUNTIFS('Issues Log'!$D$5:$D$504,$B96,'Issues Log'!$K$5:$K$504,"Open")+COUNTIFS('Issues Log'!$D$5:$D$504,$B96,'Issues Log'!$K$5:$K$504,"In progress")</f>
        <v/>
      </c>
    </row>
    <row r="97" ht="26" customHeight="1">
      <c r="A97" s="23" t="inlineStr">
        <is>
          <t>Surgery</t>
        </is>
      </c>
      <c r="B97" s="31" t="inlineStr">
        <is>
          <t>SUR-01</t>
        </is>
      </c>
      <c r="C97" s="32" t="inlineStr">
        <is>
          <t>General surgery — hernia, cholecystectomy, appendectomy, bowel</t>
        </is>
      </c>
      <c r="D97" s="33" t="inlineStr">
        <is>
          <t>High-volume service lines</t>
        </is>
      </c>
      <c r="E97" s="36" t="inlineStr">
        <is>
          <t>P2</t>
        </is>
      </c>
      <c r="F97" s="33" t="inlineStr">
        <is>
          <t>Moderate-led</t>
        </is>
      </c>
      <c r="G97" s="33" t="inlineStr">
        <is>
          <t>C8 Foundation</t>
        </is>
      </c>
      <c r="H97" s="31" t="n">
        <v>54</v>
      </c>
      <c r="I97" s="23">
        <f>COUNTIFS('Chart Register'!$C$5:$C$1004,$B97)</f>
        <v/>
      </c>
      <c r="J97" s="23">
        <f>COUNTIFS('Chart Register'!$C$5:$C$1004,$B97,'Chart Register'!$N$5:$N$1004,"Live")</f>
        <v/>
      </c>
      <c r="K97" s="23">
        <f>I97-J97-L97-M97</f>
        <v/>
      </c>
      <c r="L97" s="23">
        <f>COUNTIFS('Chart Register'!$C$5:$C$1004,$B97,'Chart Register'!$N$5:$N$1004,"On hold")</f>
        <v/>
      </c>
      <c r="M97" s="23">
        <f>COUNTIFS('Chart Register'!$C$5:$C$1004,$B97,'Chart Register'!$N$5:$N$1004,"Retired")</f>
        <v/>
      </c>
      <c r="N97" s="35">
        <f>IF($H97=0,"NA",J97/$H97)</f>
        <v/>
      </c>
      <c r="O97" s="23">
        <f>$H97-J97</f>
        <v/>
      </c>
      <c r="P97" s="33">
        <f>IF($H97=0,"NA",IF(J97&gt;=$H97,"Complete",IF(J97/$H97&gt;='Schedule Model'!$C$8,"At or above threshold","BELOW THRESHOLD — source now")))</f>
        <v/>
      </c>
      <c r="Q97" s="29">
        <f>IF('Schedule Model'!$G$17="NA","NA",INT('Schedule Model'!$C$5+0.18*'Schedule Model'!$G$17*7))</f>
        <v/>
      </c>
      <c r="R97" s="23">
        <f>IF(OR($H97=0,NOT(ISNUMBER(Q97))),"NA",IF(J97&gt;=$H97,"On target",IF(TODAY()&lt;=Q97,"Not yet due",TODAY()-Q97)))</f>
        <v/>
      </c>
      <c r="S97" s="23">
        <f>COUNTIFS('Issues Log'!$D$5:$D$504,$B97,'Issues Log'!$K$5:$K$504,"Open")+COUNTIFS('Issues Log'!$D$5:$D$504,$B97,'Issues Log'!$K$5:$K$504,"In progress")</f>
        <v/>
      </c>
    </row>
    <row r="98" ht="26" customHeight="1">
      <c r="A98" s="23" t="inlineStr">
        <is>
          <t>Surgery</t>
        </is>
      </c>
      <c r="B98" s="31" t="inlineStr">
        <is>
          <t>SUR-02</t>
        </is>
      </c>
      <c r="C98" s="32" t="inlineStr">
        <is>
          <t>Orthopaedics — arthroplasty, arthroscopy, fracture fixation</t>
        </is>
      </c>
      <c r="D98" s="33" t="inlineStr">
        <is>
          <t>High-volume service lines</t>
        </is>
      </c>
      <c r="E98" s="36" t="inlineStr">
        <is>
          <t>P2</t>
        </is>
      </c>
      <c r="F98" s="33" t="inlineStr">
        <is>
          <t>Complex-led</t>
        </is>
      </c>
      <c r="G98" s="33" t="inlineStr">
        <is>
          <t>C2 High dollar value</t>
        </is>
      </c>
      <c r="H98" s="31" t="n">
        <v>54</v>
      </c>
      <c r="I98" s="23">
        <f>COUNTIFS('Chart Register'!$C$5:$C$1004,$B98)</f>
        <v/>
      </c>
      <c r="J98" s="23">
        <f>COUNTIFS('Chart Register'!$C$5:$C$1004,$B98,'Chart Register'!$N$5:$N$1004,"Live")</f>
        <v/>
      </c>
      <c r="K98" s="23">
        <f>I98-J98-L98-M98</f>
        <v/>
      </c>
      <c r="L98" s="23">
        <f>COUNTIFS('Chart Register'!$C$5:$C$1004,$B98,'Chart Register'!$N$5:$N$1004,"On hold")</f>
        <v/>
      </c>
      <c r="M98" s="23">
        <f>COUNTIFS('Chart Register'!$C$5:$C$1004,$B98,'Chart Register'!$N$5:$N$1004,"Retired")</f>
        <v/>
      </c>
      <c r="N98" s="35">
        <f>IF($H98=0,"NA",J98/$H98)</f>
        <v/>
      </c>
      <c r="O98" s="23">
        <f>$H98-J98</f>
        <v/>
      </c>
      <c r="P98" s="33">
        <f>IF($H98=0,"NA",IF(J98&gt;=$H98,"Complete",IF(J98/$H98&gt;='Schedule Model'!$C$8,"At or above threshold","BELOW THRESHOLD — source now")))</f>
        <v/>
      </c>
      <c r="Q98" s="29">
        <f>IF('Schedule Model'!$G$17="NA","NA",INT('Schedule Model'!$C$5+0.36*'Schedule Model'!$G$17*7))</f>
        <v/>
      </c>
      <c r="R98" s="23">
        <f>IF(OR($H98=0,NOT(ISNUMBER(Q98))),"NA",IF(J98&gt;=$H98,"On target",IF(TODAY()&lt;=Q98,"Not yet due",TODAY()-Q98)))</f>
        <v/>
      </c>
      <c r="S98" s="23">
        <f>COUNTIFS('Issues Log'!$D$5:$D$504,$B98,'Issues Log'!$K$5:$K$504,"Open")+COUNTIFS('Issues Log'!$D$5:$D$504,$B98,'Issues Log'!$K$5:$K$504,"In progress")</f>
        <v/>
      </c>
    </row>
    <row r="99" ht="26" customHeight="1">
      <c r="A99" s="23" t="inlineStr">
        <is>
          <t>Surgery</t>
        </is>
      </c>
      <c r="B99" s="31" t="inlineStr">
        <is>
          <t>SUR-03</t>
        </is>
      </c>
      <c r="C99" s="32" t="inlineStr">
        <is>
          <t>Cardiothoracic and vascular</t>
        </is>
      </c>
      <c r="D99" s="33" t="inlineStr">
        <is>
          <t>High-volume service lines</t>
        </is>
      </c>
      <c r="E99" s="36" t="inlineStr">
        <is>
          <t>P2</t>
        </is>
      </c>
      <c r="F99" s="33" t="inlineStr">
        <is>
          <t>Complex-led</t>
        </is>
      </c>
      <c r="G99" s="33" t="inlineStr">
        <is>
          <t>C2 High dollar value</t>
        </is>
      </c>
      <c r="H99" s="31" t="n">
        <v>30</v>
      </c>
      <c r="I99" s="23">
        <f>COUNTIFS('Chart Register'!$C$5:$C$1004,$B99)</f>
        <v/>
      </c>
      <c r="J99" s="23">
        <f>COUNTIFS('Chart Register'!$C$5:$C$1004,$B99,'Chart Register'!$N$5:$N$1004,"Live")</f>
        <v/>
      </c>
      <c r="K99" s="23">
        <f>I99-J99-L99-M99</f>
        <v/>
      </c>
      <c r="L99" s="23">
        <f>COUNTIFS('Chart Register'!$C$5:$C$1004,$B99,'Chart Register'!$N$5:$N$1004,"On hold")</f>
        <v/>
      </c>
      <c r="M99" s="23">
        <f>COUNTIFS('Chart Register'!$C$5:$C$1004,$B99,'Chart Register'!$N$5:$N$1004,"Retired")</f>
        <v/>
      </c>
      <c r="N99" s="35">
        <f>IF($H99=0,"NA",J99/$H99)</f>
        <v/>
      </c>
      <c r="O99" s="23">
        <f>$H99-J99</f>
        <v/>
      </c>
      <c r="P99" s="33">
        <f>IF($H99=0,"NA",IF(J99&gt;=$H99,"Complete",IF(J99/$H99&gt;='Schedule Model'!$C$8,"At or above threshold","BELOW THRESHOLD — source now")))</f>
        <v/>
      </c>
      <c r="Q99" s="29">
        <f>IF('Schedule Model'!$G$17="NA","NA",INT('Schedule Model'!$C$5+0.46*'Schedule Model'!$G$17*7))</f>
        <v/>
      </c>
      <c r="R99" s="23">
        <f>IF(OR($H99=0,NOT(ISNUMBER(Q99))),"NA",IF(J99&gt;=$H99,"On target",IF(TODAY()&lt;=Q99,"Not yet due",TODAY()-Q99)))</f>
        <v/>
      </c>
      <c r="S99" s="23">
        <f>COUNTIFS('Issues Log'!$D$5:$D$504,$B99,'Issues Log'!$K$5:$K$504,"Open")+COUNTIFS('Issues Log'!$D$5:$D$504,$B99,'Issues Log'!$K$5:$K$504,"In progress")</f>
        <v/>
      </c>
    </row>
    <row r="100" ht="26" customHeight="1">
      <c r="A100" s="23" t="inlineStr">
        <is>
          <t>Surgery</t>
        </is>
      </c>
      <c r="B100" s="31" t="inlineStr">
        <is>
          <t>SUR-04</t>
        </is>
      </c>
      <c r="C100" s="32" t="inlineStr">
        <is>
          <t>Neurosurgery — cranial and spine</t>
        </is>
      </c>
      <c r="D100" s="33" t="inlineStr">
        <is>
          <t>High-volume service lines</t>
        </is>
      </c>
      <c r="E100" s="36" t="inlineStr">
        <is>
          <t>P2</t>
        </is>
      </c>
      <c r="F100" s="33" t="inlineStr">
        <is>
          <t>Complex-led</t>
        </is>
      </c>
      <c r="G100" s="33" t="inlineStr">
        <is>
          <t>C2 High dollar value</t>
        </is>
      </c>
      <c r="H100" s="31" t="n">
        <v>30</v>
      </c>
      <c r="I100" s="23">
        <f>COUNTIFS('Chart Register'!$C$5:$C$1004,$B100)</f>
        <v/>
      </c>
      <c r="J100" s="23">
        <f>COUNTIFS('Chart Register'!$C$5:$C$1004,$B100,'Chart Register'!$N$5:$N$1004,"Live")</f>
        <v/>
      </c>
      <c r="K100" s="23">
        <f>I100-J100-L100-M100</f>
        <v/>
      </c>
      <c r="L100" s="23">
        <f>COUNTIFS('Chart Register'!$C$5:$C$1004,$B100,'Chart Register'!$N$5:$N$1004,"On hold")</f>
        <v/>
      </c>
      <c r="M100" s="23">
        <f>COUNTIFS('Chart Register'!$C$5:$C$1004,$B100,'Chart Register'!$N$5:$N$1004,"Retired")</f>
        <v/>
      </c>
      <c r="N100" s="35">
        <f>IF($H100=0,"NA",J100/$H100)</f>
        <v/>
      </c>
      <c r="O100" s="23">
        <f>$H100-J100</f>
        <v/>
      </c>
      <c r="P100" s="33">
        <f>IF($H100=0,"NA",IF(J100&gt;=$H100,"Complete",IF(J100/$H100&gt;='Schedule Model'!$C$8,"At or above threshold","BELOW THRESHOLD — source now")))</f>
        <v/>
      </c>
      <c r="Q100" s="29">
        <f>IF('Schedule Model'!$G$17="NA","NA",INT('Schedule Model'!$C$5+0.56*'Schedule Model'!$G$17*7))</f>
        <v/>
      </c>
      <c r="R100" s="23">
        <f>IF(OR($H100=0,NOT(ISNUMBER(Q100))),"NA",IF(J100&gt;=$H100,"On target",IF(TODAY()&lt;=Q100,"Not yet due",TODAY()-Q100)))</f>
        <v/>
      </c>
      <c r="S100" s="23">
        <f>COUNTIFS('Issues Log'!$D$5:$D$504,$B100,'Issues Log'!$K$5:$K$504,"Open")+COUNTIFS('Issues Log'!$D$5:$D$504,$B100,'Issues Log'!$K$5:$K$504,"In progress")</f>
        <v/>
      </c>
    </row>
    <row r="101" ht="26" customHeight="1">
      <c r="A101" s="23" t="inlineStr">
        <is>
          <t>Surgery</t>
        </is>
      </c>
      <c r="B101" s="31" t="inlineStr">
        <is>
          <t>SUR-05</t>
        </is>
      </c>
      <c r="C101" s="32" t="inlineStr">
        <is>
          <t>Gynaecology and obstetric surgery</t>
        </is>
      </c>
      <c r="D101" s="33" t="inlineStr">
        <is>
          <t>High-volume service lines</t>
        </is>
      </c>
      <c r="E101" s="36" t="inlineStr">
        <is>
          <t>P2</t>
        </is>
      </c>
      <c r="F101" s="33" t="inlineStr">
        <is>
          <t>Moderate-led</t>
        </is>
      </c>
      <c r="G101" s="33" t="inlineStr">
        <is>
          <t>C8 Foundation</t>
        </is>
      </c>
      <c r="H101" s="31" t="n">
        <v>24</v>
      </c>
      <c r="I101" s="23">
        <f>COUNTIFS('Chart Register'!$C$5:$C$1004,$B101)</f>
        <v/>
      </c>
      <c r="J101" s="23">
        <f>COUNTIFS('Chart Register'!$C$5:$C$1004,$B101,'Chart Register'!$N$5:$N$1004,"Live")</f>
        <v/>
      </c>
      <c r="K101" s="23">
        <f>I101-J101-L101-M101</f>
        <v/>
      </c>
      <c r="L101" s="23">
        <f>COUNTIFS('Chart Register'!$C$5:$C$1004,$B101,'Chart Register'!$N$5:$N$1004,"On hold")</f>
        <v/>
      </c>
      <c r="M101" s="23">
        <f>COUNTIFS('Chart Register'!$C$5:$C$1004,$B101,'Chart Register'!$N$5:$N$1004,"Retired")</f>
        <v/>
      </c>
      <c r="N101" s="35">
        <f>IF($H101=0,"NA",J101/$H101)</f>
        <v/>
      </c>
      <c r="O101" s="23">
        <f>$H101-J101</f>
        <v/>
      </c>
      <c r="P101" s="33">
        <f>IF($H101=0,"NA",IF(J101&gt;=$H101,"Complete",IF(J101/$H101&gt;='Schedule Model'!$C$8,"At or above threshold","BELOW THRESHOLD — source now")))</f>
        <v/>
      </c>
      <c r="Q101" s="29">
        <f>IF('Schedule Model'!$G$17="NA","NA",INT('Schedule Model'!$C$5+0.64*'Schedule Model'!$G$17*7))</f>
        <v/>
      </c>
      <c r="R101" s="23">
        <f>IF(OR($H101=0,NOT(ISNUMBER(Q101))),"NA",IF(J101&gt;=$H101,"On target",IF(TODAY()&lt;=Q101,"Not yet due",TODAY()-Q101)))</f>
        <v/>
      </c>
      <c r="S101" s="23">
        <f>COUNTIFS('Issues Log'!$D$5:$D$504,$B101,'Issues Log'!$K$5:$K$504,"Open")+COUNTIFS('Issues Log'!$D$5:$D$504,$B101,'Issues Log'!$K$5:$K$504,"In progress")</f>
        <v/>
      </c>
    </row>
    <row r="102" ht="26" customHeight="1">
      <c r="A102" s="23" t="inlineStr">
        <is>
          <t>Surgery</t>
        </is>
      </c>
      <c r="B102" s="31" t="inlineStr">
        <is>
          <t>SUR-06</t>
        </is>
      </c>
      <c r="C102" s="32" t="inlineStr">
        <is>
          <t>Urology</t>
        </is>
      </c>
      <c r="D102" s="33" t="inlineStr">
        <is>
          <t>Specialty and cross-cutting</t>
        </is>
      </c>
      <c r="E102" s="36" t="inlineStr">
        <is>
          <t>P2</t>
        </is>
      </c>
      <c r="F102" s="33" t="inlineStr">
        <is>
          <t>Moderate-led</t>
        </is>
      </c>
      <c r="G102" s="33" t="inlineStr">
        <is>
          <t>C8 Foundation</t>
        </is>
      </c>
      <c r="H102" s="31" t="n">
        <v>24</v>
      </c>
      <c r="I102" s="23">
        <f>COUNTIFS('Chart Register'!$C$5:$C$1004,$B102)</f>
        <v/>
      </c>
      <c r="J102" s="23">
        <f>COUNTIFS('Chart Register'!$C$5:$C$1004,$B102,'Chart Register'!$N$5:$N$1004,"Live")</f>
        <v/>
      </c>
      <c r="K102" s="23">
        <f>I102-J102-L102-M102</f>
        <v/>
      </c>
      <c r="L102" s="23">
        <f>COUNTIFS('Chart Register'!$C$5:$C$1004,$B102,'Chart Register'!$N$5:$N$1004,"On hold")</f>
        <v/>
      </c>
      <c r="M102" s="23">
        <f>COUNTIFS('Chart Register'!$C$5:$C$1004,$B102,'Chart Register'!$N$5:$N$1004,"Retired")</f>
        <v/>
      </c>
      <c r="N102" s="35">
        <f>IF($H102=0,"NA",J102/$H102)</f>
        <v/>
      </c>
      <c r="O102" s="23">
        <f>$H102-J102</f>
        <v/>
      </c>
      <c r="P102" s="33">
        <f>IF($H102=0,"NA",IF(J102&gt;=$H102,"Complete",IF(J102/$H102&gt;='Schedule Model'!$C$8,"At or above threshold","BELOW THRESHOLD — source now")))</f>
        <v/>
      </c>
      <c r="Q102" s="29">
        <f>IF('Schedule Model'!$G$17="NA","NA",INT('Schedule Model'!$C$5+0.72*'Schedule Model'!$G$17*7))</f>
        <v/>
      </c>
      <c r="R102" s="23">
        <f>IF(OR($H102=0,NOT(ISNUMBER(Q102))),"NA",IF(J102&gt;=$H102,"On target",IF(TODAY()&lt;=Q102,"Not yet due",TODAY()-Q102)))</f>
        <v/>
      </c>
      <c r="S102" s="23">
        <f>COUNTIFS('Issues Log'!$D$5:$D$504,$B102,'Issues Log'!$K$5:$K$504,"Open")+COUNTIFS('Issues Log'!$D$5:$D$504,$B102,'Issues Log'!$K$5:$K$504,"In progress")</f>
        <v/>
      </c>
    </row>
    <row r="103" ht="26" customHeight="1">
      <c r="A103" s="23" t="inlineStr">
        <is>
          <t>Surgery</t>
        </is>
      </c>
      <c r="B103" s="31" t="inlineStr">
        <is>
          <t>SUR-07</t>
        </is>
      </c>
      <c r="C103" s="32" t="inlineStr">
        <is>
          <t>ENT and head and neck</t>
        </is>
      </c>
      <c r="D103" s="33" t="inlineStr">
        <is>
          <t>Specialty and cross-cutting</t>
        </is>
      </c>
      <c r="E103" s="36" t="inlineStr">
        <is>
          <t>P2</t>
        </is>
      </c>
      <c r="F103" s="33" t="inlineStr">
        <is>
          <t>Moderate-led</t>
        </is>
      </c>
      <c r="G103" s="33" t="inlineStr">
        <is>
          <t>C8 Foundation</t>
        </is>
      </c>
      <c r="H103" s="31" t="n">
        <v>21</v>
      </c>
      <c r="I103" s="23">
        <f>COUNTIFS('Chart Register'!$C$5:$C$1004,$B103)</f>
        <v/>
      </c>
      <c r="J103" s="23">
        <f>COUNTIFS('Chart Register'!$C$5:$C$1004,$B103,'Chart Register'!$N$5:$N$1004,"Live")</f>
        <v/>
      </c>
      <c r="K103" s="23">
        <f>I103-J103-L103-M103</f>
        <v/>
      </c>
      <c r="L103" s="23">
        <f>COUNTIFS('Chart Register'!$C$5:$C$1004,$B103,'Chart Register'!$N$5:$N$1004,"On hold")</f>
        <v/>
      </c>
      <c r="M103" s="23">
        <f>COUNTIFS('Chart Register'!$C$5:$C$1004,$B103,'Chart Register'!$N$5:$N$1004,"Retired")</f>
        <v/>
      </c>
      <c r="N103" s="35">
        <f>IF($H103=0,"NA",J103/$H103)</f>
        <v/>
      </c>
      <c r="O103" s="23">
        <f>$H103-J103</f>
        <v/>
      </c>
      <c r="P103" s="33">
        <f>IF($H103=0,"NA",IF(J103&gt;=$H103,"Complete",IF(J103/$H103&gt;='Schedule Model'!$C$8,"At or above threshold","BELOW THRESHOLD — source now")))</f>
        <v/>
      </c>
      <c r="Q103" s="29">
        <f>IF('Schedule Model'!$G$17="NA","NA",INT('Schedule Model'!$C$5+0.79*'Schedule Model'!$G$17*7))</f>
        <v/>
      </c>
      <c r="R103" s="23">
        <f>IF(OR($H103=0,NOT(ISNUMBER(Q103))),"NA",IF(J103&gt;=$H103,"On target",IF(TODAY()&lt;=Q103,"Not yet due",TODAY()-Q103)))</f>
        <v/>
      </c>
      <c r="S103" s="23">
        <f>COUNTIFS('Issues Log'!$D$5:$D$504,$B103,'Issues Log'!$K$5:$K$504,"Open")+COUNTIFS('Issues Log'!$D$5:$D$504,$B103,'Issues Log'!$K$5:$K$504,"In progress")</f>
        <v/>
      </c>
    </row>
    <row r="104" ht="26" customHeight="1">
      <c r="A104" s="23" t="inlineStr">
        <is>
          <t>Surgery</t>
        </is>
      </c>
      <c r="B104" s="31" t="inlineStr">
        <is>
          <t>SUR-08</t>
        </is>
      </c>
      <c r="C104" s="32" t="inlineStr">
        <is>
          <t>Plastics and reconstructive</t>
        </is>
      </c>
      <c r="D104" s="33" t="inlineStr">
        <is>
          <t>Specialty and cross-cutting</t>
        </is>
      </c>
      <c r="E104" s="36" t="inlineStr">
        <is>
          <t>P2</t>
        </is>
      </c>
      <c r="F104" s="33" t="inlineStr">
        <is>
          <t>Complex-led</t>
        </is>
      </c>
      <c r="G104" s="33" t="inlineStr">
        <is>
          <t>C7 Denial trends</t>
        </is>
      </c>
      <c r="H104" s="31" t="n">
        <v>18</v>
      </c>
      <c r="I104" s="23">
        <f>COUNTIFS('Chart Register'!$C$5:$C$1004,$B104)</f>
        <v/>
      </c>
      <c r="J104" s="23">
        <f>COUNTIFS('Chart Register'!$C$5:$C$1004,$B104,'Chart Register'!$N$5:$N$1004,"Live")</f>
        <v/>
      </c>
      <c r="K104" s="23">
        <f>I104-J104-L104-M104</f>
        <v/>
      </c>
      <c r="L104" s="23">
        <f>COUNTIFS('Chart Register'!$C$5:$C$1004,$B104,'Chart Register'!$N$5:$N$1004,"On hold")</f>
        <v/>
      </c>
      <c r="M104" s="23">
        <f>COUNTIFS('Chart Register'!$C$5:$C$1004,$B104,'Chart Register'!$N$5:$N$1004,"Retired")</f>
        <v/>
      </c>
      <c r="N104" s="35">
        <f>IF($H104=0,"NA",J104/$H104)</f>
        <v/>
      </c>
      <c r="O104" s="23">
        <f>$H104-J104</f>
        <v/>
      </c>
      <c r="P104" s="33">
        <f>IF($H104=0,"NA",IF(J104&gt;=$H104,"Complete",IF(J104/$H104&gt;='Schedule Model'!$C$8,"At or above threshold","BELOW THRESHOLD — source now")))</f>
        <v/>
      </c>
      <c r="Q104" s="29">
        <f>IF('Schedule Model'!$G$17="NA","NA",INT('Schedule Model'!$C$5+0.85*'Schedule Model'!$G$17*7))</f>
        <v/>
      </c>
      <c r="R104" s="23">
        <f>IF(OR($H104=0,NOT(ISNUMBER(Q104))),"NA",IF(J104&gt;=$H104,"On target",IF(TODAY()&lt;=Q104,"Not yet due",TODAY()-Q104)))</f>
        <v/>
      </c>
      <c r="S104" s="23">
        <f>COUNTIFS('Issues Log'!$D$5:$D$504,$B104,'Issues Log'!$K$5:$K$504,"Open")+COUNTIFS('Issues Log'!$D$5:$D$504,$B104,'Issues Log'!$K$5:$K$504,"In progress")</f>
        <v/>
      </c>
    </row>
    <row r="105" ht="26" customHeight="1">
      <c r="A105" s="23" t="inlineStr">
        <is>
          <t>Surgery</t>
        </is>
      </c>
      <c r="B105" s="31" t="inlineStr">
        <is>
          <t>SUR-11</t>
        </is>
      </c>
      <c r="C105" s="32" t="inlineStr">
        <is>
          <t>Global period and staged procedure scenarios</t>
        </is>
      </c>
      <c r="D105" s="33" t="inlineStr">
        <is>
          <t>Specialty and cross-cutting</t>
        </is>
      </c>
      <c r="E105" s="36" t="inlineStr">
        <is>
          <t>P2</t>
        </is>
      </c>
      <c r="F105" s="33" t="inlineStr">
        <is>
          <t>Complex-led</t>
        </is>
      </c>
      <c r="G105" s="33" t="inlineStr">
        <is>
          <t>C1 High error rate</t>
        </is>
      </c>
      <c r="H105" s="31" t="n">
        <v>18</v>
      </c>
      <c r="I105" s="23">
        <f>COUNTIFS('Chart Register'!$C$5:$C$1004,$B105)</f>
        <v/>
      </c>
      <c r="J105" s="23">
        <f>COUNTIFS('Chart Register'!$C$5:$C$1004,$B105,'Chart Register'!$N$5:$N$1004,"Live")</f>
        <v/>
      </c>
      <c r="K105" s="23">
        <f>I105-J105-L105-M105</f>
        <v/>
      </c>
      <c r="L105" s="23">
        <f>COUNTIFS('Chart Register'!$C$5:$C$1004,$B105,'Chart Register'!$N$5:$N$1004,"On hold")</f>
        <v/>
      </c>
      <c r="M105" s="23">
        <f>COUNTIFS('Chart Register'!$C$5:$C$1004,$B105,'Chart Register'!$N$5:$N$1004,"Retired")</f>
        <v/>
      </c>
      <c r="N105" s="35">
        <f>IF($H105=0,"NA",J105/$H105)</f>
        <v/>
      </c>
      <c r="O105" s="23">
        <f>$H105-J105</f>
        <v/>
      </c>
      <c r="P105" s="33">
        <f>IF($H105=0,"NA",IF(J105&gt;=$H105,"Complete",IF(J105/$H105&gt;='Schedule Model'!$C$8,"At or above threshold","BELOW THRESHOLD — source now")))</f>
        <v/>
      </c>
      <c r="Q105" s="29">
        <f>IF('Schedule Model'!$G$17="NA","NA",INT('Schedule Model'!$C$5+0.91*'Schedule Model'!$G$17*7))</f>
        <v/>
      </c>
      <c r="R105" s="23">
        <f>IF(OR($H105=0,NOT(ISNUMBER(Q105))),"NA",IF(J105&gt;=$H105,"On target",IF(TODAY()&lt;=Q105,"Not yet due",TODAY()-Q105)))</f>
        <v/>
      </c>
      <c r="S105" s="23">
        <f>COUNTIFS('Issues Log'!$D$5:$D$504,$B105,'Issues Log'!$K$5:$K$504,"Open")+COUNTIFS('Issues Log'!$D$5:$D$504,$B105,'Issues Log'!$K$5:$K$504,"In progress")</f>
        <v/>
      </c>
    </row>
    <row r="106" ht="26" customHeight="1">
      <c r="A106" s="23" t="inlineStr">
        <is>
          <t>Surgery</t>
        </is>
      </c>
      <c r="B106" s="31" t="inlineStr">
        <is>
          <t>SUR-09</t>
        </is>
      </c>
      <c r="C106" s="32" t="inlineStr">
        <is>
          <t>Ophthalmic surgery</t>
        </is>
      </c>
      <c r="D106" s="33" t="inlineStr">
        <is>
          <t>Specialty and cross-cutting</t>
        </is>
      </c>
      <c r="E106" s="37" t="inlineStr">
        <is>
          <t>P3</t>
        </is>
      </c>
      <c r="F106" s="33" t="inlineStr">
        <is>
          <t>Moderate-led</t>
        </is>
      </c>
      <c r="G106" s="33" t="inlineStr">
        <is>
          <t>C8 Foundation</t>
        </is>
      </c>
      <c r="H106" s="31" t="n">
        <v>15</v>
      </c>
      <c r="I106" s="23">
        <f>COUNTIFS('Chart Register'!$C$5:$C$1004,$B106)</f>
        <v/>
      </c>
      <c r="J106" s="23">
        <f>COUNTIFS('Chart Register'!$C$5:$C$1004,$B106,'Chart Register'!$N$5:$N$1004,"Live")</f>
        <v/>
      </c>
      <c r="K106" s="23">
        <f>I106-J106-L106-M106</f>
        <v/>
      </c>
      <c r="L106" s="23">
        <f>COUNTIFS('Chart Register'!$C$5:$C$1004,$B106,'Chart Register'!$N$5:$N$1004,"On hold")</f>
        <v/>
      </c>
      <c r="M106" s="23">
        <f>COUNTIFS('Chart Register'!$C$5:$C$1004,$B106,'Chart Register'!$N$5:$N$1004,"Retired")</f>
        <v/>
      </c>
      <c r="N106" s="35">
        <f>IF($H106=0,"NA",J106/$H106)</f>
        <v/>
      </c>
      <c r="O106" s="23">
        <f>$H106-J106</f>
        <v/>
      </c>
      <c r="P106" s="33">
        <f>IF($H106=0,"NA",IF(J106&gt;=$H106,"Complete",IF(J106/$H106&gt;='Schedule Model'!$C$8,"At or above threshold","BELOW THRESHOLD — source now")))</f>
        <v/>
      </c>
      <c r="Q106" s="29">
        <f>IF('Schedule Model'!$G$17="NA","NA",INT('Schedule Model'!$C$5+0.96*'Schedule Model'!$G$17*7))</f>
        <v/>
      </c>
      <c r="R106" s="23">
        <f>IF(OR($H106=0,NOT(ISNUMBER(Q106))),"NA",IF(J106&gt;=$H106,"On target",IF(TODAY()&lt;=Q106,"Not yet due",TODAY()-Q106)))</f>
        <v/>
      </c>
      <c r="S106" s="23">
        <f>COUNTIFS('Issues Log'!$D$5:$D$504,$B106,'Issues Log'!$K$5:$K$504,"Open")+COUNTIFS('Issues Log'!$D$5:$D$504,$B106,'Issues Log'!$K$5:$K$504,"In progress")</f>
        <v/>
      </c>
    </row>
    <row r="107" ht="26" customHeight="1">
      <c r="A107" s="23" t="inlineStr">
        <is>
          <t>Surgery</t>
        </is>
      </c>
      <c r="B107" s="31" t="inlineStr">
        <is>
          <t>SUR-10</t>
        </is>
      </c>
      <c r="C107" s="32" t="inlineStr">
        <is>
          <t>Transplant and complex multi-specialty cases</t>
        </is>
      </c>
      <c r="D107" s="33" t="inlineStr">
        <is>
          <t>Specialty and cross-cutting</t>
        </is>
      </c>
      <c r="E107" s="37" t="inlineStr">
        <is>
          <t>P3</t>
        </is>
      </c>
      <c r="F107" s="33" t="inlineStr">
        <is>
          <t>Complex-led</t>
        </is>
      </c>
      <c r="G107" s="33" t="inlineStr">
        <is>
          <t>C2 High dollar value</t>
        </is>
      </c>
      <c r="H107" s="31" t="n">
        <v>12</v>
      </c>
      <c r="I107" s="23">
        <f>COUNTIFS('Chart Register'!$C$5:$C$1004,$B107)</f>
        <v/>
      </c>
      <c r="J107" s="23">
        <f>COUNTIFS('Chart Register'!$C$5:$C$1004,$B107,'Chart Register'!$N$5:$N$1004,"Live")</f>
        <v/>
      </c>
      <c r="K107" s="23">
        <f>I107-J107-L107-M107</f>
        <v/>
      </c>
      <c r="L107" s="23">
        <f>COUNTIFS('Chart Register'!$C$5:$C$1004,$B107,'Chart Register'!$N$5:$N$1004,"On hold")</f>
        <v/>
      </c>
      <c r="M107" s="23">
        <f>COUNTIFS('Chart Register'!$C$5:$C$1004,$B107,'Chart Register'!$N$5:$N$1004,"Retired")</f>
        <v/>
      </c>
      <c r="N107" s="35">
        <f>IF($H107=0,"NA",J107/$H107)</f>
        <v/>
      </c>
      <c r="O107" s="23">
        <f>$H107-J107</f>
        <v/>
      </c>
      <c r="P107" s="33">
        <f>IF($H107=0,"NA",IF(J107&gt;=$H107,"Complete",IF(J107/$H107&gt;='Schedule Model'!$C$8,"At or above threshold","BELOW THRESHOLD — source now")))</f>
        <v/>
      </c>
      <c r="Q107" s="29">
        <f>IF('Schedule Model'!$G$17="NA","NA",INT('Schedule Model'!$C$5+1.0*'Schedule Model'!$G$17*7))</f>
        <v/>
      </c>
      <c r="R107" s="23">
        <f>IF(OR($H107=0,NOT(ISNUMBER(Q107))),"NA",IF(J107&gt;=$H107,"On target",IF(TODAY()&lt;=Q107,"Not yet due",TODAY()-Q107)))</f>
        <v/>
      </c>
      <c r="S107" s="23">
        <f>COUNTIFS('Issues Log'!$D$5:$D$504,$B107,'Issues Log'!$K$5:$K$504,"Open")+COUNTIFS('Issues Log'!$D$5:$D$504,$B107,'Issues Log'!$K$5:$K$504,"In progress")</f>
        <v/>
      </c>
    </row>
    <row r="108" ht="26" customHeight="1">
      <c r="A108" s="23" t="inlineStr">
        <is>
          <t>ED Single Path</t>
        </is>
      </c>
      <c r="B108" s="31" t="inlineStr">
        <is>
          <t>ESP-01</t>
        </is>
      </c>
      <c r="C108" s="32" t="inlineStr">
        <is>
          <t>Low acuity — levels 1–2 both components</t>
        </is>
      </c>
      <c r="D108" s="33" t="inlineStr">
        <is>
          <t>Low acuity</t>
        </is>
      </c>
      <c r="E108" s="36" t="inlineStr">
        <is>
          <t>P2</t>
        </is>
      </c>
      <c r="F108" s="33" t="inlineStr">
        <is>
          <t>Basic-led</t>
        </is>
      </c>
      <c r="G108" s="33" t="inlineStr">
        <is>
          <t>C8 Foundation</t>
        </is>
      </c>
      <c r="H108" s="31" t="n">
        <v>21</v>
      </c>
      <c r="I108" s="23">
        <f>COUNTIFS('Chart Register'!$C$5:$C$1004,$B108)</f>
        <v/>
      </c>
      <c r="J108" s="23">
        <f>COUNTIFS('Chart Register'!$C$5:$C$1004,$B108,'Chart Register'!$N$5:$N$1004,"Live")</f>
        <v/>
      </c>
      <c r="K108" s="23">
        <f>I108-J108-L108-M108</f>
        <v/>
      </c>
      <c r="L108" s="23">
        <f>COUNTIFS('Chart Register'!$C$5:$C$1004,$B108,'Chart Register'!$N$5:$N$1004,"On hold")</f>
        <v/>
      </c>
      <c r="M108" s="23">
        <f>COUNTIFS('Chart Register'!$C$5:$C$1004,$B108,'Chart Register'!$N$5:$N$1004,"Retired")</f>
        <v/>
      </c>
      <c r="N108" s="35">
        <f>IF($H108=0,"NA",J108/$H108)</f>
        <v/>
      </c>
      <c r="O108" s="23">
        <f>$H108-J108</f>
        <v/>
      </c>
      <c r="P108" s="33">
        <f>IF($H108=0,"NA",IF(J108&gt;=$H108,"Complete",IF(J108/$H108&gt;='Schedule Model'!$C$8,"At or above threshold","BELOW THRESHOLD — source now")))</f>
        <v/>
      </c>
      <c r="Q108" s="29">
        <f>IF('Schedule Model'!$G$18="NA","NA",INT('Schedule Model'!$C$5+0.07*'Schedule Model'!$G$18*7))</f>
        <v/>
      </c>
      <c r="R108" s="23">
        <f>IF(OR($H108=0,NOT(ISNUMBER(Q108))),"NA",IF(J108&gt;=$H108,"On target",IF(TODAY()&lt;=Q108,"Not yet due",TODAY()-Q108)))</f>
        <v/>
      </c>
      <c r="S108" s="23">
        <f>COUNTIFS('Issues Log'!$D$5:$D$504,$B108,'Issues Log'!$K$5:$K$504,"Open")+COUNTIFS('Issues Log'!$D$5:$D$504,$B108,'Issues Log'!$K$5:$K$504,"In progress")</f>
        <v/>
      </c>
    </row>
    <row r="109" ht="26" customHeight="1">
      <c r="A109" s="23" t="inlineStr">
        <is>
          <t>ED Single Path</t>
        </is>
      </c>
      <c r="B109" s="31" t="inlineStr">
        <is>
          <t>ESP-02</t>
        </is>
      </c>
      <c r="C109" s="32" t="inlineStr">
        <is>
          <t>Moderate — level 3 both components</t>
        </is>
      </c>
      <c r="D109" s="33" t="inlineStr">
        <is>
          <t>Moderate</t>
        </is>
      </c>
      <c r="E109" s="36" t="inlineStr">
        <is>
          <t>P2</t>
        </is>
      </c>
      <c r="F109" s="33" t="inlineStr">
        <is>
          <t>Basic-led</t>
        </is>
      </c>
      <c r="G109" s="33" t="inlineStr">
        <is>
          <t>C8 Foundation</t>
        </is>
      </c>
      <c r="H109" s="31" t="n">
        <v>48</v>
      </c>
      <c r="I109" s="23">
        <f>COUNTIFS('Chart Register'!$C$5:$C$1004,$B109)</f>
        <v/>
      </c>
      <c r="J109" s="23">
        <f>COUNTIFS('Chart Register'!$C$5:$C$1004,$B109,'Chart Register'!$N$5:$N$1004,"Live")</f>
        <v/>
      </c>
      <c r="K109" s="23">
        <f>I109-J109-L109-M109</f>
        <v/>
      </c>
      <c r="L109" s="23">
        <f>COUNTIFS('Chart Register'!$C$5:$C$1004,$B109,'Chart Register'!$N$5:$N$1004,"On hold")</f>
        <v/>
      </c>
      <c r="M109" s="23">
        <f>COUNTIFS('Chart Register'!$C$5:$C$1004,$B109,'Chart Register'!$N$5:$N$1004,"Retired")</f>
        <v/>
      </c>
      <c r="N109" s="35">
        <f>IF($H109=0,"NA",J109/$H109)</f>
        <v/>
      </c>
      <c r="O109" s="23">
        <f>$H109-J109</f>
        <v/>
      </c>
      <c r="P109" s="33">
        <f>IF($H109=0,"NA",IF(J109&gt;=$H109,"Complete",IF(J109/$H109&gt;='Schedule Model'!$C$8,"At or above threshold","BELOW THRESHOLD — source now")))</f>
        <v/>
      </c>
      <c r="Q109" s="29">
        <f>IF('Schedule Model'!$G$18="NA","NA",INT('Schedule Model'!$C$5+0.23*'Schedule Model'!$G$18*7))</f>
        <v/>
      </c>
      <c r="R109" s="23">
        <f>IF(OR($H109=0,NOT(ISNUMBER(Q109))),"NA",IF(J109&gt;=$H109,"On target",IF(TODAY()&lt;=Q109,"Not yet due",TODAY()-Q109)))</f>
        <v/>
      </c>
      <c r="S109" s="23">
        <f>COUNTIFS('Issues Log'!$D$5:$D$504,$B109,'Issues Log'!$K$5:$K$504,"Open")+COUNTIFS('Issues Log'!$D$5:$D$504,$B109,'Issues Log'!$K$5:$K$504,"In progress")</f>
        <v/>
      </c>
    </row>
    <row r="110" ht="26" customHeight="1">
      <c r="A110" s="23" t="inlineStr">
        <is>
          <t>ED Single Path</t>
        </is>
      </c>
      <c r="B110" s="31" t="inlineStr">
        <is>
          <t>ESP-03</t>
        </is>
      </c>
      <c r="C110" s="32" t="inlineStr">
        <is>
          <t>Level 4 both components</t>
        </is>
      </c>
      <c r="D110" s="33" t="inlineStr">
        <is>
          <t>Level 4</t>
        </is>
      </c>
      <c r="E110" s="36" t="inlineStr">
        <is>
          <t>P2</t>
        </is>
      </c>
      <c r="F110" s="33" t="inlineStr">
        <is>
          <t>Moderate-led</t>
        </is>
      </c>
      <c r="G110" s="33" t="inlineStr">
        <is>
          <t>C1 High error rate</t>
        </is>
      </c>
      <c r="H110" s="31" t="n">
        <v>54</v>
      </c>
      <c r="I110" s="23">
        <f>COUNTIFS('Chart Register'!$C$5:$C$1004,$B110)</f>
        <v/>
      </c>
      <c r="J110" s="23">
        <f>COUNTIFS('Chart Register'!$C$5:$C$1004,$B110,'Chart Register'!$N$5:$N$1004,"Live")</f>
        <v/>
      </c>
      <c r="K110" s="23">
        <f>I110-J110-L110-M110</f>
        <v/>
      </c>
      <c r="L110" s="23">
        <f>COUNTIFS('Chart Register'!$C$5:$C$1004,$B110,'Chart Register'!$N$5:$N$1004,"On hold")</f>
        <v/>
      </c>
      <c r="M110" s="23">
        <f>COUNTIFS('Chart Register'!$C$5:$C$1004,$B110,'Chart Register'!$N$5:$N$1004,"Retired")</f>
        <v/>
      </c>
      <c r="N110" s="35">
        <f>IF($H110=0,"NA",J110/$H110)</f>
        <v/>
      </c>
      <c r="O110" s="23">
        <f>$H110-J110</f>
        <v/>
      </c>
      <c r="P110" s="33">
        <f>IF($H110=0,"NA",IF(J110&gt;=$H110,"Complete",IF(J110/$H110&gt;='Schedule Model'!$C$8,"At or above threshold","BELOW THRESHOLD — source now")))</f>
        <v/>
      </c>
      <c r="Q110" s="29">
        <f>IF('Schedule Model'!$G$18="NA","NA",INT('Schedule Model'!$C$5+0.41*'Schedule Model'!$G$18*7))</f>
        <v/>
      </c>
      <c r="R110" s="23">
        <f>IF(OR($H110=0,NOT(ISNUMBER(Q110))),"NA",IF(J110&gt;=$H110,"On target",IF(TODAY()&lt;=Q110,"Not yet due",TODAY()-Q110)))</f>
        <v/>
      </c>
      <c r="S110" s="23">
        <f>COUNTIFS('Issues Log'!$D$5:$D$504,$B110,'Issues Log'!$K$5:$K$504,"Open")+COUNTIFS('Issues Log'!$D$5:$D$504,$B110,'Issues Log'!$K$5:$K$504,"In progress")</f>
        <v/>
      </c>
    </row>
    <row r="111" ht="26" customHeight="1">
      <c r="A111" s="23" t="inlineStr">
        <is>
          <t>ED Single Path</t>
        </is>
      </c>
      <c r="B111" s="31" t="inlineStr">
        <is>
          <t>ESP-04</t>
        </is>
      </c>
      <c r="C111" s="32" t="inlineStr">
        <is>
          <t>Level 5 both components</t>
        </is>
      </c>
      <c r="D111" s="33" t="inlineStr">
        <is>
          <t>Level 5</t>
        </is>
      </c>
      <c r="E111" s="36" t="inlineStr">
        <is>
          <t>P2</t>
        </is>
      </c>
      <c r="F111" s="33" t="inlineStr">
        <is>
          <t>Complex-led</t>
        </is>
      </c>
      <c r="G111" s="33" t="inlineStr">
        <is>
          <t>C1 High error rate</t>
        </is>
      </c>
      <c r="H111" s="31" t="n">
        <v>63</v>
      </c>
      <c r="I111" s="23">
        <f>COUNTIFS('Chart Register'!$C$5:$C$1004,$B111)</f>
        <v/>
      </c>
      <c r="J111" s="23">
        <f>COUNTIFS('Chart Register'!$C$5:$C$1004,$B111,'Chart Register'!$N$5:$N$1004,"Live")</f>
        <v/>
      </c>
      <c r="K111" s="23">
        <f>I111-J111-L111-M111</f>
        <v/>
      </c>
      <c r="L111" s="23">
        <f>COUNTIFS('Chart Register'!$C$5:$C$1004,$B111,'Chart Register'!$N$5:$N$1004,"On hold")</f>
        <v/>
      </c>
      <c r="M111" s="23">
        <f>COUNTIFS('Chart Register'!$C$5:$C$1004,$B111,'Chart Register'!$N$5:$N$1004,"Retired")</f>
        <v/>
      </c>
      <c r="N111" s="35">
        <f>IF($H111=0,"NA",J111/$H111)</f>
        <v/>
      </c>
      <c r="O111" s="23">
        <f>$H111-J111</f>
        <v/>
      </c>
      <c r="P111" s="33">
        <f>IF($H111=0,"NA",IF(J111&gt;=$H111,"Complete",IF(J111/$H111&gt;='Schedule Model'!$C$8,"At or above threshold","BELOW THRESHOLD — source now")))</f>
        <v/>
      </c>
      <c r="Q111" s="29">
        <f>IF('Schedule Model'!$G$18="NA","NA",INT('Schedule Model'!$C$5+0.62*'Schedule Model'!$G$18*7))</f>
        <v/>
      </c>
      <c r="R111" s="23">
        <f>IF(OR($H111=0,NOT(ISNUMBER(Q111))),"NA",IF(J111&gt;=$H111,"On target",IF(TODAY()&lt;=Q111,"Not yet due",TODAY()-Q111)))</f>
        <v/>
      </c>
      <c r="S111" s="23">
        <f>COUNTIFS('Issues Log'!$D$5:$D$504,$B111,'Issues Log'!$K$5:$K$504,"Open")+COUNTIFS('Issues Log'!$D$5:$D$504,$B111,'Issues Log'!$K$5:$K$504,"In progress")</f>
        <v/>
      </c>
    </row>
    <row r="112" ht="26" customHeight="1">
      <c r="A112" s="23" t="inlineStr">
        <is>
          <t>ED Single Path</t>
        </is>
      </c>
      <c r="B112" s="31" t="inlineStr">
        <is>
          <t>ESP-05</t>
        </is>
      </c>
      <c r="C112" s="32" t="inlineStr">
        <is>
          <t>Critical care — both components</t>
        </is>
      </c>
      <c r="D112" s="33" t="inlineStr">
        <is>
          <t>Critical care</t>
        </is>
      </c>
      <c r="E112" s="36" t="inlineStr">
        <is>
          <t>P2</t>
        </is>
      </c>
      <c r="F112" s="33" t="inlineStr">
        <is>
          <t>Complex-led</t>
        </is>
      </c>
      <c r="G112" s="33" t="inlineStr">
        <is>
          <t>C2 High dollar value</t>
        </is>
      </c>
      <c r="H112" s="31" t="n">
        <v>54</v>
      </c>
      <c r="I112" s="23">
        <f>COUNTIFS('Chart Register'!$C$5:$C$1004,$B112)</f>
        <v/>
      </c>
      <c r="J112" s="23">
        <f>COUNTIFS('Chart Register'!$C$5:$C$1004,$B112,'Chart Register'!$N$5:$N$1004,"Live")</f>
        <v/>
      </c>
      <c r="K112" s="23">
        <f>I112-J112-L112-M112</f>
        <v/>
      </c>
      <c r="L112" s="23">
        <f>COUNTIFS('Chart Register'!$C$5:$C$1004,$B112,'Chart Register'!$N$5:$N$1004,"On hold")</f>
        <v/>
      </c>
      <c r="M112" s="23">
        <f>COUNTIFS('Chart Register'!$C$5:$C$1004,$B112,'Chart Register'!$N$5:$N$1004,"Retired")</f>
        <v/>
      </c>
      <c r="N112" s="35">
        <f>IF($H112=0,"NA",J112/$H112)</f>
        <v/>
      </c>
      <c r="O112" s="23">
        <f>$H112-J112</f>
        <v/>
      </c>
      <c r="P112" s="33">
        <f>IF($H112=0,"NA",IF(J112&gt;=$H112,"Complete",IF(J112/$H112&gt;='Schedule Model'!$C$8,"At or above threshold","BELOW THRESHOLD — source now")))</f>
        <v/>
      </c>
      <c r="Q112" s="29">
        <f>IF('Schedule Model'!$G$18="NA","NA",INT('Schedule Model'!$C$5+0.8*'Schedule Model'!$G$18*7))</f>
        <v/>
      </c>
      <c r="R112" s="23">
        <f>IF(OR($H112=0,NOT(ISNUMBER(Q112))),"NA",IF(J112&gt;=$H112,"On target",IF(TODAY()&lt;=Q112,"Not yet due",TODAY()-Q112)))</f>
        <v/>
      </c>
      <c r="S112" s="23">
        <f>COUNTIFS('Issues Log'!$D$5:$D$504,$B112,'Issues Log'!$K$5:$K$504,"Open")+COUNTIFS('Issues Log'!$D$5:$D$504,$B112,'Issues Log'!$K$5:$K$504,"In progress")</f>
        <v/>
      </c>
    </row>
    <row r="113" ht="26" customHeight="1">
      <c r="A113" s="23" t="inlineStr">
        <is>
          <t>ED Single Path</t>
        </is>
      </c>
      <c r="B113" s="31" t="inlineStr">
        <is>
          <t>ESP-06</t>
        </is>
      </c>
      <c r="C113" s="32" t="inlineStr">
        <is>
          <t>ED procedures across both components</t>
        </is>
      </c>
      <c r="D113" s="33" t="inlineStr">
        <is>
          <t>Cross-cutting</t>
        </is>
      </c>
      <c r="E113" s="36" t="inlineStr">
        <is>
          <t>P2</t>
        </is>
      </c>
      <c r="F113" s="33" t="inlineStr">
        <is>
          <t>Moderate-led</t>
        </is>
      </c>
      <c r="G113" s="33" t="inlineStr">
        <is>
          <t>C1 High error rate</t>
        </is>
      </c>
      <c r="H113" s="31" t="n">
        <v>30</v>
      </c>
      <c r="I113" s="23">
        <f>COUNTIFS('Chart Register'!$C$5:$C$1004,$B113)</f>
        <v/>
      </c>
      <c r="J113" s="23">
        <f>COUNTIFS('Chart Register'!$C$5:$C$1004,$B113,'Chart Register'!$N$5:$N$1004,"Live")</f>
        <v/>
      </c>
      <c r="K113" s="23">
        <f>I113-J113-L113-M113</f>
        <v/>
      </c>
      <c r="L113" s="23">
        <f>COUNTIFS('Chart Register'!$C$5:$C$1004,$B113,'Chart Register'!$N$5:$N$1004,"On hold")</f>
        <v/>
      </c>
      <c r="M113" s="23">
        <f>COUNTIFS('Chart Register'!$C$5:$C$1004,$B113,'Chart Register'!$N$5:$N$1004,"Retired")</f>
        <v/>
      </c>
      <c r="N113" s="35">
        <f>IF($H113=0,"NA",J113/$H113)</f>
        <v/>
      </c>
      <c r="O113" s="23">
        <f>$H113-J113</f>
        <v/>
      </c>
      <c r="P113" s="33">
        <f>IF($H113=0,"NA",IF(J113&gt;=$H113,"Complete",IF(J113/$H113&gt;='Schedule Model'!$C$8,"At or above threshold","BELOW THRESHOLD — source now")))</f>
        <v/>
      </c>
      <c r="Q113" s="29">
        <f>IF('Schedule Model'!$G$18="NA","NA",INT('Schedule Model'!$C$5+0.9*'Schedule Model'!$G$18*7))</f>
        <v/>
      </c>
      <c r="R113" s="23">
        <f>IF(OR($H113=0,NOT(ISNUMBER(Q113))),"NA",IF(J113&gt;=$H113,"On target",IF(TODAY()&lt;=Q113,"Not yet due",TODAY()-Q113)))</f>
        <v/>
      </c>
      <c r="S113" s="23">
        <f>COUNTIFS('Issues Log'!$D$5:$D$504,$B113,'Issues Log'!$K$5:$K$504,"Open")+COUNTIFS('Issues Log'!$D$5:$D$504,$B113,'Issues Log'!$K$5:$K$504,"In progress")</f>
        <v/>
      </c>
    </row>
    <row r="114" ht="26" customHeight="1">
      <c r="A114" s="23" t="inlineStr">
        <is>
          <t>ED Single Path</t>
        </is>
      </c>
      <c r="B114" s="31" t="inlineStr">
        <is>
          <t>ESP-07</t>
        </is>
      </c>
      <c r="C114" s="32" t="inlineStr">
        <is>
          <t>Observation and admission decisions</t>
        </is>
      </c>
      <c r="D114" s="33" t="inlineStr">
        <is>
          <t>Cross-cutting</t>
        </is>
      </c>
      <c r="E114" s="36" t="inlineStr">
        <is>
          <t>P2</t>
        </is>
      </c>
      <c r="F114" s="33" t="inlineStr">
        <is>
          <t>Complex-led</t>
        </is>
      </c>
      <c r="G114" s="33" t="inlineStr">
        <is>
          <t>C7 Denial trends</t>
        </is>
      </c>
      <c r="H114" s="31" t="n">
        <v>18</v>
      </c>
      <c r="I114" s="23">
        <f>COUNTIFS('Chart Register'!$C$5:$C$1004,$B114)</f>
        <v/>
      </c>
      <c r="J114" s="23">
        <f>COUNTIFS('Chart Register'!$C$5:$C$1004,$B114,'Chart Register'!$N$5:$N$1004,"Live")</f>
        <v/>
      </c>
      <c r="K114" s="23">
        <f>I114-J114-L114-M114</f>
        <v/>
      </c>
      <c r="L114" s="23">
        <f>COUNTIFS('Chart Register'!$C$5:$C$1004,$B114,'Chart Register'!$N$5:$N$1004,"On hold")</f>
        <v/>
      </c>
      <c r="M114" s="23">
        <f>COUNTIFS('Chart Register'!$C$5:$C$1004,$B114,'Chart Register'!$N$5:$N$1004,"Retired")</f>
        <v/>
      </c>
      <c r="N114" s="35">
        <f>IF($H114=0,"NA",J114/$H114)</f>
        <v/>
      </c>
      <c r="O114" s="23">
        <f>$H114-J114</f>
        <v/>
      </c>
      <c r="P114" s="33">
        <f>IF($H114=0,"NA",IF(J114&gt;=$H114,"Complete",IF(J114/$H114&gt;='Schedule Model'!$C$8,"At or above threshold","BELOW THRESHOLD — source now")))</f>
        <v/>
      </c>
      <c r="Q114" s="29">
        <f>IF('Schedule Model'!$G$18="NA","NA",INT('Schedule Model'!$C$5+0.96*'Schedule Model'!$G$18*7))</f>
        <v/>
      </c>
      <c r="R114" s="23">
        <f>IF(OR($H114=0,NOT(ISNUMBER(Q114))),"NA",IF(J114&gt;=$H114,"On target",IF(TODAY()&lt;=Q114,"Not yet due",TODAY()-Q114)))</f>
        <v/>
      </c>
      <c r="S114" s="23">
        <f>COUNTIFS('Issues Log'!$D$5:$D$504,$B114,'Issues Log'!$K$5:$K$504,"Open")+COUNTIFS('Issues Log'!$D$5:$D$504,$B114,'Issues Log'!$K$5:$K$504,"In progress")</f>
        <v/>
      </c>
    </row>
    <row r="115" ht="26" customHeight="1">
      <c r="A115" s="23" t="inlineStr">
        <is>
          <t>ED Single Path</t>
        </is>
      </c>
      <c r="B115" s="31" t="inlineStr">
        <is>
          <t>ESP-08</t>
        </is>
      </c>
      <c r="C115" s="32" t="inlineStr">
        <is>
          <t>Facility and professional level divergence</t>
        </is>
      </c>
      <c r="D115" s="33" t="inlineStr">
        <is>
          <t>Cross-cutting</t>
        </is>
      </c>
      <c r="E115" s="37" t="inlineStr">
        <is>
          <t>P3</t>
        </is>
      </c>
      <c r="F115" s="33" t="inlineStr">
        <is>
          <t>Complex-led</t>
        </is>
      </c>
      <c r="G115" s="33" t="inlineStr">
        <is>
          <t>C6 Customer escalations</t>
        </is>
      </c>
      <c r="H115" s="31" t="n">
        <v>12</v>
      </c>
      <c r="I115" s="23">
        <f>COUNTIFS('Chart Register'!$C$5:$C$1004,$B115)</f>
        <v/>
      </c>
      <c r="J115" s="23">
        <f>COUNTIFS('Chart Register'!$C$5:$C$1004,$B115,'Chart Register'!$N$5:$N$1004,"Live")</f>
        <v/>
      </c>
      <c r="K115" s="23">
        <f>I115-J115-L115-M115</f>
        <v/>
      </c>
      <c r="L115" s="23">
        <f>COUNTIFS('Chart Register'!$C$5:$C$1004,$B115,'Chart Register'!$N$5:$N$1004,"On hold")</f>
        <v/>
      </c>
      <c r="M115" s="23">
        <f>COUNTIFS('Chart Register'!$C$5:$C$1004,$B115,'Chart Register'!$N$5:$N$1004,"Retired")</f>
        <v/>
      </c>
      <c r="N115" s="35">
        <f>IF($H115=0,"NA",J115/$H115)</f>
        <v/>
      </c>
      <c r="O115" s="23">
        <f>$H115-J115</f>
        <v/>
      </c>
      <c r="P115" s="33">
        <f>IF($H115=0,"NA",IF(J115&gt;=$H115,"Complete",IF(J115/$H115&gt;='Schedule Model'!$C$8,"At or above threshold","BELOW THRESHOLD — source now")))</f>
        <v/>
      </c>
      <c r="Q115" s="29">
        <f>IF('Schedule Model'!$G$18="NA","NA",INT('Schedule Model'!$C$5+1.0*'Schedule Model'!$G$18*7))</f>
        <v/>
      </c>
      <c r="R115" s="23">
        <f>IF(OR($H115=0,NOT(ISNUMBER(Q115))),"NA",IF(J115&gt;=$H115,"On target",IF(TODAY()&lt;=Q115,"Not yet due",TODAY()-Q115)))</f>
        <v/>
      </c>
      <c r="S115" s="23">
        <f>COUNTIFS('Issues Log'!$D$5:$D$504,$B115,'Issues Log'!$K$5:$K$504,"Open")+COUNTIFS('Issues Log'!$D$5:$D$504,$B115,'Issues Log'!$K$5:$K$504,"In progress")</f>
        <v/>
      </c>
    </row>
    <row r="116">
      <c r="A116" s="38" t="inlineStr">
        <is>
          <t>TOTAL</t>
        </is>
      </c>
      <c r="B116" s="39" t="n"/>
      <c r="C116" s="39" t="n"/>
      <c r="D116" s="39" t="n"/>
      <c r="E116" s="39" t="n"/>
      <c r="F116" s="39" t="n"/>
      <c r="G116" s="39" t="n"/>
      <c r="H116" s="40">
        <f>SUM(H5:H115)</f>
        <v/>
      </c>
      <c r="I116" s="40">
        <f>SUM(I5:I115)</f>
        <v/>
      </c>
      <c r="J116" s="40">
        <f>SUM(J5:J115)</f>
        <v/>
      </c>
      <c r="K116" s="40">
        <f>SUM(K5:K115)</f>
        <v/>
      </c>
      <c r="L116" s="40">
        <f>SUM(L5:L115)</f>
        <v/>
      </c>
      <c r="M116" s="40">
        <f>SUM(M5:M115)</f>
        <v/>
      </c>
      <c r="N116" s="41">
        <f>IF(H116=0,"NA",J116/H116)</f>
        <v/>
      </c>
      <c r="O116" s="40">
        <f>H116-J116</f>
        <v/>
      </c>
      <c r="P116" s="42">
        <f>COUNTIF(P5:P115,"BELOW*")&amp;" topics below threshold"</f>
        <v/>
      </c>
      <c r="Q116" s="39" t="n"/>
      <c r="R116" s="39" t="n"/>
      <c r="S116" s="40">
        <f>SUM(S5:S115)</f>
        <v/>
      </c>
    </row>
    <row r="118" ht="39" customHeight="1">
      <c r="A118" s="13" t="inlineStr">
        <is>
          <t>Rows logged counts every register row for the topic whatever its status. Live counts only charts actually in the pool. In build is the difference less on-hold and retired, so a chart sitting at Identified for a month still shows as in build — which is the point, and the Dashboard's stage ageing is where it surfaces.</t>
        </is>
      </c>
    </row>
    <row r="119" ht="26" customHeight="1">
      <c r="A119" s="13" t="inlineStr">
        <is>
          <t>% of target has Live as its numerator and the taxonomy target as its denominator. A topic with no target reads NA, not 0% — NA is a real value here and means no target was set, which is a different thing from nothing built.</t>
        </is>
      </c>
    </row>
    <row r="120" ht="26" customHeight="1">
      <c r="A120" s="13" t="inlineStr">
        <is>
          <t>Days vs expected is positive when the expected date has passed and the target is not met. It reads On target once Live reaches the target, whenever that happened, and NA before a schedule exists.</t>
        </is>
      </c>
    </row>
  </sheetData>
  <autoFilter ref="A4:S115"/>
  <mergeCells count="5">
    <mergeCell ref="A119:S119"/>
    <mergeCell ref="A118:S118"/>
    <mergeCell ref="A1:S1"/>
    <mergeCell ref="A120:S120"/>
    <mergeCell ref="A2:S2"/>
  </mergeCells>
  <conditionalFormatting sqref="A5:S115">
    <cfRule type="expression" priority="1" dxfId="5">
      <formula>MOD(ROW(),2)=0</formula>
    </cfRule>
  </conditionalFormatting>
  <conditionalFormatting sqref="N5:N115">
    <cfRule type="dataBar" priority="2">
      <dataBar showValue="1">
        <cfvo type="num" val="0"/>
        <cfvo type="num" val="1"/>
        <color rgb="002E75B6"/>
      </dataBar>
    </cfRule>
  </conditionalFormatting>
  <conditionalFormatting sqref="P5:P115">
    <cfRule type="expression" priority="3" dxfId="11">
      <formula>ISNUMBER(SEARCH("BELOW",$P5))</formula>
    </cfRule>
    <cfRule type="expression" priority="4" dxfId="12">
      <formula>$P5="Complete"</formula>
    </cfRule>
    <cfRule type="expression" priority="5" dxfId="13">
      <formula>$P5="At or above threshold"</formula>
    </cfRule>
  </conditionalFormatting>
  <conditionalFormatting sqref="R5:R115">
    <cfRule type="cellIs" priority="6" operator="greaterThan" dxfId="10">
      <formula>0</formula>
    </cfRule>
  </conditionalFormatting>
  <conditionalFormatting sqref="S5:S115">
    <cfRule type="cellIs" priority="7" operator="greaterThan" dxfId="10">
      <formula>0</formula>
    </cfRule>
  </conditionalFormatting>
  <conditionalFormatting sqref="E5:E115">
    <cfRule type="expression" priority="8" dxfId="14">
      <formula>$E5="P1"</formula>
    </cfRule>
  </conditionalFormatting>
  <pageMargins left="0.75" right="0.75" top="1" bottom="1" header="0.5" footer="0.5"/>
</worksheet>
</file>

<file path=xl/worksheets/sheet6.xml><?xml version="1.0" encoding="utf-8"?>
<worksheet xmlns="http://schemas.openxmlformats.org/spreadsheetml/2006/main">
  <sheetPr>
    <tabColor rgb="002F5597"/>
    <outlinePr summaryBelow="1" summaryRight="1"/>
    <pageSetUpPr/>
  </sheetPr>
  <dimension ref="A1:M15"/>
  <sheetViews>
    <sheetView showGridLines="0" zoomScale="90" workbookViewId="0">
      <pane ySplit="4" topLeftCell="A5" activePane="bottomLeft" state="frozen"/>
      <selection pane="bottomLeft" activeCell="A1" sqref="A1"/>
    </sheetView>
  </sheetViews>
  <sheetFormatPr baseColWidth="8" defaultRowHeight="15"/>
  <cols>
    <col width="18" customWidth="1" min="1" max="1"/>
    <col width="9" customWidth="1" min="2" max="2"/>
    <col width="9" customWidth="1" min="3" max="3"/>
    <col width="9" customWidth="1" min="4" max="4"/>
    <col width="9" customWidth="1" min="5" max="5"/>
    <col width="9" customWidth="1" min="6" max="6"/>
    <col width="9" customWidth="1" min="7" max="7"/>
    <col width="10" customWidth="1" min="8" max="8"/>
    <col width="11" customWidth="1" min="9" max="9"/>
    <col width="12" customWidth="1" min="10" max="10"/>
    <col width="12" customWidth="1" min="11" max="11"/>
    <col width="11" customWidth="1" min="12" max="12"/>
    <col width="26" customWidth="1" min="13" max="13"/>
  </cols>
  <sheetData>
    <row r="1" ht="26" customHeight="1">
      <c r="A1" s="1" t="inlineStr">
        <is>
          <t>Specialty View — progress and slippage</t>
        </is>
      </c>
    </row>
    <row r="2" ht="14" customHeight="1">
      <c r="A2" s="2" t="inlineStr">
        <is>
          <t>One row per specialty, every figure a formula. Expected completion comes from the Schedule Model; the variance is measured against it.</t>
        </is>
      </c>
    </row>
    <row r="3" ht="3" customHeight="1">
      <c r="A3" s="3" t="n"/>
      <c r="B3" s="3" t="n"/>
      <c r="C3" s="3" t="n"/>
      <c r="D3" s="3" t="n"/>
      <c r="E3" s="3" t="n"/>
      <c r="F3" s="3" t="n"/>
      <c r="G3" s="3" t="n"/>
      <c r="H3" s="3" t="n"/>
      <c r="I3" s="3" t="n"/>
      <c r="J3" s="3" t="n"/>
      <c r="K3" s="3" t="n"/>
      <c r="L3" s="3" t="n"/>
      <c r="M3" s="3" t="n"/>
    </row>
    <row r="4" ht="34" customHeight="1">
      <c r="A4" s="21" t="inlineStr">
        <is>
          <t>Specialty</t>
        </is>
      </c>
      <c r="B4" s="21" t="inlineStr">
        <is>
          <t>Target</t>
        </is>
      </c>
      <c r="C4" s="21" t="inlineStr">
        <is>
          <t>Live</t>
        </is>
      </c>
      <c r="D4" s="21" t="inlineStr">
        <is>
          <t>In
build</t>
        </is>
      </c>
      <c r="E4" s="21" t="inlineStr">
        <is>
          <t>On
hold</t>
        </is>
      </c>
      <c r="F4" s="21" t="inlineStr">
        <is>
          <t>Retired</t>
        </is>
      </c>
      <c r="G4" s="21" t="inlineStr">
        <is>
          <t>Not yet
sourced</t>
        </is>
      </c>
      <c r="H4" s="21" t="inlineStr">
        <is>
          <t>% of
target</t>
        </is>
      </c>
      <c r="I4" s="21" t="inlineStr">
        <is>
          <t>Topics below
threshold</t>
        </is>
      </c>
      <c r="J4" s="21" t="inlineStr">
        <is>
          <t>Expected
completion</t>
        </is>
      </c>
      <c r="K4" s="21" t="inlineStr">
        <is>
          <t>Days vs
expected</t>
        </is>
      </c>
      <c r="L4" s="21" t="inlineStr">
        <is>
          <t>Open
issues</t>
        </is>
      </c>
      <c r="M4" s="21" t="inlineStr">
        <is>
          <t>Status</t>
        </is>
      </c>
    </row>
    <row r="5" ht="26" customHeight="1">
      <c r="A5" s="22" t="inlineStr">
        <is>
          <t>IP-DRG</t>
        </is>
      </c>
      <c r="B5" s="23">
        <f>SUMIF('Topic Plan'!$A$5:$A$115,$A5,'Topic Plan'!$H$5:$H$115)</f>
        <v/>
      </c>
      <c r="C5" s="23">
        <f>SUMIF('Topic Plan'!$A$5:$A$115,$A5,'Topic Plan'!$J$5:$J$115)</f>
        <v/>
      </c>
      <c r="D5" s="23">
        <f>SUMIF('Topic Plan'!$A$5:$A$115,$A5,'Topic Plan'!$K$5:$K$115)</f>
        <v/>
      </c>
      <c r="E5" s="23">
        <f>SUMIF('Topic Plan'!$A$5:$A$115,$A5,'Topic Plan'!$L$5:$L$115)</f>
        <v/>
      </c>
      <c r="F5" s="23">
        <f>SUMIF('Topic Plan'!$A$5:$A$115,$A5,'Topic Plan'!$M$5:$M$115)</f>
        <v/>
      </c>
      <c r="G5" s="23">
        <f>MAX(0,B5-COUNTIF('Chart Register'!$B$5:$B$1004,$A5))</f>
        <v/>
      </c>
      <c r="H5" s="24">
        <f>IF(B5=0,"NA",C5/B5)</f>
        <v/>
      </c>
      <c r="I5" s="23">
        <f>COUNTIFS('Topic Plan'!$A$5:$A$115,$A5,'Topic Plan'!$P$5:$P$115,"BELOW*")</f>
        <v/>
      </c>
      <c r="J5" s="29">
        <f>IF('Schedule Model'!$H$12="NA","NA",'Schedule Model'!$H$12)</f>
        <v/>
      </c>
      <c r="K5" s="23">
        <f>IF(NOT(ISNUMBER(J5)),"NA",IF(C5&gt;=B5,"Complete",IF(TODAY()&lt;=J5,"Not yet due",TODAY()-J5)))</f>
        <v/>
      </c>
      <c r="L5" s="23">
        <f>COUNTIFS('Issues Log'!$E$5:$E$504,$A5,'Issues Log'!$K$5:$K$504,"Open")+COUNTIFS('Issues Log'!$E$5:$E$504,$A5,'Issues Log'!$K$5:$K$504,"In progress")</f>
        <v/>
      </c>
      <c r="M5" s="33">
        <f>IF(B5=0,"No target set",IF(C5&gt;=B5,"Complete",IF(AND(ISNUMBER(K5),K5&gt;0),"BEHIND — expected date passed",IF(I5&gt;0,"Coverage gap in "&amp;I5&amp;" topic(s)","On track"))))</f>
        <v/>
      </c>
    </row>
    <row r="6" ht="26" customHeight="1">
      <c r="A6" s="22" t="inlineStr">
        <is>
          <t>ED Facility</t>
        </is>
      </c>
      <c r="B6" s="23">
        <f>SUMIF('Topic Plan'!$A$5:$A$115,$A6,'Topic Plan'!$H$5:$H$115)</f>
        <v/>
      </c>
      <c r="C6" s="23">
        <f>SUMIF('Topic Plan'!$A$5:$A$115,$A6,'Topic Plan'!$J$5:$J$115)</f>
        <v/>
      </c>
      <c r="D6" s="23">
        <f>SUMIF('Topic Plan'!$A$5:$A$115,$A6,'Topic Plan'!$K$5:$K$115)</f>
        <v/>
      </c>
      <c r="E6" s="23">
        <f>SUMIF('Topic Plan'!$A$5:$A$115,$A6,'Topic Plan'!$L$5:$L$115)</f>
        <v/>
      </c>
      <c r="F6" s="23">
        <f>SUMIF('Topic Plan'!$A$5:$A$115,$A6,'Topic Plan'!$M$5:$M$115)</f>
        <v/>
      </c>
      <c r="G6" s="23">
        <f>MAX(0,B6-COUNTIF('Chart Register'!$B$5:$B$1004,$A6))</f>
        <v/>
      </c>
      <c r="H6" s="24">
        <f>IF(B6=0,"NA",C6/B6)</f>
        <v/>
      </c>
      <c r="I6" s="23">
        <f>COUNTIFS('Topic Plan'!$A$5:$A$115,$A6,'Topic Plan'!$P$5:$P$115,"BELOW*")</f>
        <v/>
      </c>
      <c r="J6" s="29">
        <f>IF('Schedule Model'!$H$13="NA","NA",'Schedule Model'!$H$13)</f>
        <v/>
      </c>
      <c r="K6" s="23">
        <f>IF(NOT(ISNUMBER(J6)),"NA",IF(C6&gt;=B6,"Complete",IF(TODAY()&lt;=J6,"Not yet due",TODAY()-J6)))</f>
        <v/>
      </c>
      <c r="L6" s="23">
        <f>COUNTIFS('Issues Log'!$E$5:$E$504,$A6,'Issues Log'!$K$5:$K$504,"Open")+COUNTIFS('Issues Log'!$E$5:$E$504,$A6,'Issues Log'!$K$5:$K$504,"In progress")</f>
        <v/>
      </c>
      <c r="M6" s="33">
        <f>IF(B6=0,"No target set",IF(C6&gt;=B6,"Complete",IF(AND(ISNUMBER(K6),K6&gt;0),"BEHIND — expected date passed",IF(I6&gt;0,"Coverage gap in "&amp;I6&amp;" topic(s)","On track"))))</f>
        <v/>
      </c>
    </row>
    <row r="7" ht="26" customHeight="1">
      <c r="A7" s="22" t="inlineStr">
        <is>
          <t>ED Profee</t>
        </is>
      </c>
      <c r="B7" s="23">
        <f>SUMIF('Topic Plan'!$A$5:$A$115,$A7,'Topic Plan'!$H$5:$H$115)</f>
        <v/>
      </c>
      <c r="C7" s="23">
        <f>SUMIF('Topic Plan'!$A$5:$A$115,$A7,'Topic Plan'!$J$5:$J$115)</f>
        <v/>
      </c>
      <c r="D7" s="23">
        <f>SUMIF('Topic Plan'!$A$5:$A$115,$A7,'Topic Plan'!$K$5:$K$115)</f>
        <v/>
      </c>
      <c r="E7" s="23">
        <f>SUMIF('Topic Plan'!$A$5:$A$115,$A7,'Topic Plan'!$L$5:$L$115)</f>
        <v/>
      </c>
      <c r="F7" s="23">
        <f>SUMIF('Topic Plan'!$A$5:$A$115,$A7,'Topic Plan'!$M$5:$M$115)</f>
        <v/>
      </c>
      <c r="G7" s="23">
        <f>MAX(0,B7-COUNTIF('Chart Register'!$B$5:$B$1004,$A7))</f>
        <v/>
      </c>
      <c r="H7" s="24">
        <f>IF(B7=0,"NA",C7/B7)</f>
        <v/>
      </c>
      <c r="I7" s="23">
        <f>COUNTIFS('Topic Plan'!$A$5:$A$115,$A7,'Topic Plan'!$P$5:$P$115,"BELOW*")</f>
        <v/>
      </c>
      <c r="J7" s="29">
        <f>IF('Schedule Model'!$H$14="NA","NA",'Schedule Model'!$H$14)</f>
        <v/>
      </c>
      <c r="K7" s="23">
        <f>IF(NOT(ISNUMBER(J7)),"NA",IF(C7&gt;=B7,"Complete",IF(TODAY()&lt;=J7,"Not yet due",TODAY()-J7)))</f>
        <v/>
      </c>
      <c r="L7" s="23">
        <f>COUNTIFS('Issues Log'!$E$5:$E$504,$A7,'Issues Log'!$K$5:$K$504,"Open")+COUNTIFS('Issues Log'!$E$5:$E$504,$A7,'Issues Log'!$K$5:$K$504,"In progress")</f>
        <v/>
      </c>
      <c r="M7" s="33">
        <f>IF(B7=0,"No target set",IF(C7&gt;=B7,"Complete",IF(AND(ISNUMBER(K7),K7&gt;0),"BEHIND — expected date passed",IF(I7&gt;0,"Coverage gap in "&amp;I7&amp;" topic(s)","On track"))))</f>
        <v/>
      </c>
    </row>
    <row r="8" ht="26" customHeight="1">
      <c r="A8" s="22" t="inlineStr">
        <is>
          <t>E/M</t>
        </is>
      </c>
      <c r="B8" s="23">
        <f>SUMIF('Topic Plan'!$A$5:$A$115,$A8,'Topic Plan'!$H$5:$H$115)</f>
        <v/>
      </c>
      <c r="C8" s="23">
        <f>SUMIF('Topic Plan'!$A$5:$A$115,$A8,'Topic Plan'!$J$5:$J$115)</f>
        <v/>
      </c>
      <c r="D8" s="23">
        <f>SUMIF('Topic Plan'!$A$5:$A$115,$A8,'Topic Plan'!$K$5:$K$115)</f>
        <v/>
      </c>
      <c r="E8" s="23">
        <f>SUMIF('Topic Plan'!$A$5:$A$115,$A8,'Topic Plan'!$L$5:$L$115)</f>
        <v/>
      </c>
      <c r="F8" s="23">
        <f>SUMIF('Topic Plan'!$A$5:$A$115,$A8,'Topic Plan'!$M$5:$M$115)</f>
        <v/>
      </c>
      <c r="G8" s="23">
        <f>MAX(0,B8-COUNTIF('Chart Register'!$B$5:$B$1004,$A8))</f>
        <v/>
      </c>
      <c r="H8" s="24">
        <f>IF(B8=0,"NA",C8/B8)</f>
        <v/>
      </c>
      <c r="I8" s="23">
        <f>COUNTIFS('Topic Plan'!$A$5:$A$115,$A8,'Topic Plan'!$P$5:$P$115,"BELOW*")</f>
        <v/>
      </c>
      <c r="J8" s="29">
        <f>IF('Schedule Model'!$H$15="NA","NA",'Schedule Model'!$H$15)</f>
        <v/>
      </c>
      <c r="K8" s="23">
        <f>IF(NOT(ISNUMBER(J8)),"NA",IF(C8&gt;=B8,"Complete",IF(TODAY()&lt;=J8,"Not yet due",TODAY()-J8)))</f>
        <v/>
      </c>
      <c r="L8" s="23">
        <f>COUNTIFS('Issues Log'!$E$5:$E$504,$A8,'Issues Log'!$K$5:$K$504,"Open")+COUNTIFS('Issues Log'!$E$5:$E$504,$A8,'Issues Log'!$K$5:$K$504,"In progress")</f>
        <v/>
      </c>
      <c r="M8" s="33">
        <f>IF(B8=0,"No target set",IF(C8&gt;=B8,"Complete",IF(AND(ISNUMBER(K8),K8&gt;0),"BEHIND — expected date passed",IF(I8&gt;0,"Coverage gap in "&amp;I8&amp;" topic(s)","On track"))))</f>
        <v/>
      </c>
    </row>
    <row r="9" ht="26" customHeight="1">
      <c r="A9" s="22" t="inlineStr">
        <is>
          <t>SDS</t>
        </is>
      </c>
      <c r="B9" s="23">
        <f>SUMIF('Topic Plan'!$A$5:$A$115,$A9,'Topic Plan'!$H$5:$H$115)</f>
        <v/>
      </c>
      <c r="C9" s="23">
        <f>SUMIF('Topic Plan'!$A$5:$A$115,$A9,'Topic Plan'!$J$5:$J$115)</f>
        <v/>
      </c>
      <c r="D9" s="23">
        <f>SUMIF('Topic Plan'!$A$5:$A$115,$A9,'Topic Plan'!$K$5:$K$115)</f>
        <v/>
      </c>
      <c r="E9" s="23">
        <f>SUMIF('Topic Plan'!$A$5:$A$115,$A9,'Topic Plan'!$L$5:$L$115)</f>
        <v/>
      </c>
      <c r="F9" s="23">
        <f>SUMIF('Topic Plan'!$A$5:$A$115,$A9,'Topic Plan'!$M$5:$M$115)</f>
        <v/>
      </c>
      <c r="G9" s="23">
        <f>MAX(0,B9-COUNTIF('Chart Register'!$B$5:$B$1004,$A9))</f>
        <v/>
      </c>
      <c r="H9" s="24">
        <f>IF(B9=0,"NA",C9/B9)</f>
        <v/>
      </c>
      <c r="I9" s="23">
        <f>COUNTIFS('Topic Plan'!$A$5:$A$115,$A9,'Topic Plan'!$P$5:$P$115,"BELOW*")</f>
        <v/>
      </c>
      <c r="J9" s="29">
        <f>IF('Schedule Model'!$H$16="NA","NA",'Schedule Model'!$H$16)</f>
        <v/>
      </c>
      <c r="K9" s="23">
        <f>IF(NOT(ISNUMBER(J9)),"NA",IF(C9&gt;=B9,"Complete",IF(TODAY()&lt;=J9,"Not yet due",TODAY()-J9)))</f>
        <v/>
      </c>
      <c r="L9" s="23">
        <f>COUNTIFS('Issues Log'!$E$5:$E$504,$A9,'Issues Log'!$K$5:$K$504,"Open")+COUNTIFS('Issues Log'!$E$5:$E$504,$A9,'Issues Log'!$K$5:$K$504,"In progress")</f>
        <v/>
      </c>
      <c r="M9" s="33">
        <f>IF(B9=0,"No target set",IF(C9&gt;=B9,"Complete",IF(AND(ISNUMBER(K9),K9&gt;0),"BEHIND — expected date passed",IF(I9&gt;0,"Coverage gap in "&amp;I9&amp;" topic(s)","On track"))))</f>
        <v/>
      </c>
    </row>
    <row r="10" ht="26" customHeight="1">
      <c r="A10" s="22" t="inlineStr">
        <is>
          <t>Surgery</t>
        </is>
      </c>
      <c r="B10" s="23">
        <f>SUMIF('Topic Plan'!$A$5:$A$115,$A10,'Topic Plan'!$H$5:$H$115)</f>
        <v/>
      </c>
      <c r="C10" s="23">
        <f>SUMIF('Topic Plan'!$A$5:$A$115,$A10,'Topic Plan'!$J$5:$J$115)</f>
        <v/>
      </c>
      <c r="D10" s="23">
        <f>SUMIF('Topic Plan'!$A$5:$A$115,$A10,'Topic Plan'!$K$5:$K$115)</f>
        <v/>
      </c>
      <c r="E10" s="23">
        <f>SUMIF('Topic Plan'!$A$5:$A$115,$A10,'Topic Plan'!$L$5:$L$115)</f>
        <v/>
      </c>
      <c r="F10" s="23">
        <f>SUMIF('Topic Plan'!$A$5:$A$115,$A10,'Topic Plan'!$M$5:$M$115)</f>
        <v/>
      </c>
      <c r="G10" s="23">
        <f>MAX(0,B10-COUNTIF('Chart Register'!$B$5:$B$1004,$A10))</f>
        <v/>
      </c>
      <c r="H10" s="24">
        <f>IF(B10=0,"NA",C10/B10)</f>
        <v/>
      </c>
      <c r="I10" s="23">
        <f>COUNTIFS('Topic Plan'!$A$5:$A$115,$A10,'Topic Plan'!$P$5:$P$115,"BELOW*")</f>
        <v/>
      </c>
      <c r="J10" s="29">
        <f>IF('Schedule Model'!$H$17="NA","NA",'Schedule Model'!$H$17)</f>
        <v/>
      </c>
      <c r="K10" s="23">
        <f>IF(NOT(ISNUMBER(J10)),"NA",IF(C10&gt;=B10,"Complete",IF(TODAY()&lt;=J10,"Not yet due",TODAY()-J10)))</f>
        <v/>
      </c>
      <c r="L10" s="23">
        <f>COUNTIFS('Issues Log'!$E$5:$E$504,$A10,'Issues Log'!$K$5:$K$504,"Open")+COUNTIFS('Issues Log'!$E$5:$E$504,$A10,'Issues Log'!$K$5:$K$504,"In progress")</f>
        <v/>
      </c>
      <c r="M10" s="33">
        <f>IF(B10=0,"No target set",IF(C10&gt;=B10,"Complete",IF(AND(ISNUMBER(K10),K10&gt;0),"BEHIND — expected date passed",IF(I10&gt;0,"Coverage gap in "&amp;I10&amp;" topic(s)","On track"))))</f>
        <v/>
      </c>
    </row>
    <row r="11" ht="26" customHeight="1">
      <c r="A11" s="22" t="inlineStr">
        <is>
          <t>ED Single Path</t>
        </is>
      </c>
      <c r="B11" s="23">
        <f>SUMIF('Topic Plan'!$A$5:$A$115,$A11,'Topic Plan'!$H$5:$H$115)</f>
        <v/>
      </c>
      <c r="C11" s="23">
        <f>SUMIF('Topic Plan'!$A$5:$A$115,$A11,'Topic Plan'!$J$5:$J$115)</f>
        <v/>
      </c>
      <c r="D11" s="23">
        <f>SUMIF('Topic Plan'!$A$5:$A$115,$A11,'Topic Plan'!$K$5:$K$115)</f>
        <v/>
      </c>
      <c r="E11" s="23">
        <f>SUMIF('Topic Plan'!$A$5:$A$115,$A11,'Topic Plan'!$L$5:$L$115)</f>
        <v/>
      </c>
      <c r="F11" s="23">
        <f>SUMIF('Topic Plan'!$A$5:$A$115,$A11,'Topic Plan'!$M$5:$M$115)</f>
        <v/>
      </c>
      <c r="G11" s="23">
        <f>MAX(0,B11-COUNTIF('Chart Register'!$B$5:$B$1004,$A11))</f>
        <v/>
      </c>
      <c r="H11" s="24">
        <f>IF(B11=0,"NA",C11/B11)</f>
        <v/>
      </c>
      <c r="I11" s="23">
        <f>COUNTIFS('Topic Plan'!$A$5:$A$115,$A11,'Topic Plan'!$P$5:$P$115,"BELOW*")</f>
        <v/>
      </c>
      <c r="J11" s="29">
        <f>IF('Schedule Model'!$H$18="NA","NA",'Schedule Model'!$H$18)</f>
        <v/>
      </c>
      <c r="K11" s="23">
        <f>IF(NOT(ISNUMBER(J11)),"NA",IF(C11&gt;=B11,"Complete",IF(TODAY()&lt;=J11,"Not yet due",TODAY()-J11)))</f>
        <v/>
      </c>
      <c r="L11" s="23">
        <f>COUNTIFS('Issues Log'!$E$5:$E$504,$A11,'Issues Log'!$K$5:$K$504,"Open")+COUNTIFS('Issues Log'!$E$5:$E$504,$A11,'Issues Log'!$K$5:$K$504,"In progress")</f>
        <v/>
      </c>
      <c r="M11" s="33">
        <f>IF(B11=0,"No target set",IF(C11&gt;=B11,"Complete",IF(AND(ISNUMBER(K11),K11&gt;0),"BEHIND — expected date passed",IF(I11&gt;0,"Coverage gap in "&amp;I11&amp;" topic(s)","On track"))))</f>
        <v/>
      </c>
    </row>
    <row r="12">
      <c r="A12" s="38" t="inlineStr">
        <is>
          <t>TOTAL</t>
        </is>
      </c>
      <c r="B12" s="40">
        <f>SUM(B5:B11)</f>
        <v/>
      </c>
      <c r="C12" s="40">
        <f>SUM(C5:C11)</f>
        <v/>
      </c>
      <c r="D12" s="40">
        <f>SUM(D5:D11)</f>
        <v/>
      </c>
      <c r="E12" s="40">
        <f>SUM(E5:E11)</f>
        <v/>
      </c>
      <c r="F12" s="40">
        <f>SUM(F5:F11)</f>
        <v/>
      </c>
      <c r="G12" s="40">
        <f>SUM(G5:G11)</f>
        <v/>
      </c>
      <c r="H12" s="43">
        <f>IF(B12=0,"NA",C12/B12)</f>
        <v/>
      </c>
      <c r="I12" s="40">
        <f>SUM(I5:I11)</f>
        <v/>
      </c>
      <c r="J12" s="44">
        <f>MAX(J5:J11)</f>
        <v/>
      </c>
      <c r="K12" s="39" t="n"/>
      <c r="L12" s="40">
        <f>SUM(L5:L11)</f>
        <v/>
      </c>
      <c r="M12" s="42" t="inlineStr">
        <is>
          <t>Expected completion is the LATEST specialty, not a sum</t>
        </is>
      </c>
    </row>
    <row r="14" ht="26" customHeight="1">
      <c r="A14" s="13" t="inlineStr">
        <is>
          <t>Not yet sourced is the target less the register rows for that specialty, floored at zero. It goes to zero before the specialty is finished, because a logged chart is sourced whether or not it is live — read it with In build beside it.</t>
        </is>
      </c>
    </row>
    <row r="15" ht="26" customHeight="1">
      <c r="A15" s="13" t="inlineStr">
        <is>
          <t>Days vs expected compares today with the Schedule Model date. It is a capacity statement, not a judgement: a specialty behind on one FTE is on time on two, which is exactly what the FTE column on that sheet is for.</t>
        </is>
      </c>
    </row>
  </sheetData>
  <mergeCells count="4">
    <mergeCell ref="A15:M15"/>
    <mergeCell ref="A2:M2"/>
    <mergeCell ref="A14:M14"/>
    <mergeCell ref="A1:M1"/>
  </mergeCells>
  <conditionalFormatting sqref="H5:H11">
    <cfRule type="dataBar" priority="1">
      <dataBar showValue="1">
        <cfvo type="num" val="0"/>
        <cfvo type="num" val="1"/>
        <color rgb="002E75B6"/>
      </dataBar>
    </cfRule>
  </conditionalFormatting>
  <conditionalFormatting sqref="M5:M11">
    <cfRule type="expression" priority="2" dxfId="11">
      <formula>ISNUMBER(SEARCH("BEHIND",$M5))</formula>
    </cfRule>
    <cfRule type="expression" priority="3" dxfId="12">
      <formula>$M5="On track"</formula>
    </cfRule>
    <cfRule type="expression" priority="4" dxfId="12">
      <formula>$M5="Complete"</formula>
    </cfRule>
    <cfRule type="expression" priority="5" dxfId="14">
      <formula>ISNUMBER(SEARCH("Coverage gap",$M5))</formula>
    </cfRule>
  </conditionalFormatting>
  <conditionalFormatting sqref="I5:I11">
    <cfRule type="cellIs" priority="6" operator="greaterThan" dxfId="7">
      <formula>0</formula>
    </cfRule>
  </conditionalFormatting>
  <conditionalFormatting sqref="L5:L11">
    <cfRule type="cellIs" priority="7" operator="greaterThan" dxfId="10">
      <formula>0</formula>
    </cfRule>
  </conditionalFormatting>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3"/>
  <sheetViews>
    <sheetView showGridLines="0" zoomScale="90" workbookViewId="0">
      <selection activeCell="A1" sqref="A1"/>
    </sheetView>
  </sheetViews>
  <sheetFormatPr baseColWidth="8" defaultRowHeight="15"/>
  <cols>
    <col width="22" customWidth="1" min="1" max="1"/>
    <col width="12" customWidth="1" min="2" max="2"/>
    <col width="13" customWidth="1" min="3" max="3"/>
    <col width="13" customWidth="1" min="4" max="4"/>
    <col width="11" customWidth="1" min="5" max="5"/>
    <col width="13" customWidth="1" min="6" max="6"/>
    <col width="12" customWidth="1" min="7" max="7"/>
    <col width="15" customWidth="1" min="8" max="8"/>
    <col width="46" customWidth="1" min="9" max="9"/>
  </cols>
  <sheetData>
    <row r="1" ht="26" customHeight="1">
      <c r="A1" s="1" t="inlineStr">
        <is>
          <t>Schedule Model — where the expected dates come from</t>
        </is>
      </c>
    </row>
    <row r="2" ht="14" customHeight="1">
      <c r="A2" s="2" t="inlineStr">
        <is>
          <t>Derived from the HC build-hour rates and the FTE assigned. Shaded cells are inputs; every date in this workbook moves when they change.</t>
        </is>
      </c>
    </row>
    <row r="3" ht="3" customHeight="1">
      <c r="A3" s="3" t="n"/>
      <c r="B3" s="3" t="n"/>
      <c r="C3" s="3" t="n"/>
      <c r="D3" s="3" t="n"/>
      <c r="E3" s="3" t="n"/>
      <c r="F3" s="3" t="n"/>
      <c r="G3" s="3" t="n"/>
      <c r="H3" s="3" t="n"/>
      <c r="I3" s="3" t="n"/>
    </row>
    <row r="4" ht="20" customHeight="1">
      <c r="A4" s="20" t="inlineStr">
        <is>
          <t xml:space="preserve">  PROGRAMME INPUTS</t>
        </is>
      </c>
    </row>
    <row r="5" ht="16" customHeight="1">
      <c r="A5" s="45" t="inlineStr">
        <is>
          <t>Programme start date</t>
        </is>
      </c>
      <c r="B5" s="46" t="n"/>
      <c r="C5" s="47" t="n">
        <v>46310</v>
      </c>
      <c r="D5" s="25" t="inlineStr">
        <is>
          <t>The day building begins. Expected dates are measured forward from here.</t>
        </is>
      </c>
    </row>
    <row r="6" ht="16" customHeight="1">
      <c r="A6" s="45" t="inlineStr">
        <is>
          <t>Effective hours per FTE per year</t>
        </is>
      </c>
      <c r="B6" s="46" t="n"/>
      <c r="C6" s="11" t="n">
        <v>1795.5</v>
      </c>
      <c r="D6" s="25" t="inlineStr">
        <is>
          <t>HC Assumptions section E. Already net of the utilisation buffer below.</t>
        </is>
      </c>
    </row>
    <row r="7" ht="24" customHeight="1">
      <c r="A7" s="45" t="inlineStr">
        <is>
          <t>Productive utilisation target</t>
        </is>
      </c>
      <c r="B7" s="46" t="n"/>
      <c r="C7" s="48" t="n">
        <v>0.95</v>
      </c>
      <c r="D7" s="25" t="inlineStr">
        <is>
          <t>HC Assumptions section E. Shown for traceability; it is baked into the line above, so changing it here changes nothing on its own.</t>
        </is>
      </c>
    </row>
    <row r="8" ht="24" customHeight="1">
      <c r="A8" s="45" t="inlineStr">
        <is>
          <t>Gap threshold</t>
        </is>
      </c>
      <c r="B8" s="46" t="n"/>
      <c r="C8" s="48" t="n">
        <v>0.8</v>
      </c>
      <c r="D8" s="25" t="inlineStr">
        <is>
          <t>HC Chart Selection section 9. A topic below this share of its target triggers targeted sourcing.</t>
        </is>
      </c>
    </row>
    <row r="10" ht="20" customHeight="1">
      <c r="A10" s="20" t="inlineStr">
        <is>
          <t xml:space="preserve">  BUILD EFFORT AND EXPECTED COMPLETION BY SPECIALTY</t>
        </is>
      </c>
    </row>
    <row r="11" ht="34" customHeight="1">
      <c r="A11" s="21" t="inlineStr">
        <is>
          <t>Specialty</t>
        </is>
      </c>
      <c r="B11" s="21" t="inlineStr">
        <is>
          <t>Target
charts</t>
        </is>
      </c>
      <c r="C11" s="21" t="inlineStr">
        <is>
          <t>Build hrs
per chart</t>
        </is>
      </c>
      <c r="D11" s="21" t="inlineStr">
        <is>
          <t>Total build
hours</t>
        </is>
      </c>
      <c r="E11" s="21" t="inlineStr">
        <is>
          <t>FTE
assigned</t>
        </is>
      </c>
      <c r="F11" s="21" t="inlineStr">
        <is>
          <t>Hours per
week</t>
        </is>
      </c>
      <c r="G11" s="21" t="inlineStr">
        <is>
          <t>Weeks
required</t>
        </is>
      </c>
      <c r="H11" s="21" t="inlineStr">
        <is>
          <t>Expected
completion</t>
        </is>
      </c>
      <c r="I11" s="21" t="inlineStr">
        <is>
          <t>Build rate source</t>
        </is>
      </c>
    </row>
    <row r="12">
      <c r="A12" s="22" t="inlineStr">
        <is>
          <t>IP-DRG</t>
        </is>
      </c>
      <c r="B12" s="23" t="n">
        <v>693</v>
      </c>
      <c r="C12" s="49" t="n">
        <v>3</v>
      </c>
      <c r="D12" s="50">
        <f>B12*C12</f>
        <v/>
      </c>
      <c r="E12" s="49" t="n">
        <v>1</v>
      </c>
      <c r="F12" s="51">
        <f>$C$6/52*E12</f>
        <v/>
      </c>
      <c r="G12" s="51">
        <f>IF(F12=0,"NA",D12/F12)</f>
        <v/>
      </c>
      <c r="H12" s="29">
        <f>IF(F12=0,"NA",INT($C$5+G12*7))</f>
        <v/>
      </c>
      <c r="I12" s="33" t="inlineStr">
        <is>
          <t>HC FTE Demand</t>
        </is>
      </c>
    </row>
    <row r="13">
      <c r="A13" s="22" t="inlineStr">
        <is>
          <t>ED Facility</t>
        </is>
      </c>
      <c r="B13" s="23" t="n">
        <v>704</v>
      </c>
      <c r="C13" s="49" t="n">
        <v>1.5</v>
      </c>
      <c r="D13" s="50">
        <f>B13*C13</f>
        <v/>
      </c>
      <c r="E13" s="49" t="n">
        <v>1</v>
      </c>
      <c r="F13" s="51">
        <f>$C$6/52*E13</f>
        <v/>
      </c>
      <c r="G13" s="51">
        <f>IF(F13=0,"NA",D13/F13)</f>
        <v/>
      </c>
      <c r="H13" s="29">
        <f>IF(F13=0,"NA",INT($C$5+G13*7))</f>
        <v/>
      </c>
      <c r="I13" s="33" t="inlineStr">
        <is>
          <t>HC FTE Demand</t>
        </is>
      </c>
    </row>
    <row r="14">
      <c r="A14" s="22" t="inlineStr">
        <is>
          <t>ED Profee</t>
        </is>
      </c>
      <c r="B14" s="23" t="n">
        <v>400</v>
      </c>
      <c r="C14" s="49" t="n">
        <v>3</v>
      </c>
      <c r="D14" s="50">
        <f>B14*C14</f>
        <v/>
      </c>
      <c r="E14" s="49" t="n">
        <v>1</v>
      </c>
      <c r="F14" s="51">
        <f>$C$6/52*E14</f>
        <v/>
      </c>
      <c r="G14" s="51">
        <f>IF(F14=0,"NA",D14/F14)</f>
        <v/>
      </c>
      <c r="H14" s="29">
        <f>IF(F14=0,"NA",INT($C$5+G14*7))</f>
        <v/>
      </c>
      <c r="I14" s="33" t="inlineStr">
        <is>
          <t>Assumption — E/M rate, no HC row</t>
        </is>
      </c>
    </row>
    <row r="15">
      <c r="A15" s="22" t="inlineStr">
        <is>
          <t>E/M</t>
        </is>
      </c>
      <c r="B15" s="23" t="n">
        <v>413</v>
      </c>
      <c r="C15" s="49" t="n">
        <v>3</v>
      </c>
      <c r="D15" s="50">
        <f>B15*C15</f>
        <v/>
      </c>
      <c r="E15" s="49" t="n">
        <v>1</v>
      </c>
      <c r="F15" s="51">
        <f>$C$6/52*E15</f>
        <v/>
      </c>
      <c r="G15" s="51">
        <f>IF(F15=0,"NA",D15/F15)</f>
        <v/>
      </c>
      <c r="H15" s="29">
        <f>IF(F15=0,"NA",INT($C$5+G15*7))</f>
        <v/>
      </c>
      <c r="I15" s="33" t="inlineStr">
        <is>
          <t>HC FTE Demand</t>
        </is>
      </c>
    </row>
    <row r="16">
      <c r="A16" s="22" t="inlineStr">
        <is>
          <t>SDS</t>
        </is>
      </c>
      <c r="B16" s="23" t="n">
        <v>132</v>
      </c>
      <c r="C16" s="49" t="n">
        <v>1.5</v>
      </c>
      <c r="D16" s="50">
        <f>B16*C16</f>
        <v/>
      </c>
      <c r="E16" s="49" t="n">
        <v>1</v>
      </c>
      <c r="F16" s="51">
        <f>$C$6/52*E16</f>
        <v/>
      </c>
      <c r="G16" s="51">
        <f>IF(F16=0,"NA",D16/F16)</f>
        <v/>
      </c>
      <c r="H16" s="29">
        <f>IF(F16=0,"NA",INT($C$5+G16*7))</f>
        <v/>
      </c>
      <c r="I16" s="33" t="inlineStr">
        <is>
          <t>HC FTE Demand</t>
        </is>
      </c>
    </row>
    <row r="17">
      <c r="A17" s="22" t="inlineStr">
        <is>
          <t>Surgery</t>
        </is>
      </c>
      <c r="B17" s="23" t="n">
        <v>300</v>
      </c>
      <c r="C17" s="49" t="n">
        <v>3</v>
      </c>
      <c r="D17" s="50">
        <f>B17*C17</f>
        <v/>
      </c>
      <c r="E17" s="49" t="n">
        <v>1</v>
      </c>
      <c r="F17" s="51">
        <f>$C$6/52*E17</f>
        <v/>
      </c>
      <c r="G17" s="51">
        <f>IF(F17=0,"NA",D17/F17)</f>
        <v/>
      </c>
      <c r="H17" s="29">
        <f>IF(F17=0,"NA",INT($C$5+G17*7))</f>
        <v/>
      </c>
      <c r="I17" s="33" t="inlineStr">
        <is>
          <t>Assumption — no HC row</t>
        </is>
      </c>
    </row>
    <row r="18">
      <c r="A18" s="22" t="inlineStr">
        <is>
          <t>ED Single Path</t>
        </is>
      </c>
      <c r="B18" s="23" t="n">
        <v>300</v>
      </c>
      <c r="C18" s="49" t="n">
        <v>3</v>
      </c>
      <c r="D18" s="50">
        <f>B18*C18</f>
        <v/>
      </c>
      <c r="E18" s="49" t="n">
        <v>1</v>
      </c>
      <c r="F18" s="51">
        <f>$C$6/52*E18</f>
        <v/>
      </c>
      <c r="G18" s="51">
        <f>IF(F18=0,"NA",D18/F18)</f>
        <v/>
      </c>
      <c r="H18" s="29">
        <f>IF(F18=0,"NA",INT($C$5+G18*7))</f>
        <v/>
      </c>
      <c r="I18" s="33" t="inlineStr">
        <is>
          <t>Assumption — dual-coded, no HC row</t>
        </is>
      </c>
    </row>
    <row r="19">
      <c r="A19" s="52" t="inlineStr">
        <is>
          <t>TOTAL</t>
        </is>
      </c>
      <c r="B19" s="52">
        <f>SUM(B12:B18)</f>
        <v/>
      </c>
      <c r="C19" s="53" t="n"/>
      <c r="D19" s="54">
        <f>SUM(D12:D18)</f>
        <v/>
      </c>
      <c r="E19" s="52">
        <f>SUM(E12:E18)</f>
        <v/>
      </c>
      <c r="F19" s="53" t="n"/>
      <c r="G19" s="55">
        <f>MAX(G12:G18)</f>
        <v/>
      </c>
      <c r="H19" s="56">
        <f>MAX(H12:H18)</f>
        <v/>
      </c>
      <c r="I19" s="57" t="inlineStr">
        <is>
          <t>Weeks and date are the LONGEST specialty, not the sum — they run in parallel</t>
        </is>
      </c>
    </row>
    <row r="21" ht="26" customHeight="1">
      <c r="A21" s="13" t="inlineStr">
        <is>
          <t>Weeks required assumes the FTE in column E works only on this specialty's initial build. It is elapsed build time, not the steady-state workload: HC's FTE Demand sheet adds refresh and batch handling on top, and a trainer doing both will take longer than column G says.</t>
        </is>
      </c>
    </row>
    <row r="22" ht="26" customHeight="1">
      <c r="A22" s="13" t="inlineStr">
        <is>
          <t>Hours per week divides the annual effective hours by 52, so it already carries HC's utilisation buffer and does not need a second haircut for leave or admin.</t>
        </is>
      </c>
    </row>
    <row r="23" ht="26" customHeight="1">
      <c r="A23" s="26" t="inlineStr">
        <is>
          <t>Three build rates are assumptions, not HC figures: ED Profee, Surgery and ED Single Path have no row in the HC model. Single Path is set at the E/M rate on the grounds that one chart carries two code sets, which is a guess worth revisiting once a few have actually been built.</t>
        </is>
      </c>
    </row>
  </sheetData>
  <mergeCells count="15">
    <mergeCell ref="A2:I2"/>
    <mergeCell ref="A22:I22"/>
    <mergeCell ref="A7:B7"/>
    <mergeCell ref="A10:I10"/>
    <mergeCell ref="A21:I21"/>
    <mergeCell ref="D5:I5"/>
    <mergeCell ref="A5:B5"/>
    <mergeCell ref="A1:I1"/>
    <mergeCell ref="D7:I7"/>
    <mergeCell ref="A23:I23"/>
    <mergeCell ref="D6:I6"/>
    <mergeCell ref="A8:B8"/>
    <mergeCell ref="A4:I4"/>
    <mergeCell ref="A6:B6"/>
    <mergeCell ref="D8:I8"/>
  </mergeCells>
  <pageMargins left="0.75" right="0.75" top="1" bottom="1" header="0.5" footer="0.5"/>
</worksheet>
</file>

<file path=xl/worksheets/sheet8.xml><?xml version="1.0" encoding="utf-8"?>
<worksheet xmlns="http://schemas.openxmlformats.org/spreadsheetml/2006/main">
  <sheetPr>
    <tabColor rgb="009C6500"/>
    <outlinePr summaryBelow="1" summaryRight="1"/>
    <pageSetUpPr/>
  </sheetPr>
  <dimension ref="A1:I24"/>
  <sheetViews>
    <sheetView showGridLines="0" zoomScale="90" workbookViewId="0">
      <selection activeCell="A1" sqref="A1"/>
    </sheetView>
  </sheetViews>
  <sheetFormatPr baseColWidth="8" defaultRowHeight="15"/>
  <cols>
    <col width="18" customWidth="1" min="1" max="1"/>
    <col width="10" customWidth="1" min="2" max="2"/>
    <col width="11" customWidth="1" min="3" max="3"/>
    <col width="11" customWidth="1" min="4" max="4"/>
    <col width="13" customWidth="1" min="5" max="5"/>
    <col width="13" customWidth="1" min="6" max="6"/>
    <col width="13" customWidth="1" min="7" max="7"/>
    <col width="13" customWidth="1" min="8" max="8"/>
    <col width="42" customWidth="1" min="9" max="9"/>
  </cols>
  <sheetData>
    <row r="1" ht="26" customHeight="1">
      <c r="A1" s="1" t="inlineStr">
        <is>
          <t>Refresh and retirement</t>
        </is>
      </c>
    </row>
    <row r="2" ht="14" customHeight="1">
      <c r="A2" s="2" t="inlineStr">
        <is>
          <t>HC policy adds 30% and retires 10% of the pool each half-yearly refresh, a net 20% growth per cycle. This sizes the next one and flags what is due to go.</t>
        </is>
      </c>
    </row>
    <row r="3" ht="3" customHeight="1">
      <c r="A3" s="3" t="n"/>
      <c r="B3" s="3" t="n"/>
      <c r="C3" s="3" t="n"/>
      <c r="D3" s="3" t="n"/>
      <c r="E3" s="3" t="n"/>
      <c r="F3" s="3" t="n"/>
      <c r="G3" s="3" t="n"/>
      <c r="H3" s="3" t="n"/>
      <c r="I3" s="3" t="n"/>
    </row>
    <row r="4" ht="20" customHeight="1">
      <c r="A4" s="20" t="inlineStr">
        <is>
          <t xml:space="preserve">  POLICY INPUTS</t>
        </is>
      </c>
    </row>
    <row r="5" ht="16" customHeight="1">
      <c r="A5" s="45" t="inlineStr">
        <is>
          <t>New charts added per refresh</t>
        </is>
      </c>
      <c r="B5" s="46" t="n"/>
      <c r="C5" s="48" t="n">
        <v>0.3</v>
      </c>
      <c r="D5" s="25" t="inlineStr">
        <is>
          <t>HC Assumptions section C.</t>
        </is>
      </c>
    </row>
    <row r="6" ht="16" customHeight="1">
      <c r="A6" s="45" t="inlineStr">
        <is>
          <t>Charts retired per refresh</t>
        </is>
      </c>
      <c r="B6" s="46" t="n"/>
      <c r="C6" s="48" t="n">
        <v>0.1</v>
      </c>
      <c r="D6" s="25" t="inlineStr">
        <is>
          <t>HC Assumptions section C: the oldest and most-used.</t>
        </is>
      </c>
    </row>
    <row r="7" ht="24" customHeight="1">
      <c r="A7" s="45" t="inlineStr">
        <is>
          <t>Retire at this many batches used</t>
        </is>
      </c>
      <c r="B7" s="46" t="n"/>
      <c r="C7" s="11" t="n">
        <v>8</v>
      </c>
      <c r="D7" s="25" t="inlineStr">
        <is>
          <t>A chart seen this often has been seen by most of the cohort. Editable — HC sets no number, so this is a starting point to argue with.</t>
        </is>
      </c>
    </row>
    <row r="8" ht="16" customHeight="1">
      <c r="A8" s="45" t="inlineStr">
        <is>
          <t>Retire at this age in days</t>
        </is>
      </c>
      <c r="B8" s="46" t="n"/>
      <c r="C8" s="11" t="n">
        <v>540</v>
      </c>
      <c r="D8" s="25" t="inlineStr">
        <is>
          <t>Charts older than this predate at least one code-set year. Editable.</t>
        </is>
      </c>
    </row>
    <row r="9" ht="16" customHeight="1">
      <c r="A9" s="45" t="inlineStr">
        <is>
          <t>Next refresh date</t>
        </is>
      </c>
      <c r="B9" s="46" t="n"/>
      <c r="C9" s="47" t="n">
        <v>46490</v>
      </c>
      <c r="D9" s="25" t="inlineStr">
        <is>
          <t>Align with the code-set calendar: Oct 1 ICD-10 and IPPS, Jan 1 CPT, quarterly NCCI and OCE.</t>
        </is>
      </c>
    </row>
    <row r="11" ht="20" customHeight="1">
      <c r="A11" s="20" t="inlineStr">
        <is>
          <t xml:space="preserve">  NEXT REFRESH BY SPECIALTY</t>
        </is>
      </c>
    </row>
    <row r="12" ht="34" customHeight="1">
      <c r="A12" s="21" t="inlineStr">
        <is>
          <t>Specialty</t>
        </is>
      </c>
      <c r="B12" s="21" t="inlineStr">
        <is>
          <t>Target
pool</t>
        </is>
      </c>
      <c r="C12" s="21" t="inlineStr">
        <is>
          <t>Live
now</t>
        </is>
      </c>
      <c r="D12" s="21" t="inlineStr">
        <is>
          <t>Add per
refresh</t>
        </is>
      </c>
      <c r="E12" s="21" t="inlineStr">
        <is>
          <t>Retire per
refresh</t>
        </is>
      </c>
      <c r="F12" s="21" t="inlineStr">
        <is>
          <t>Live past
usage limit</t>
        </is>
      </c>
      <c r="G12" s="21" t="inlineStr">
        <is>
          <t>Live past
age limit</t>
        </is>
      </c>
      <c r="H12" s="21" t="inlineStr">
        <is>
          <t>Due to retire
(either rule)</t>
        </is>
      </c>
      <c r="I12" s="21" t="inlineStr">
        <is>
          <t>Reading</t>
        </is>
      </c>
    </row>
    <row r="13" ht="26" customHeight="1">
      <c r="A13" s="22" t="inlineStr">
        <is>
          <t>IP-DRG</t>
        </is>
      </c>
      <c r="B13" s="23" t="n">
        <v>693</v>
      </c>
      <c r="C13" s="23">
        <f>COUNTIFS('Chart Register'!$B$5:$B$1004,$A13,'Chart Register'!$N$5:$N$1004,"Live")</f>
        <v/>
      </c>
      <c r="D13" s="23">
        <f>ROUND(B13*$C$5,0)</f>
        <v/>
      </c>
      <c r="E13" s="23">
        <f>ROUND(B13*$C$6,0)</f>
        <v/>
      </c>
      <c r="F13" s="23">
        <f>COUNTIFS('Chart Register'!$B$5:$B$1004,$A13,'Chart Register'!$N$5:$N$1004,"Live",'Chart Register'!$X$5:$X$1004,"&gt;="&amp;$C$7)</f>
        <v/>
      </c>
      <c r="G13" s="23">
        <f>COUNTIFS('Chart Register'!$B$5:$B$1004,$A13,'Chart Register'!$N$5:$N$1004,"Live",'Chart Register'!$S$5:$S$1004,"&lt;="&amp;TODAY()-$C$8,'Chart Register'!$S$5:$S$1004,"&gt;0")</f>
        <v/>
      </c>
      <c r="H13" s="23">
        <f>MAX(F13,G13)</f>
        <v/>
      </c>
      <c r="I13" s="33">
        <f>IF(H13&gt;E13,"More charts qualify to retire than policy removes — retire the most-used first",IF(H13=0,"Nothing qualifies yet","Within policy"))</f>
        <v/>
      </c>
    </row>
    <row r="14" ht="26" customHeight="1">
      <c r="A14" s="22" t="inlineStr">
        <is>
          <t>ED Facility</t>
        </is>
      </c>
      <c r="B14" s="23" t="n">
        <v>704</v>
      </c>
      <c r="C14" s="23">
        <f>COUNTIFS('Chart Register'!$B$5:$B$1004,$A14,'Chart Register'!$N$5:$N$1004,"Live")</f>
        <v/>
      </c>
      <c r="D14" s="23">
        <f>ROUND(B14*$C$5,0)</f>
        <v/>
      </c>
      <c r="E14" s="23">
        <f>ROUND(B14*$C$6,0)</f>
        <v/>
      </c>
      <c r="F14" s="23">
        <f>COUNTIFS('Chart Register'!$B$5:$B$1004,$A14,'Chart Register'!$N$5:$N$1004,"Live",'Chart Register'!$X$5:$X$1004,"&gt;="&amp;$C$7)</f>
        <v/>
      </c>
      <c r="G14" s="23">
        <f>COUNTIFS('Chart Register'!$B$5:$B$1004,$A14,'Chart Register'!$N$5:$N$1004,"Live",'Chart Register'!$S$5:$S$1004,"&lt;="&amp;TODAY()-$C$8,'Chart Register'!$S$5:$S$1004,"&gt;0")</f>
        <v/>
      </c>
      <c r="H14" s="23">
        <f>MAX(F14,G14)</f>
        <v/>
      </c>
      <c r="I14" s="33">
        <f>IF(H14&gt;E14,"More charts qualify to retire than policy removes — retire the most-used first",IF(H14=0,"Nothing qualifies yet","Within policy"))</f>
        <v/>
      </c>
    </row>
    <row r="15" ht="26" customHeight="1">
      <c r="A15" s="22" t="inlineStr">
        <is>
          <t>ED Profee</t>
        </is>
      </c>
      <c r="B15" s="23" t="n">
        <v>400</v>
      </c>
      <c r="C15" s="23">
        <f>COUNTIFS('Chart Register'!$B$5:$B$1004,$A15,'Chart Register'!$N$5:$N$1004,"Live")</f>
        <v/>
      </c>
      <c r="D15" s="23">
        <f>ROUND(B15*$C$5,0)</f>
        <v/>
      </c>
      <c r="E15" s="23">
        <f>ROUND(B15*$C$6,0)</f>
        <v/>
      </c>
      <c r="F15" s="23">
        <f>COUNTIFS('Chart Register'!$B$5:$B$1004,$A15,'Chart Register'!$N$5:$N$1004,"Live",'Chart Register'!$X$5:$X$1004,"&gt;="&amp;$C$7)</f>
        <v/>
      </c>
      <c r="G15" s="23">
        <f>COUNTIFS('Chart Register'!$B$5:$B$1004,$A15,'Chart Register'!$N$5:$N$1004,"Live",'Chart Register'!$S$5:$S$1004,"&lt;="&amp;TODAY()-$C$8,'Chart Register'!$S$5:$S$1004,"&gt;0")</f>
        <v/>
      </c>
      <c r="H15" s="23">
        <f>MAX(F15,G15)</f>
        <v/>
      </c>
      <c r="I15" s="33">
        <f>IF(H15&gt;E15,"More charts qualify to retire than policy removes — retire the most-used first",IF(H15=0,"Nothing qualifies yet","Within policy"))</f>
        <v/>
      </c>
    </row>
    <row r="16" ht="26" customHeight="1">
      <c r="A16" s="22" t="inlineStr">
        <is>
          <t>E/M</t>
        </is>
      </c>
      <c r="B16" s="23" t="n">
        <v>413</v>
      </c>
      <c r="C16" s="23">
        <f>COUNTIFS('Chart Register'!$B$5:$B$1004,$A16,'Chart Register'!$N$5:$N$1004,"Live")</f>
        <v/>
      </c>
      <c r="D16" s="23">
        <f>ROUND(B16*$C$5,0)</f>
        <v/>
      </c>
      <c r="E16" s="23">
        <f>ROUND(B16*$C$6,0)</f>
        <v/>
      </c>
      <c r="F16" s="23">
        <f>COUNTIFS('Chart Register'!$B$5:$B$1004,$A16,'Chart Register'!$N$5:$N$1004,"Live",'Chart Register'!$X$5:$X$1004,"&gt;="&amp;$C$7)</f>
        <v/>
      </c>
      <c r="G16" s="23">
        <f>COUNTIFS('Chart Register'!$B$5:$B$1004,$A16,'Chart Register'!$N$5:$N$1004,"Live",'Chart Register'!$S$5:$S$1004,"&lt;="&amp;TODAY()-$C$8,'Chart Register'!$S$5:$S$1004,"&gt;0")</f>
        <v/>
      </c>
      <c r="H16" s="23">
        <f>MAX(F16,G16)</f>
        <v/>
      </c>
      <c r="I16" s="33">
        <f>IF(H16&gt;E16,"More charts qualify to retire than policy removes — retire the most-used first",IF(H16=0,"Nothing qualifies yet","Within policy"))</f>
        <v/>
      </c>
    </row>
    <row r="17" ht="26" customHeight="1">
      <c r="A17" s="22" t="inlineStr">
        <is>
          <t>SDS</t>
        </is>
      </c>
      <c r="B17" s="23" t="n">
        <v>132</v>
      </c>
      <c r="C17" s="23">
        <f>COUNTIFS('Chart Register'!$B$5:$B$1004,$A17,'Chart Register'!$N$5:$N$1004,"Live")</f>
        <v/>
      </c>
      <c r="D17" s="23">
        <f>ROUND(B17*$C$5,0)</f>
        <v/>
      </c>
      <c r="E17" s="23">
        <f>ROUND(B17*$C$6,0)</f>
        <v/>
      </c>
      <c r="F17" s="23">
        <f>COUNTIFS('Chart Register'!$B$5:$B$1004,$A17,'Chart Register'!$N$5:$N$1004,"Live",'Chart Register'!$X$5:$X$1004,"&gt;="&amp;$C$7)</f>
        <v/>
      </c>
      <c r="G17" s="23">
        <f>COUNTIFS('Chart Register'!$B$5:$B$1004,$A17,'Chart Register'!$N$5:$N$1004,"Live",'Chart Register'!$S$5:$S$1004,"&lt;="&amp;TODAY()-$C$8,'Chart Register'!$S$5:$S$1004,"&gt;0")</f>
        <v/>
      </c>
      <c r="H17" s="23">
        <f>MAX(F17,G17)</f>
        <v/>
      </c>
      <c r="I17" s="33">
        <f>IF(H17&gt;E17,"More charts qualify to retire than policy removes — retire the most-used first",IF(H17=0,"Nothing qualifies yet","Within policy"))</f>
        <v/>
      </c>
    </row>
    <row r="18" ht="26" customHeight="1">
      <c r="A18" s="22" t="inlineStr">
        <is>
          <t>Surgery</t>
        </is>
      </c>
      <c r="B18" s="23" t="n">
        <v>300</v>
      </c>
      <c r="C18" s="23">
        <f>COUNTIFS('Chart Register'!$B$5:$B$1004,$A18,'Chart Register'!$N$5:$N$1004,"Live")</f>
        <v/>
      </c>
      <c r="D18" s="23">
        <f>ROUND(B18*$C$5,0)</f>
        <v/>
      </c>
      <c r="E18" s="23">
        <f>ROUND(B18*$C$6,0)</f>
        <v/>
      </c>
      <c r="F18" s="23">
        <f>COUNTIFS('Chart Register'!$B$5:$B$1004,$A18,'Chart Register'!$N$5:$N$1004,"Live",'Chart Register'!$X$5:$X$1004,"&gt;="&amp;$C$7)</f>
        <v/>
      </c>
      <c r="G18" s="23">
        <f>COUNTIFS('Chart Register'!$B$5:$B$1004,$A18,'Chart Register'!$N$5:$N$1004,"Live",'Chart Register'!$S$5:$S$1004,"&lt;="&amp;TODAY()-$C$8,'Chart Register'!$S$5:$S$1004,"&gt;0")</f>
        <v/>
      </c>
      <c r="H18" s="23">
        <f>MAX(F18,G18)</f>
        <v/>
      </c>
      <c r="I18" s="33">
        <f>IF(H18&gt;E18,"More charts qualify to retire than policy removes — retire the most-used first",IF(H18=0,"Nothing qualifies yet","Within policy"))</f>
        <v/>
      </c>
    </row>
    <row r="19" ht="26" customHeight="1">
      <c r="A19" s="22" t="inlineStr">
        <is>
          <t>ED Single Path</t>
        </is>
      </c>
      <c r="B19" s="23" t="n">
        <v>300</v>
      </c>
      <c r="C19" s="23">
        <f>COUNTIFS('Chart Register'!$B$5:$B$1004,$A19,'Chart Register'!$N$5:$N$1004,"Live")</f>
        <v/>
      </c>
      <c r="D19" s="23">
        <f>ROUND(B19*$C$5,0)</f>
        <v/>
      </c>
      <c r="E19" s="23">
        <f>ROUND(B19*$C$6,0)</f>
        <v/>
      </c>
      <c r="F19" s="23">
        <f>COUNTIFS('Chart Register'!$B$5:$B$1004,$A19,'Chart Register'!$N$5:$N$1004,"Live",'Chart Register'!$X$5:$X$1004,"&gt;="&amp;$C$7)</f>
        <v/>
      </c>
      <c r="G19" s="23">
        <f>COUNTIFS('Chart Register'!$B$5:$B$1004,$A19,'Chart Register'!$N$5:$N$1004,"Live",'Chart Register'!$S$5:$S$1004,"&lt;="&amp;TODAY()-$C$8,'Chart Register'!$S$5:$S$1004,"&gt;0")</f>
        <v/>
      </c>
      <c r="H19" s="23">
        <f>MAX(F19,G19)</f>
        <v/>
      </c>
      <c r="I19" s="33">
        <f>IF(H19&gt;E19,"More charts qualify to retire than policy removes — retire the most-used first",IF(H19=0,"Nothing qualifies yet","Within policy"))</f>
        <v/>
      </c>
    </row>
    <row r="20">
      <c r="A20" s="58" t="inlineStr">
        <is>
          <t>TOTAL</t>
        </is>
      </c>
      <c r="B20" s="40">
        <f>SUM(B13:B19)</f>
        <v/>
      </c>
      <c r="C20" s="40">
        <f>SUM(C13:C19)</f>
        <v/>
      </c>
      <c r="D20" s="40">
        <f>SUM(D13:D19)</f>
        <v/>
      </c>
      <c r="E20" s="40">
        <f>SUM(E13:E19)</f>
        <v/>
      </c>
      <c r="F20" s="40">
        <f>SUM(F13:F19)</f>
        <v/>
      </c>
      <c r="G20" s="40">
        <f>SUM(G13:G19)</f>
        <v/>
      </c>
      <c r="H20" s="40">
        <f>SUM(H13:H19)</f>
        <v/>
      </c>
      <c r="I20" s="39" t="n"/>
    </row>
    <row r="22" ht="26" customHeight="1">
      <c r="A22" s="13" t="inlineStr">
        <is>
          <t>Due to retire takes whichever rule catches more charts rather than adding the two, because a chart can be both old and heavily used and must not be counted twice.</t>
        </is>
      </c>
    </row>
    <row r="23" ht="26" customHeight="1">
      <c r="A23" s="13" t="inlineStr">
        <is>
          <t>Retirement is not the same as deletion. A retired chart keeps its register row and its dates, which is what lets the dashboard report what left the pool and when. Deleting the row loses the history and makes the next refresh look smaller than it was.</t>
        </is>
      </c>
    </row>
    <row r="24" ht="14" customHeight="1">
      <c r="A24" s="13" t="inlineStr">
        <is>
          <t>Age is measured from the date the chart went live, so a chart built long before it was published is not punished for the wait.</t>
        </is>
      </c>
    </row>
  </sheetData>
  <mergeCells count="17">
    <mergeCell ref="A2:I2"/>
    <mergeCell ref="A11:I11"/>
    <mergeCell ref="A7:B7"/>
    <mergeCell ref="A22:I22"/>
    <mergeCell ref="D5:I5"/>
    <mergeCell ref="A5:B5"/>
    <mergeCell ref="A1:I1"/>
    <mergeCell ref="D7:I7"/>
    <mergeCell ref="D9:I9"/>
    <mergeCell ref="A23:I23"/>
    <mergeCell ref="A24:I24"/>
    <mergeCell ref="D6:I6"/>
    <mergeCell ref="A9:B9"/>
    <mergeCell ref="A8:B8"/>
    <mergeCell ref="A4:I4"/>
    <mergeCell ref="A6:B6"/>
    <mergeCell ref="D8:I8"/>
  </mergeCells>
  <conditionalFormatting sqref="I13:I19">
    <cfRule type="expression" priority="1" dxfId="14">
      <formula>ISNUMBER(SEARCH("More charts",$I13))</formula>
    </cfRule>
  </conditionalFormatting>
  <conditionalFormatting sqref="H13:H19">
    <cfRule type="cellIs" priority="2" operator="greaterThan" dxfId="7">
      <formula>0</formula>
    </cfRule>
  </conditionalFormatting>
  <pageMargins left="0.75" right="0.75" top="1" bottom="1" header="0.5" footer="0.5"/>
</worksheet>
</file>

<file path=xl/worksheets/sheet9.xml><?xml version="1.0" encoding="utf-8"?>
<worksheet xmlns="http://schemas.openxmlformats.org/spreadsheetml/2006/main">
  <sheetPr>
    <tabColor rgb="00BFBFBF"/>
    <outlinePr summaryBelow="1" summaryRight="1"/>
    <pageSetUpPr/>
  </sheetPr>
  <dimension ref="A1:I115"/>
  <sheetViews>
    <sheetView showGridLines="0" zoomScale="90" workbookViewId="0">
      <selection activeCell="A1" sqref="A1"/>
    </sheetView>
  </sheetViews>
  <sheetFormatPr baseColWidth="8" defaultRowHeight="15"/>
  <cols>
    <col width="26" customWidth="1" min="1" max="1"/>
    <col width="26" customWidth="1" min="2" max="2"/>
    <col width="20" customWidth="1" min="3" max="3"/>
    <col width="18" customWidth="1" min="4" max="4"/>
    <col width="16" customWidth="1" min="5" max="5"/>
    <col width="34" customWidth="1" min="6" max="6"/>
    <col width="14" customWidth="1" min="7" max="7"/>
    <col width="16" customWidth="1" min="8" max="8"/>
    <col width="40" customWidth="1" min="9" max="9"/>
  </cols>
  <sheetData>
    <row r="1" ht="26" customHeight="1">
      <c r="A1" s="1" t="inlineStr">
        <is>
          <t>Dropdown lists</t>
        </is>
      </c>
    </row>
    <row r="2" ht="14" customHeight="1">
      <c r="A2" s="2" t="inlineStr">
        <is>
          <t>The source for every dropdown in this workbook. Add a value here and it appears in the register — do not type a new value straight into a cell.</t>
        </is>
      </c>
    </row>
    <row r="3" ht="3" customHeight="1">
      <c r="A3" s="3" t="n"/>
      <c r="B3" s="3" t="n"/>
      <c r="C3" s="3" t="n"/>
      <c r="D3" s="3" t="n"/>
      <c r="E3" s="3" t="n"/>
      <c r="F3" s="3" t="n"/>
      <c r="G3" s="3" t="n"/>
      <c r="H3" s="3" t="n"/>
    </row>
    <row r="4">
      <c r="A4" s="59" t="inlineStr">
        <is>
          <t>Specialty</t>
        </is>
      </c>
      <c r="B4" s="59" t="inlineStr">
        <is>
          <t>Topic ID</t>
        </is>
      </c>
      <c r="C4" s="59" t="inlineStr">
        <is>
          <t>Status</t>
        </is>
      </c>
      <c r="D4" s="59" t="inlineStr">
        <is>
          <t>Difficulty tier</t>
        </is>
      </c>
      <c r="E4" s="59" t="inlineStr">
        <is>
          <t>Source type</t>
        </is>
      </c>
      <c r="F4" s="59" t="inlineStr">
        <is>
          <t>Sourcing channel</t>
        </is>
      </c>
      <c r="G4" s="59" t="inlineStr">
        <is>
          <t>Issue severity</t>
        </is>
      </c>
      <c r="H4" s="59" t="inlineStr">
        <is>
          <t>Issue status</t>
        </is>
      </c>
      <c r="I4" s="59" t="inlineStr">
        <is>
          <t>Issue type</t>
        </is>
      </c>
    </row>
    <row r="5">
      <c r="A5" s="60" t="inlineStr">
        <is>
          <t>IP-DRG</t>
        </is>
      </c>
      <c r="B5" s="60" t="inlineStr">
        <is>
          <t>IPD-01</t>
        </is>
      </c>
      <c r="C5" s="60" t="inlineStr">
        <is>
          <t>Identified</t>
        </is>
      </c>
      <c r="D5" s="60" t="inlineStr">
        <is>
          <t>Basic</t>
        </is>
      </c>
      <c r="E5" s="60" t="inlineStr">
        <is>
          <t>QA/QR-validated</t>
        </is>
      </c>
      <c r="F5" s="60" t="inlineStr">
        <is>
          <t>C1 High error rate</t>
        </is>
      </c>
      <c r="G5" s="60" t="inlineStr">
        <is>
          <t>Blocker</t>
        </is>
      </c>
      <c r="H5" s="60" t="inlineStr">
        <is>
          <t>Open</t>
        </is>
      </c>
      <c r="I5" s="60" t="inlineStr">
        <is>
          <t>Answer key disputed</t>
        </is>
      </c>
    </row>
    <row r="6">
      <c r="A6" s="60" t="inlineStr">
        <is>
          <t>ED Facility</t>
        </is>
      </c>
      <c r="B6" s="60" t="inlineStr">
        <is>
          <t>IPD-02</t>
        </is>
      </c>
      <c r="C6" s="60" t="inlineStr">
        <is>
          <t>De-identified</t>
        </is>
      </c>
      <c r="D6" s="60" t="inlineStr">
        <is>
          <t>Moderate</t>
        </is>
      </c>
      <c r="E6" s="60" t="inlineStr">
        <is>
          <t>PL re-coded</t>
        </is>
      </c>
      <c r="F6" s="60" t="inlineStr">
        <is>
          <t>C2 High dollar value</t>
        </is>
      </c>
      <c r="G6" s="60" t="inlineStr">
        <is>
          <t>High</t>
        </is>
      </c>
      <c r="H6" s="60" t="inlineStr">
        <is>
          <t>In progress</t>
        </is>
      </c>
      <c r="I6" s="60" t="inlineStr">
        <is>
          <t>Answer key suspected wrong</t>
        </is>
      </c>
    </row>
    <row r="7">
      <c r="A7" s="60" t="inlineStr">
        <is>
          <t>ED Profee</t>
        </is>
      </c>
      <c r="B7" s="60" t="inlineStr">
        <is>
          <t>IPD-03</t>
        </is>
      </c>
      <c r="C7" s="60" t="inlineStr">
        <is>
          <t>Built</t>
        </is>
      </c>
      <c r="D7" s="60" t="inlineStr">
        <is>
          <t>Complex</t>
        </is>
      </c>
      <c r="F7" s="60" t="inlineStr">
        <is>
          <t>C3 Targeted PDx / DRG</t>
        </is>
      </c>
      <c r="G7" s="60" t="inlineStr">
        <is>
          <t>Medium</t>
        </is>
      </c>
      <c r="H7" s="60" t="inlineStr">
        <is>
          <t>Resolved</t>
        </is>
      </c>
      <c r="I7" s="60" t="inlineStr">
        <is>
          <t>Documentation incomplete after de-ID</t>
        </is>
      </c>
    </row>
    <row r="8">
      <c r="A8" s="60" t="inlineStr">
        <is>
          <t>E/M</t>
        </is>
      </c>
      <c r="B8" s="60" t="inlineStr">
        <is>
          <t>IPD-04</t>
        </is>
      </c>
      <c r="C8" s="60" t="inlineStr">
        <is>
          <t>Validated</t>
        </is>
      </c>
      <c r="F8" s="60" t="inlineStr">
        <is>
          <t>C4 Smart recommendations</t>
        </is>
      </c>
      <c r="G8" s="60" t="inlineStr">
        <is>
          <t>Low</t>
        </is>
      </c>
      <c r="H8" s="60" t="inlineStr">
        <is>
          <t>Will not fix</t>
        </is>
      </c>
      <c r="I8" s="60" t="inlineStr">
        <is>
          <t>PHI found after publish</t>
        </is>
      </c>
    </row>
    <row r="9">
      <c r="A9" s="60" t="inlineStr">
        <is>
          <t>SDS</t>
        </is>
      </c>
      <c r="B9" s="60" t="inlineStr">
        <is>
          <t>IPD-15</t>
        </is>
      </c>
      <c r="C9" s="60" t="inlineStr">
        <is>
          <t>Live</t>
        </is>
      </c>
      <c r="F9" s="60" t="inlineStr">
        <is>
          <t>C5 DRGV trending PCS / DRG</t>
        </is>
      </c>
      <c r="I9" s="60" t="inlineStr">
        <is>
          <t>Client permission not confirmed</t>
        </is>
      </c>
    </row>
    <row r="10">
      <c r="A10" s="60" t="inlineStr">
        <is>
          <t>Surgery</t>
        </is>
      </c>
      <c r="B10" s="60" t="inlineStr">
        <is>
          <t>IPD-16</t>
        </is>
      </c>
      <c r="C10" s="60" t="inlineStr">
        <is>
          <t>On hold</t>
        </is>
      </c>
      <c r="F10" s="60" t="inlineStr">
        <is>
          <t>C6 Customer escalations</t>
        </is>
      </c>
      <c r="I10" s="60" t="inlineStr">
        <is>
          <t>Chart too easy</t>
        </is>
      </c>
    </row>
    <row r="11">
      <c r="A11" s="60" t="inlineStr">
        <is>
          <t>ED Single Path</t>
        </is>
      </c>
      <c r="B11" s="60" t="inlineStr">
        <is>
          <t>IPD-05</t>
        </is>
      </c>
      <c r="C11" s="60" t="inlineStr">
        <is>
          <t>Retired</t>
        </is>
      </c>
      <c r="F11" s="60" t="inlineStr">
        <is>
          <t>C7 Denial trends</t>
        </is>
      </c>
      <c r="I11" s="60" t="inlineStr">
        <is>
          <t>Chart too long for practice time</t>
        </is>
      </c>
    </row>
    <row r="12">
      <c r="B12" s="60" t="inlineStr">
        <is>
          <t>IPD-06</t>
        </is>
      </c>
      <c r="F12" s="60" t="inlineStr">
        <is>
          <t>C8 Foundation</t>
        </is>
      </c>
      <c r="I12" s="60" t="inlineStr">
        <is>
          <t>Duplicate of existing chart</t>
        </is>
      </c>
    </row>
    <row r="13">
      <c r="B13" s="60" t="inlineStr">
        <is>
          <t>IPD-07</t>
        </is>
      </c>
      <c r="I13" s="60" t="inlineStr">
        <is>
          <t>Code set out of date</t>
        </is>
      </c>
    </row>
    <row r="14">
      <c r="B14" s="60" t="inlineStr">
        <is>
          <t>IPD-08</t>
        </is>
      </c>
      <c r="I14" s="60" t="inlineStr">
        <is>
          <t>Validation failed</t>
        </is>
      </c>
    </row>
    <row r="15">
      <c r="B15" s="60" t="inlineStr">
        <is>
          <t>IPD-09</t>
        </is>
      </c>
      <c r="I15" s="60" t="inlineStr">
        <is>
          <t>Specialty or topic misclassified</t>
        </is>
      </c>
    </row>
    <row r="16">
      <c r="B16" s="60" t="inlineStr">
        <is>
          <t>IPD-10</t>
        </is>
      </c>
      <c r="I16" s="60" t="inlineStr">
        <is>
          <t>Other</t>
        </is>
      </c>
    </row>
    <row r="17">
      <c r="B17" s="60" t="inlineStr">
        <is>
          <t>IPD-11</t>
        </is>
      </c>
    </row>
    <row r="18">
      <c r="B18" s="60" t="inlineStr">
        <is>
          <t>IPD-12</t>
        </is>
      </c>
    </row>
    <row r="19">
      <c r="B19" s="60" t="inlineStr">
        <is>
          <t>IPD-17</t>
        </is>
      </c>
    </row>
    <row r="20">
      <c r="B20" s="60" t="inlineStr">
        <is>
          <t>IPD-18</t>
        </is>
      </c>
    </row>
    <row r="21">
      <c r="B21" s="60" t="inlineStr">
        <is>
          <t>IPD-19</t>
        </is>
      </c>
    </row>
    <row r="22">
      <c r="B22" s="60" t="inlineStr">
        <is>
          <t>IPD-20</t>
        </is>
      </c>
    </row>
    <row r="23">
      <c r="B23" s="60" t="inlineStr">
        <is>
          <t>IPD-21</t>
        </is>
      </c>
    </row>
    <row r="24">
      <c r="B24" s="60" t="inlineStr">
        <is>
          <t>IPD-22</t>
        </is>
      </c>
    </row>
    <row r="25">
      <c r="B25" s="60" t="inlineStr">
        <is>
          <t>IPD-13</t>
        </is>
      </c>
    </row>
    <row r="26">
      <c r="B26" s="60" t="inlineStr">
        <is>
          <t>IPD-14</t>
        </is>
      </c>
    </row>
    <row r="27">
      <c r="B27" s="60" t="inlineStr">
        <is>
          <t>IPD-23</t>
        </is>
      </c>
    </row>
    <row r="28">
      <c r="B28" s="60" t="inlineStr">
        <is>
          <t>IPD-24</t>
        </is>
      </c>
    </row>
    <row r="29">
      <c r="B29" s="60" t="inlineStr">
        <is>
          <t>IPD-25</t>
        </is>
      </c>
    </row>
    <row r="30">
      <c r="B30" s="60" t="inlineStr">
        <is>
          <t>EDF-01</t>
        </is>
      </c>
    </row>
    <row r="31">
      <c r="B31" s="60" t="inlineStr">
        <is>
          <t>EDF-03</t>
        </is>
      </c>
    </row>
    <row r="32">
      <c r="B32" s="60" t="inlineStr">
        <is>
          <t>EDF-04</t>
        </is>
      </c>
    </row>
    <row r="33">
      <c r="B33" s="60" t="inlineStr">
        <is>
          <t>EDF-05</t>
        </is>
      </c>
    </row>
    <row r="34">
      <c r="B34" s="60" t="inlineStr">
        <is>
          <t>EDF-06</t>
        </is>
      </c>
    </row>
    <row r="35">
      <c r="B35" s="60" t="inlineStr">
        <is>
          <t>EDF-07</t>
        </is>
      </c>
    </row>
    <row r="36">
      <c r="B36" s="60" t="inlineStr">
        <is>
          <t>EDF-08</t>
        </is>
      </c>
    </row>
    <row r="37">
      <c r="B37" s="60" t="inlineStr">
        <is>
          <t>EDF-09</t>
        </is>
      </c>
    </row>
    <row r="38">
      <c r="B38" s="60" t="inlineStr">
        <is>
          <t>EDF-10</t>
        </is>
      </c>
    </row>
    <row r="39">
      <c r="B39" s="60" t="inlineStr">
        <is>
          <t>EDF-12</t>
        </is>
      </c>
    </row>
    <row r="40">
      <c r="B40" s="60" t="inlineStr">
        <is>
          <t>EDF-13</t>
        </is>
      </c>
    </row>
    <row r="41">
      <c r="B41" s="60" t="inlineStr">
        <is>
          <t>EDF-14</t>
        </is>
      </c>
    </row>
    <row r="42">
      <c r="B42" s="60" t="inlineStr">
        <is>
          <t>EDF-15</t>
        </is>
      </c>
    </row>
    <row r="43">
      <c r="B43" s="60" t="inlineStr">
        <is>
          <t>EDF-16</t>
        </is>
      </c>
    </row>
    <row r="44">
      <c r="B44" s="60" t="inlineStr">
        <is>
          <t>EDF-02</t>
        </is>
      </c>
    </row>
    <row r="45">
      <c r="B45" s="60" t="inlineStr">
        <is>
          <t>EDF-11</t>
        </is>
      </c>
    </row>
    <row r="46">
      <c r="B46" s="60" t="inlineStr">
        <is>
          <t>EDF-17</t>
        </is>
      </c>
    </row>
    <row r="47">
      <c r="B47" s="60" t="inlineStr">
        <is>
          <t>EDP-01</t>
        </is>
      </c>
    </row>
    <row r="48">
      <c r="B48" s="60" t="inlineStr">
        <is>
          <t>EDP-02</t>
        </is>
      </c>
    </row>
    <row r="49">
      <c r="B49" s="60" t="inlineStr">
        <is>
          <t>EDP-03</t>
        </is>
      </c>
    </row>
    <row r="50">
      <c r="B50" s="60" t="inlineStr">
        <is>
          <t>EDP-04</t>
        </is>
      </c>
    </row>
    <row r="51">
      <c r="B51" s="60" t="inlineStr">
        <is>
          <t>EDP-05</t>
        </is>
      </c>
    </row>
    <row r="52">
      <c r="B52" s="60" t="inlineStr">
        <is>
          <t>EDP-06</t>
        </is>
      </c>
    </row>
    <row r="53">
      <c r="B53" s="60" t="inlineStr">
        <is>
          <t>EDP-07</t>
        </is>
      </c>
    </row>
    <row r="54">
      <c r="B54" s="60" t="inlineStr">
        <is>
          <t>EDP-08</t>
        </is>
      </c>
    </row>
    <row r="55">
      <c r="B55" s="60" t="inlineStr">
        <is>
          <t>EDP-09</t>
        </is>
      </c>
    </row>
    <row r="56">
      <c r="B56" s="60" t="inlineStr">
        <is>
          <t>EDP-10</t>
        </is>
      </c>
    </row>
    <row r="57">
      <c r="B57" s="60" t="inlineStr">
        <is>
          <t>EDP-11</t>
        </is>
      </c>
    </row>
    <row r="58">
      <c r="B58" s="60" t="inlineStr">
        <is>
          <t>EDP-12</t>
        </is>
      </c>
    </row>
    <row r="59">
      <c r="B59" s="60" t="inlineStr">
        <is>
          <t>EM-01</t>
        </is>
      </c>
    </row>
    <row r="60">
      <c r="B60" s="60" t="inlineStr">
        <is>
          <t>EM-02</t>
        </is>
      </c>
    </row>
    <row r="61">
      <c r="B61" s="60" t="inlineStr">
        <is>
          <t>EM-03</t>
        </is>
      </c>
    </row>
    <row r="62">
      <c r="B62" s="60" t="inlineStr">
        <is>
          <t>EM-04</t>
        </is>
      </c>
    </row>
    <row r="63">
      <c r="B63" s="60" t="inlineStr">
        <is>
          <t>EM-16</t>
        </is>
      </c>
    </row>
    <row r="64">
      <c r="B64" s="60" t="inlineStr">
        <is>
          <t>EM-17</t>
        </is>
      </c>
    </row>
    <row r="65">
      <c r="B65" s="60" t="inlineStr">
        <is>
          <t>EM-18</t>
        </is>
      </c>
    </row>
    <row r="66">
      <c r="B66" s="60" t="inlineStr">
        <is>
          <t>EM-05</t>
        </is>
      </c>
    </row>
    <row r="67">
      <c r="B67" s="60" t="inlineStr">
        <is>
          <t>EM-07</t>
        </is>
      </c>
    </row>
    <row r="68">
      <c r="B68" s="60" t="inlineStr">
        <is>
          <t>EM-08</t>
        </is>
      </c>
    </row>
    <row r="69">
      <c r="B69" s="60" t="inlineStr">
        <is>
          <t>EM-09</t>
        </is>
      </c>
    </row>
    <row r="70">
      <c r="B70" s="60" t="inlineStr">
        <is>
          <t>EM-10</t>
        </is>
      </c>
    </row>
    <row r="71">
      <c r="B71" s="60" t="inlineStr">
        <is>
          <t>EM-11</t>
        </is>
      </c>
    </row>
    <row r="72">
      <c r="B72" s="60" t="inlineStr">
        <is>
          <t>EM-19</t>
        </is>
      </c>
    </row>
    <row r="73">
      <c r="B73" s="60" t="inlineStr">
        <is>
          <t>EM-20</t>
        </is>
      </c>
    </row>
    <row r="74">
      <c r="B74" s="60" t="inlineStr">
        <is>
          <t>EM-22</t>
        </is>
      </c>
    </row>
    <row r="75">
      <c r="B75" s="60" t="inlineStr">
        <is>
          <t>EM-23</t>
        </is>
      </c>
    </row>
    <row r="76">
      <c r="B76" s="60" t="inlineStr">
        <is>
          <t>EM-06</t>
        </is>
      </c>
    </row>
    <row r="77">
      <c r="B77" s="60" t="inlineStr">
        <is>
          <t>EM-12</t>
        </is>
      </c>
    </row>
    <row r="78">
      <c r="B78" s="60" t="inlineStr">
        <is>
          <t>EM-13</t>
        </is>
      </c>
    </row>
    <row r="79">
      <c r="B79" s="60" t="inlineStr">
        <is>
          <t>EM-15</t>
        </is>
      </c>
    </row>
    <row r="80">
      <c r="B80" s="60" t="inlineStr">
        <is>
          <t>EM-21</t>
        </is>
      </c>
    </row>
    <row r="81">
      <c r="B81" s="60" t="inlineStr">
        <is>
          <t>EM-14</t>
        </is>
      </c>
    </row>
    <row r="82">
      <c r="B82" s="60" t="inlineStr">
        <is>
          <t>SDS-01</t>
        </is>
      </c>
    </row>
    <row r="83">
      <c r="B83" s="60" t="inlineStr">
        <is>
          <t>SDS-02</t>
        </is>
      </c>
    </row>
    <row r="84">
      <c r="B84" s="60" t="inlineStr">
        <is>
          <t>SDS-03</t>
        </is>
      </c>
    </row>
    <row r="85">
      <c r="B85" s="60" t="inlineStr">
        <is>
          <t>SDS-04</t>
        </is>
      </c>
    </row>
    <row r="86">
      <c r="B86" s="60" t="inlineStr">
        <is>
          <t>SDS-05</t>
        </is>
      </c>
    </row>
    <row r="87">
      <c r="B87" s="60" t="inlineStr">
        <is>
          <t>SDS-06</t>
        </is>
      </c>
    </row>
    <row r="88">
      <c r="B88" s="60" t="inlineStr">
        <is>
          <t>SDS-07</t>
        </is>
      </c>
    </row>
    <row r="89">
      <c r="B89" s="60" t="inlineStr">
        <is>
          <t>SDS-08</t>
        </is>
      </c>
    </row>
    <row r="90">
      <c r="B90" s="60" t="inlineStr">
        <is>
          <t>SDS-10</t>
        </is>
      </c>
    </row>
    <row r="91">
      <c r="B91" s="60" t="inlineStr">
        <is>
          <t>SDS-11</t>
        </is>
      </c>
    </row>
    <row r="92">
      <c r="B92" s="60" t="inlineStr">
        <is>
          <t>SDS-12</t>
        </is>
      </c>
    </row>
    <row r="93">
      <c r="B93" s="60" t="inlineStr">
        <is>
          <t>SDS-13</t>
        </is>
      </c>
    </row>
    <row r="94">
      <c r="B94" s="60" t="inlineStr">
        <is>
          <t>SDS-15</t>
        </is>
      </c>
    </row>
    <row r="95">
      <c r="B95" s="60" t="inlineStr">
        <is>
          <t>SDS-09</t>
        </is>
      </c>
    </row>
    <row r="96">
      <c r="B96" s="60" t="inlineStr">
        <is>
          <t>SDS-14</t>
        </is>
      </c>
    </row>
    <row r="97">
      <c r="B97" s="60" t="inlineStr">
        <is>
          <t>SUR-01</t>
        </is>
      </c>
    </row>
    <row r="98">
      <c r="B98" s="60" t="inlineStr">
        <is>
          <t>SUR-02</t>
        </is>
      </c>
    </row>
    <row r="99">
      <c r="B99" s="60" t="inlineStr">
        <is>
          <t>SUR-03</t>
        </is>
      </c>
    </row>
    <row r="100">
      <c r="B100" s="60" t="inlineStr">
        <is>
          <t>SUR-04</t>
        </is>
      </c>
    </row>
    <row r="101">
      <c r="B101" s="60" t="inlineStr">
        <is>
          <t>SUR-05</t>
        </is>
      </c>
    </row>
    <row r="102">
      <c r="B102" s="60" t="inlineStr">
        <is>
          <t>SUR-06</t>
        </is>
      </c>
    </row>
    <row r="103">
      <c r="B103" s="60" t="inlineStr">
        <is>
          <t>SUR-07</t>
        </is>
      </c>
    </row>
    <row r="104">
      <c r="B104" s="60" t="inlineStr">
        <is>
          <t>SUR-08</t>
        </is>
      </c>
    </row>
    <row r="105">
      <c r="B105" s="60" t="inlineStr">
        <is>
          <t>SUR-11</t>
        </is>
      </c>
    </row>
    <row r="106">
      <c r="B106" s="60" t="inlineStr">
        <is>
          <t>SUR-09</t>
        </is>
      </c>
    </row>
    <row r="107">
      <c r="B107" s="60" t="inlineStr">
        <is>
          <t>SUR-10</t>
        </is>
      </c>
    </row>
    <row r="108">
      <c r="B108" s="60" t="inlineStr">
        <is>
          <t>ESP-01</t>
        </is>
      </c>
    </row>
    <row r="109">
      <c r="B109" s="60" t="inlineStr">
        <is>
          <t>ESP-02</t>
        </is>
      </c>
    </row>
    <row r="110">
      <c r="B110" s="60" t="inlineStr">
        <is>
          <t>ESP-03</t>
        </is>
      </c>
    </row>
    <row r="111">
      <c r="B111" s="60" t="inlineStr">
        <is>
          <t>ESP-04</t>
        </is>
      </c>
    </row>
    <row r="112">
      <c r="B112" s="60" t="inlineStr">
        <is>
          <t>ESP-05</t>
        </is>
      </c>
    </row>
    <row r="113">
      <c r="B113" s="60" t="inlineStr">
        <is>
          <t>ESP-06</t>
        </is>
      </c>
    </row>
    <row r="114">
      <c r="B114" s="60" t="inlineStr">
        <is>
          <t>ESP-07</t>
        </is>
      </c>
    </row>
    <row r="115">
      <c r="B115" s="60" t="inlineStr">
        <is>
          <t>ESP-08</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2026-10-15T11:58:40Z</dcterms:created>
  <dcterms:modified xmlns:dcterms="http://purl.org/dc/terms/" xmlns:xsi="http://www.w3.org/2001/XMLSchema-instance" xsi:type="dcterms:W3CDTF">2026-10-15T11:58:41Z</dcterms:modified>
</cp:coreProperties>
</file>